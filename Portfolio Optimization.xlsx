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nee\Desktop\"/>
    </mc:Choice>
  </mc:AlternateContent>
  <xr:revisionPtr revIDLastSave="0" documentId="13_ncr:20001_{F356CD61-CA09-43D3-B595-1950694F203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EQUAL WEIGHTS STOCKS" sheetId="1" r:id="rId1"/>
    <sheet name="OPTIMIZED WEIGHT STOCKS" sheetId="2" r:id="rId2"/>
    <sheet name="EQUAL WEIGHTS MF" sheetId="3" r:id="rId3"/>
    <sheet name="OPTIMIZED WEIGHT MF" sheetId="4" r:id="rId4"/>
    <sheet name="EQUAL WEIGHTS STOCKS (1)" sheetId="5" r:id="rId5"/>
    <sheet name="__OpenSolverCache__" sheetId="6" state="hidden" r:id="rId6"/>
    <sheet name="__OpenSolver__" sheetId="7" state="hidden" r:id="rId7"/>
    <sheet name="EQUAL WEIGHTS MF (1)" sheetId="8" r:id="rId8"/>
  </sheets>
  <definedNames>
    <definedName name="solver_adj" localSheetId="0" hidden="1">'EQUAL WEIGHTS STOCKS'!$AK$4:$AK$7</definedName>
    <definedName name="solver_adj" localSheetId="3" hidden="1">'OPTIMIZED WEIGHT MF'!$AA$6:$AA$9</definedName>
    <definedName name="solver_eng" localSheetId="2" hidden="1">0</definedName>
    <definedName name="solver_eng" localSheetId="0" hidden="1">0</definedName>
    <definedName name="solver_eng" localSheetId="3" hidden="1">0</definedName>
    <definedName name="solver_eng" localSheetId="1" hidden="1">0</definedName>
    <definedName name="solver_lhs1" localSheetId="0" hidden="1">'EQUAL WEIGHTS STOCKS'!$AK$8</definedName>
    <definedName name="solver_lhs1" localSheetId="3" hidden="1">'OPTIMIZED WEIGHT MF'!$AA$10</definedName>
    <definedName name="solver_lhs2" localSheetId="0" hidden="1">'EQUAL WEIGHTS STOCKS'!$AK$4:$AK$7</definedName>
    <definedName name="solver_lhs2" localSheetId="3" hidden="1">'OPTIMIZED WEIGHT MF'!$AA$6:$AA$9</definedName>
    <definedName name="solver_neg" localSheetId="0" hidden="1">1</definedName>
    <definedName name="solver_num" localSheetId="0" hidden="1">2</definedName>
    <definedName name="solver_num" localSheetId="3" hidden="1">2</definedName>
    <definedName name="solver_opt" localSheetId="0" hidden="1">'EQUAL WEIGHTS STOCKS'!$AM$20</definedName>
    <definedName name="solver_opt" localSheetId="3" hidden="1">'OPTIMIZED WEIGHT MF'!$AA$19</definedName>
    <definedName name="solver_rel1" localSheetId="0" hidden="1">2</definedName>
    <definedName name="solver_rel1" localSheetId="3" hidden="1">2</definedName>
    <definedName name="solver_rel2" localSheetId="0" hidden="1">3</definedName>
    <definedName name="solver_rel2" localSheetId="3" hidden="1">3</definedName>
    <definedName name="solver_rhs1" localSheetId="0" hidden="1">1</definedName>
    <definedName name="solver_rhs1" localSheetId="3" hidden="1">1</definedName>
    <definedName name="solver_rhs2" localSheetId="0" hidden="1">0</definedName>
    <definedName name="solver_rhs2" localSheetId="3" hidden="1">0</definedName>
    <definedName name="solver_rxc1" localSheetId="3" hidden="1">1</definedName>
    <definedName name="solver_rxc2" localSheetId="0" hidden="1">1</definedName>
    <definedName name="solver_rxc2" localSheetId="3" hidden="1">1</definedName>
    <definedName name="solver_rxv" localSheetId="0" hidden="1">1</definedName>
    <definedName name="solver_rxv" localSheetId="3" hidden="1">1</definedName>
    <definedName name="solver_rxv1" localSheetId="0" hidden="1">1</definedName>
    <definedName name="solver_rxv1" localSheetId="3" hidden="1">1</definedName>
    <definedName name="solver_typ" localSheetId="0" hidden="1">1</definedName>
    <definedName name="solver_typ" localSheetId="3" hidden="1">1</definedName>
    <definedName name="solver_val" localSheetId="0" hidden="1">0</definedName>
    <definedName name="solver_val" localSheetId="3" hidden="1">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" i="5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AA10" i="4"/>
  <c r="U247" i="4"/>
  <c r="S247" i="4"/>
  <c r="Q247" i="4"/>
  <c r="O247" i="4"/>
  <c r="M247" i="4"/>
  <c r="K247" i="4"/>
  <c r="G247" i="4"/>
  <c r="E247" i="4"/>
  <c r="C247" i="4"/>
  <c r="U246" i="4"/>
  <c r="S246" i="4"/>
  <c r="Q246" i="4"/>
  <c r="O246" i="4"/>
  <c r="M246" i="4"/>
  <c r="K246" i="4"/>
  <c r="I246" i="4"/>
  <c r="G246" i="4"/>
  <c r="E246" i="4"/>
  <c r="C246" i="4"/>
  <c r="U245" i="4"/>
  <c r="S245" i="4"/>
  <c r="Q245" i="4"/>
  <c r="O245" i="4"/>
  <c r="M245" i="4"/>
  <c r="K245" i="4"/>
  <c r="I245" i="4"/>
  <c r="G245" i="4"/>
  <c r="E245" i="4"/>
  <c r="C245" i="4"/>
  <c r="U244" i="4"/>
  <c r="S244" i="4"/>
  <c r="Q244" i="4"/>
  <c r="O244" i="4"/>
  <c r="M244" i="4"/>
  <c r="K244" i="4"/>
  <c r="I244" i="4"/>
  <c r="G244" i="4"/>
  <c r="E244" i="4"/>
  <c r="C244" i="4"/>
  <c r="U243" i="4"/>
  <c r="S243" i="4"/>
  <c r="Q243" i="4"/>
  <c r="O243" i="4"/>
  <c r="M243" i="4"/>
  <c r="K243" i="4"/>
  <c r="I243" i="4"/>
  <c r="G243" i="4"/>
  <c r="E243" i="4"/>
  <c r="C243" i="4"/>
  <c r="U242" i="4"/>
  <c r="S242" i="4"/>
  <c r="Q242" i="4"/>
  <c r="O242" i="4"/>
  <c r="M242" i="4"/>
  <c r="K242" i="4"/>
  <c r="I242" i="4"/>
  <c r="G242" i="4"/>
  <c r="E242" i="4"/>
  <c r="C242" i="4"/>
  <c r="U241" i="4"/>
  <c r="S241" i="4"/>
  <c r="Q241" i="4"/>
  <c r="O241" i="4"/>
  <c r="M241" i="4"/>
  <c r="K241" i="4"/>
  <c r="I241" i="4"/>
  <c r="G241" i="4"/>
  <c r="E241" i="4"/>
  <c r="C241" i="4"/>
  <c r="U240" i="4"/>
  <c r="S240" i="4"/>
  <c r="Q240" i="4"/>
  <c r="O240" i="4"/>
  <c r="M240" i="4"/>
  <c r="K240" i="4"/>
  <c r="I240" i="4"/>
  <c r="G240" i="4"/>
  <c r="E240" i="4"/>
  <c r="C240" i="4"/>
  <c r="U239" i="4"/>
  <c r="S239" i="4"/>
  <c r="Q239" i="4"/>
  <c r="O239" i="4"/>
  <c r="M239" i="4"/>
  <c r="K239" i="4"/>
  <c r="I239" i="4"/>
  <c r="G239" i="4"/>
  <c r="E239" i="4"/>
  <c r="C239" i="4"/>
  <c r="U238" i="4"/>
  <c r="S238" i="4"/>
  <c r="Q238" i="4"/>
  <c r="O238" i="4"/>
  <c r="M238" i="4"/>
  <c r="K238" i="4"/>
  <c r="I238" i="4"/>
  <c r="G238" i="4"/>
  <c r="E238" i="4"/>
  <c r="C238" i="4"/>
  <c r="U237" i="4"/>
  <c r="S237" i="4"/>
  <c r="Q237" i="4"/>
  <c r="O237" i="4"/>
  <c r="M237" i="4"/>
  <c r="K237" i="4"/>
  <c r="I237" i="4"/>
  <c r="G237" i="4"/>
  <c r="E237" i="4"/>
  <c r="C237" i="4"/>
  <c r="U236" i="4"/>
  <c r="S236" i="4"/>
  <c r="Q236" i="4"/>
  <c r="O236" i="4"/>
  <c r="M236" i="4"/>
  <c r="K236" i="4"/>
  <c r="I236" i="4"/>
  <c r="G236" i="4"/>
  <c r="E236" i="4"/>
  <c r="C236" i="4"/>
  <c r="U235" i="4"/>
  <c r="S235" i="4"/>
  <c r="Q235" i="4"/>
  <c r="O235" i="4"/>
  <c r="M235" i="4"/>
  <c r="K235" i="4"/>
  <c r="I235" i="4"/>
  <c r="G235" i="4"/>
  <c r="E235" i="4"/>
  <c r="C235" i="4"/>
  <c r="U234" i="4"/>
  <c r="S234" i="4"/>
  <c r="Q234" i="4"/>
  <c r="O234" i="4"/>
  <c r="M234" i="4"/>
  <c r="K234" i="4"/>
  <c r="I234" i="4"/>
  <c r="G234" i="4"/>
  <c r="E234" i="4"/>
  <c r="C234" i="4"/>
  <c r="U233" i="4"/>
  <c r="S233" i="4"/>
  <c r="Q233" i="4"/>
  <c r="O233" i="4"/>
  <c r="M233" i="4"/>
  <c r="K233" i="4"/>
  <c r="I233" i="4"/>
  <c r="G233" i="4"/>
  <c r="E233" i="4"/>
  <c r="C233" i="4"/>
  <c r="U232" i="4"/>
  <c r="S232" i="4"/>
  <c r="Q232" i="4"/>
  <c r="O232" i="4"/>
  <c r="M232" i="4"/>
  <c r="K232" i="4"/>
  <c r="I232" i="4"/>
  <c r="G232" i="4"/>
  <c r="E232" i="4"/>
  <c r="C232" i="4"/>
  <c r="U231" i="4"/>
  <c r="S231" i="4"/>
  <c r="Q231" i="4"/>
  <c r="O231" i="4"/>
  <c r="M231" i="4"/>
  <c r="K231" i="4"/>
  <c r="I231" i="4"/>
  <c r="G231" i="4"/>
  <c r="E231" i="4"/>
  <c r="C231" i="4"/>
  <c r="U230" i="4"/>
  <c r="S230" i="4"/>
  <c r="Q230" i="4"/>
  <c r="O230" i="4"/>
  <c r="M230" i="4"/>
  <c r="K230" i="4"/>
  <c r="I230" i="4"/>
  <c r="G230" i="4"/>
  <c r="E230" i="4"/>
  <c r="C230" i="4"/>
  <c r="U229" i="4"/>
  <c r="S229" i="4"/>
  <c r="Q229" i="4"/>
  <c r="O229" i="4"/>
  <c r="M229" i="4"/>
  <c r="K229" i="4"/>
  <c r="I229" i="4"/>
  <c r="G229" i="4"/>
  <c r="E229" i="4"/>
  <c r="C229" i="4"/>
  <c r="U228" i="4"/>
  <c r="S228" i="4"/>
  <c r="Q228" i="4"/>
  <c r="O228" i="4"/>
  <c r="M228" i="4"/>
  <c r="K228" i="4"/>
  <c r="I228" i="4"/>
  <c r="G228" i="4"/>
  <c r="E228" i="4"/>
  <c r="C228" i="4"/>
  <c r="U227" i="4"/>
  <c r="S227" i="4"/>
  <c r="Q227" i="4"/>
  <c r="O227" i="4"/>
  <c r="M227" i="4"/>
  <c r="K227" i="4"/>
  <c r="I227" i="4"/>
  <c r="G227" i="4"/>
  <c r="E227" i="4"/>
  <c r="C227" i="4"/>
  <c r="U226" i="4"/>
  <c r="S226" i="4"/>
  <c r="Q226" i="4"/>
  <c r="O226" i="4"/>
  <c r="M226" i="4"/>
  <c r="K226" i="4"/>
  <c r="I226" i="4"/>
  <c r="G226" i="4"/>
  <c r="E226" i="4"/>
  <c r="C226" i="4"/>
  <c r="U225" i="4"/>
  <c r="S225" i="4"/>
  <c r="Q225" i="4"/>
  <c r="O225" i="4"/>
  <c r="M225" i="4"/>
  <c r="K225" i="4"/>
  <c r="I225" i="4"/>
  <c r="G225" i="4"/>
  <c r="E225" i="4"/>
  <c r="C225" i="4"/>
  <c r="U224" i="4"/>
  <c r="S224" i="4"/>
  <c r="Q224" i="4"/>
  <c r="O224" i="4"/>
  <c r="M224" i="4"/>
  <c r="K224" i="4"/>
  <c r="I224" i="4"/>
  <c r="G224" i="4"/>
  <c r="E224" i="4"/>
  <c r="C224" i="4"/>
  <c r="U223" i="4"/>
  <c r="S223" i="4"/>
  <c r="Q223" i="4"/>
  <c r="O223" i="4"/>
  <c r="M223" i="4"/>
  <c r="K223" i="4"/>
  <c r="I223" i="4"/>
  <c r="G223" i="4"/>
  <c r="E223" i="4"/>
  <c r="C223" i="4"/>
  <c r="U222" i="4"/>
  <c r="S222" i="4"/>
  <c r="Q222" i="4"/>
  <c r="O222" i="4"/>
  <c r="M222" i="4"/>
  <c r="K222" i="4"/>
  <c r="I222" i="4"/>
  <c r="G222" i="4"/>
  <c r="E222" i="4"/>
  <c r="C222" i="4"/>
  <c r="U221" i="4"/>
  <c r="S221" i="4"/>
  <c r="Q221" i="4"/>
  <c r="O221" i="4"/>
  <c r="M221" i="4"/>
  <c r="K221" i="4"/>
  <c r="I221" i="4"/>
  <c r="G221" i="4"/>
  <c r="E221" i="4"/>
  <c r="C221" i="4"/>
  <c r="U220" i="4"/>
  <c r="S220" i="4"/>
  <c r="Q220" i="4"/>
  <c r="O220" i="4"/>
  <c r="M220" i="4"/>
  <c r="K220" i="4"/>
  <c r="I220" i="4"/>
  <c r="G220" i="4"/>
  <c r="E220" i="4"/>
  <c r="C220" i="4"/>
  <c r="U219" i="4"/>
  <c r="S219" i="4"/>
  <c r="Q219" i="4"/>
  <c r="O219" i="4"/>
  <c r="M219" i="4"/>
  <c r="K219" i="4"/>
  <c r="I219" i="4"/>
  <c r="G219" i="4"/>
  <c r="E219" i="4"/>
  <c r="C219" i="4"/>
  <c r="U218" i="4"/>
  <c r="S218" i="4"/>
  <c r="Q218" i="4"/>
  <c r="O218" i="4"/>
  <c r="M218" i="4"/>
  <c r="K218" i="4"/>
  <c r="I218" i="4"/>
  <c r="G218" i="4"/>
  <c r="E218" i="4"/>
  <c r="C218" i="4"/>
  <c r="U217" i="4"/>
  <c r="S217" i="4"/>
  <c r="Q217" i="4"/>
  <c r="O217" i="4"/>
  <c r="M217" i="4"/>
  <c r="K217" i="4"/>
  <c r="I217" i="4"/>
  <c r="G217" i="4"/>
  <c r="E217" i="4"/>
  <c r="C217" i="4"/>
  <c r="U216" i="4"/>
  <c r="S216" i="4"/>
  <c r="Q216" i="4"/>
  <c r="O216" i="4"/>
  <c r="M216" i="4"/>
  <c r="K216" i="4"/>
  <c r="I216" i="4"/>
  <c r="G216" i="4"/>
  <c r="E216" i="4"/>
  <c r="C216" i="4"/>
  <c r="U215" i="4"/>
  <c r="S215" i="4"/>
  <c r="Q215" i="4"/>
  <c r="O215" i="4"/>
  <c r="M215" i="4"/>
  <c r="K215" i="4"/>
  <c r="I215" i="4"/>
  <c r="G215" i="4"/>
  <c r="E215" i="4"/>
  <c r="C215" i="4"/>
  <c r="U214" i="4"/>
  <c r="S214" i="4"/>
  <c r="Q214" i="4"/>
  <c r="O214" i="4"/>
  <c r="M214" i="4"/>
  <c r="K214" i="4"/>
  <c r="I214" i="4"/>
  <c r="G214" i="4"/>
  <c r="E214" i="4"/>
  <c r="C214" i="4"/>
  <c r="U213" i="4"/>
  <c r="S213" i="4"/>
  <c r="Q213" i="4"/>
  <c r="O213" i="4"/>
  <c r="M213" i="4"/>
  <c r="K213" i="4"/>
  <c r="I213" i="4"/>
  <c r="G213" i="4"/>
  <c r="E213" i="4"/>
  <c r="C213" i="4"/>
  <c r="U212" i="4"/>
  <c r="S212" i="4"/>
  <c r="Q212" i="4"/>
  <c r="O212" i="4"/>
  <c r="M212" i="4"/>
  <c r="K212" i="4"/>
  <c r="I212" i="4"/>
  <c r="G212" i="4"/>
  <c r="E212" i="4"/>
  <c r="C212" i="4"/>
  <c r="U211" i="4"/>
  <c r="S211" i="4"/>
  <c r="Q211" i="4"/>
  <c r="O211" i="4"/>
  <c r="M211" i="4"/>
  <c r="K211" i="4"/>
  <c r="I211" i="4"/>
  <c r="G211" i="4"/>
  <c r="E211" i="4"/>
  <c r="C211" i="4"/>
  <c r="U210" i="4"/>
  <c r="S210" i="4"/>
  <c r="Q210" i="4"/>
  <c r="O210" i="4"/>
  <c r="M210" i="4"/>
  <c r="K210" i="4"/>
  <c r="I210" i="4"/>
  <c r="G210" i="4"/>
  <c r="E210" i="4"/>
  <c r="C210" i="4"/>
  <c r="U209" i="4"/>
  <c r="S209" i="4"/>
  <c r="Q209" i="4"/>
  <c r="O209" i="4"/>
  <c r="M209" i="4"/>
  <c r="K209" i="4"/>
  <c r="I209" i="4"/>
  <c r="G209" i="4"/>
  <c r="E209" i="4"/>
  <c r="C209" i="4"/>
  <c r="U208" i="4"/>
  <c r="S208" i="4"/>
  <c r="Q208" i="4"/>
  <c r="O208" i="4"/>
  <c r="M208" i="4"/>
  <c r="K208" i="4"/>
  <c r="I208" i="4"/>
  <c r="G208" i="4"/>
  <c r="E208" i="4"/>
  <c r="C208" i="4"/>
  <c r="U207" i="4"/>
  <c r="S207" i="4"/>
  <c r="Q207" i="4"/>
  <c r="O207" i="4"/>
  <c r="M207" i="4"/>
  <c r="K207" i="4"/>
  <c r="I207" i="4"/>
  <c r="G207" i="4"/>
  <c r="E207" i="4"/>
  <c r="C207" i="4"/>
  <c r="U206" i="4"/>
  <c r="S206" i="4"/>
  <c r="Q206" i="4"/>
  <c r="O206" i="4"/>
  <c r="M206" i="4"/>
  <c r="K206" i="4"/>
  <c r="I206" i="4"/>
  <c r="G206" i="4"/>
  <c r="E206" i="4"/>
  <c r="C206" i="4"/>
  <c r="U205" i="4"/>
  <c r="S205" i="4"/>
  <c r="Q205" i="4"/>
  <c r="O205" i="4"/>
  <c r="M205" i="4"/>
  <c r="K205" i="4"/>
  <c r="I205" i="4"/>
  <c r="G205" i="4"/>
  <c r="E205" i="4"/>
  <c r="C205" i="4"/>
  <c r="U204" i="4"/>
  <c r="S204" i="4"/>
  <c r="Q204" i="4"/>
  <c r="O204" i="4"/>
  <c r="M204" i="4"/>
  <c r="K204" i="4"/>
  <c r="I204" i="4"/>
  <c r="G204" i="4"/>
  <c r="E204" i="4"/>
  <c r="C204" i="4"/>
  <c r="U203" i="4"/>
  <c r="S203" i="4"/>
  <c r="Q203" i="4"/>
  <c r="O203" i="4"/>
  <c r="M203" i="4"/>
  <c r="K203" i="4"/>
  <c r="I203" i="4"/>
  <c r="G203" i="4"/>
  <c r="E203" i="4"/>
  <c r="C203" i="4"/>
  <c r="U202" i="4"/>
  <c r="S202" i="4"/>
  <c r="Q202" i="4"/>
  <c r="O202" i="4"/>
  <c r="M202" i="4"/>
  <c r="K202" i="4"/>
  <c r="I202" i="4"/>
  <c r="G202" i="4"/>
  <c r="E202" i="4"/>
  <c r="C202" i="4"/>
  <c r="U201" i="4"/>
  <c r="S201" i="4"/>
  <c r="Q201" i="4"/>
  <c r="O201" i="4"/>
  <c r="M201" i="4"/>
  <c r="K201" i="4"/>
  <c r="I201" i="4"/>
  <c r="G201" i="4"/>
  <c r="E201" i="4"/>
  <c r="C201" i="4"/>
  <c r="U200" i="4"/>
  <c r="S200" i="4"/>
  <c r="Q200" i="4"/>
  <c r="O200" i="4"/>
  <c r="M200" i="4"/>
  <c r="K200" i="4"/>
  <c r="I200" i="4"/>
  <c r="G200" i="4"/>
  <c r="E200" i="4"/>
  <c r="C200" i="4"/>
  <c r="U199" i="4"/>
  <c r="S199" i="4"/>
  <c r="Q199" i="4"/>
  <c r="O199" i="4"/>
  <c r="M199" i="4"/>
  <c r="K199" i="4"/>
  <c r="I199" i="4"/>
  <c r="G199" i="4"/>
  <c r="E199" i="4"/>
  <c r="C199" i="4"/>
  <c r="U198" i="4"/>
  <c r="S198" i="4"/>
  <c r="Q198" i="4"/>
  <c r="O198" i="4"/>
  <c r="M198" i="4"/>
  <c r="K198" i="4"/>
  <c r="I198" i="4"/>
  <c r="G198" i="4"/>
  <c r="E198" i="4"/>
  <c r="C198" i="4"/>
  <c r="U197" i="4"/>
  <c r="S197" i="4"/>
  <c r="Q197" i="4"/>
  <c r="O197" i="4"/>
  <c r="M197" i="4"/>
  <c r="K197" i="4"/>
  <c r="I197" i="4"/>
  <c r="G197" i="4"/>
  <c r="E197" i="4"/>
  <c r="C197" i="4"/>
  <c r="U196" i="4"/>
  <c r="S196" i="4"/>
  <c r="Q196" i="4"/>
  <c r="O196" i="4"/>
  <c r="M196" i="4"/>
  <c r="K196" i="4"/>
  <c r="I196" i="4"/>
  <c r="G196" i="4"/>
  <c r="E196" i="4"/>
  <c r="C196" i="4"/>
  <c r="U195" i="4"/>
  <c r="S195" i="4"/>
  <c r="Q195" i="4"/>
  <c r="O195" i="4"/>
  <c r="M195" i="4"/>
  <c r="K195" i="4"/>
  <c r="I195" i="4"/>
  <c r="G195" i="4"/>
  <c r="E195" i="4"/>
  <c r="C195" i="4"/>
  <c r="U194" i="4"/>
  <c r="S194" i="4"/>
  <c r="Q194" i="4"/>
  <c r="O194" i="4"/>
  <c r="M194" i="4"/>
  <c r="K194" i="4"/>
  <c r="I194" i="4"/>
  <c r="G194" i="4"/>
  <c r="E194" i="4"/>
  <c r="C194" i="4"/>
  <c r="U193" i="4"/>
  <c r="S193" i="4"/>
  <c r="Q193" i="4"/>
  <c r="O193" i="4"/>
  <c r="M193" i="4"/>
  <c r="K193" i="4"/>
  <c r="I193" i="4"/>
  <c r="G193" i="4"/>
  <c r="E193" i="4"/>
  <c r="C193" i="4"/>
  <c r="U192" i="4"/>
  <c r="S192" i="4"/>
  <c r="Q192" i="4"/>
  <c r="O192" i="4"/>
  <c r="M192" i="4"/>
  <c r="K192" i="4"/>
  <c r="I192" i="4"/>
  <c r="G192" i="4"/>
  <c r="E192" i="4"/>
  <c r="C192" i="4"/>
  <c r="U191" i="4"/>
  <c r="S191" i="4"/>
  <c r="Q191" i="4"/>
  <c r="O191" i="4"/>
  <c r="M191" i="4"/>
  <c r="K191" i="4"/>
  <c r="I191" i="4"/>
  <c r="G191" i="4"/>
  <c r="E191" i="4"/>
  <c r="C191" i="4"/>
  <c r="U190" i="4"/>
  <c r="S190" i="4"/>
  <c r="Q190" i="4"/>
  <c r="O190" i="4"/>
  <c r="M190" i="4"/>
  <c r="K190" i="4"/>
  <c r="I190" i="4"/>
  <c r="G190" i="4"/>
  <c r="E190" i="4"/>
  <c r="C190" i="4"/>
  <c r="U189" i="4"/>
  <c r="S189" i="4"/>
  <c r="Q189" i="4"/>
  <c r="O189" i="4"/>
  <c r="M189" i="4"/>
  <c r="K189" i="4"/>
  <c r="I189" i="4"/>
  <c r="G189" i="4"/>
  <c r="E189" i="4"/>
  <c r="C189" i="4"/>
  <c r="U188" i="4"/>
  <c r="S188" i="4"/>
  <c r="Q188" i="4"/>
  <c r="O188" i="4"/>
  <c r="M188" i="4"/>
  <c r="K188" i="4"/>
  <c r="I188" i="4"/>
  <c r="G188" i="4"/>
  <c r="E188" i="4"/>
  <c r="C188" i="4"/>
  <c r="U187" i="4"/>
  <c r="S187" i="4"/>
  <c r="Q187" i="4"/>
  <c r="O187" i="4"/>
  <c r="M187" i="4"/>
  <c r="K187" i="4"/>
  <c r="I187" i="4"/>
  <c r="G187" i="4"/>
  <c r="E187" i="4"/>
  <c r="C187" i="4"/>
  <c r="U186" i="4"/>
  <c r="S186" i="4"/>
  <c r="Q186" i="4"/>
  <c r="O186" i="4"/>
  <c r="M186" i="4"/>
  <c r="K186" i="4"/>
  <c r="I186" i="4"/>
  <c r="G186" i="4"/>
  <c r="E186" i="4"/>
  <c r="C186" i="4"/>
  <c r="U185" i="4"/>
  <c r="S185" i="4"/>
  <c r="Q185" i="4"/>
  <c r="O185" i="4"/>
  <c r="M185" i="4"/>
  <c r="K185" i="4"/>
  <c r="I185" i="4"/>
  <c r="G185" i="4"/>
  <c r="E185" i="4"/>
  <c r="C185" i="4"/>
  <c r="U184" i="4"/>
  <c r="S184" i="4"/>
  <c r="Q184" i="4"/>
  <c r="O184" i="4"/>
  <c r="M184" i="4"/>
  <c r="K184" i="4"/>
  <c r="I184" i="4"/>
  <c r="G184" i="4"/>
  <c r="E184" i="4"/>
  <c r="C184" i="4"/>
  <c r="U183" i="4"/>
  <c r="S183" i="4"/>
  <c r="Q183" i="4"/>
  <c r="O183" i="4"/>
  <c r="M183" i="4"/>
  <c r="K183" i="4"/>
  <c r="I183" i="4"/>
  <c r="G183" i="4"/>
  <c r="E183" i="4"/>
  <c r="C183" i="4"/>
  <c r="U182" i="4"/>
  <c r="S182" i="4"/>
  <c r="Q182" i="4"/>
  <c r="O182" i="4"/>
  <c r="M182" i="4"/>
  <c r="K182" i="4"/>
  <c r="I182" i="4"/>
  <c r="G182" i="4"/>
  <c r="E182" i="4"/>
  <c r="C182" i="4"/>
  <c r="U181" i="4"/>
  <c r="S181" i="4"/>
  <c r="Q181" i="4"/>
  <c r="O181" i="4"/>
  <c r="M181" i="4"/>
  <c r="K181" i="4"/>
  <c r="I181" i="4"/>
  <c r="G181" i="4"/>
  <c r="E181" i="4"/>
  <c r="C181" i="4"/>
  <c r="U180" i="4"/>
  <c r="S180" i="4"/>
  <c r="Q180" i="4"/>
  <c r="O180" i="4"/>
  <c r="M180" i="4"/>
  <c r="K180" i="4"/>
  <c r="I180" i="4"/>
  <c r="G180" i="4"/>
  <c r="E180" i="4"/>
  <c r="C180" i="4"/>
  <c r="U179" i="4"/>
  <c r="S179" i="4"/>
  <c r="Q179" i="4"/>
  <c r="O179" i="4"/>
  <c r="M179" i="4"/>
  <c r="K179" i="4"/>
  <c r="I179" i="4"/>
  <c r="G179" i="4"/>
  <c r="E179" i="4"/>
  <c r="C179" i="4"/>
  <c r="U178" i="4"/>
  <c r="S178" i="4"/>
  <c r="Q178" i="4"/>
  <c r="O178" i="4"/>
  <c r="M178" i="4"/>
  <c r="K178" i="4"/>
  <c r="I178" i="4"/>
  <c r="G178" i="4"/>
  <c r="E178" i="4"/>
  <c r="C178" i="4"/>
  <c r="U177" i="4"/>
  <c r="S177" i="4"/>
  <c r="Q177" i="4"/>
  <c r="O177" i="4"/>
  <c r="M177" i="4"/>
  <c r="K177" i="4"/>
  <c r="I177" i="4"/>
  <c r="G177" i="4"/>
  <c r="E177" i="4"/>
  <c r="C177" i="4"/>
  <c r="U176" i="4"/>
  <c r="S176" i="4"/>
  <c r="Q176" i="4"/>
  <c r="O176" i="4"/>
  <c r="M176" i="4"/>
  <c r="K176" i="4"/>
  <c r="I176" i="4"/>
  <c r="G176" i="4"/>
  <c r="E176" i="4"/>
  <c r="C176" i="4"/>
  <c r="U175" i="4"/>
  <c r="S175" i="4"/>
  <c r="Q175" i="4"/>
  <c r="O175" i="4"/>
  <c r="M175" i="4"/>
  <c r="K175" i="4"/>
  <c r="I175" i="4"/>
  <c r="G175" i="4"/>
  <c r="E175" i="4"/>
  <c r="C175" i="4"/>
  <c r="U174" i="4"/>
  <c r="S174" i="4"/>
  <c r="Q174" i="4"/>
  <c r="O174" i="4"/>
  <c r="M174" i="4"/>
  <c r="K174" i="4"/>
  <c r="I174" i="4"/>
  <c r="G174" i="4"/>
  <c r="E174" i="4"/>
  <c r="C174" i="4"/>
  <c r="U173" i="4"/>
  <c r="S173" i="4"/>
  <c r="Q173" i="4"/>
  <c r="O173" i="4"/>
  <c r="M173" i="4"/>
  <c r="K173" i="4"/>
  <c r="I173" i="4"/>
  <c r="G173" i="4"/>
  <c r="E173" i="4"/>
  <c r="C173" i="4"/>
  <c r="U172" i="4"/>
  <c r="S172" i="4"/>
  <c r="Q172" i="4"/>
  <c r="O172" i="4"/>
  <c r="M172" i="4"/>
  <c r="K172" i="4"/>
  <c r="I172" i="4"/>
  <c r="G172" i="4"/>
  <c r="E172" i="4"/>
  <c r="C172" i="4"/>
  <c r="U171" i="4"/>
  <c r="S171" i="4"/>
  <c r="Q171" i="4"/>
  <c r="O171" i="4"/>
  <c r="M171" i="4"/>
  <c r="K171" i="4"/>
  <c r="I171" i="4"/>
  <c r="G171" i="4"/>
  <c r="E171" i="4"/>
  <c r="C171" i="4"/>
  <c r="U170" i="4"/>
  <c r="S170" i="4"/>
  <c r="Q170" i="4"/>
  <c r="O170" i="4"/>
  <c r="M170" i="4"/>
  <c r="K170" i="4"/>
  <c r="I170" i="4"/>
  <c r="G170" i="4"/>
  <c r="E170" i="4"/>
  <c r="C170" i="4"/>
  <c r="U169" i="4"/>
  <c r="S169" i="4"/>
  <c r="Q169" i="4"/>
  <c r="O169" i="4"/>
  <c r="M169" i="4"/>
  <c r="K169" i="4"/>
  <c r="I169" i="4"/>
  <c r="G169" i="4"/>
  <c r="E169" i="4"/>
  <c r="C169" i="4"/>
  <c r="U168" i="4"/>
  <c r="S168" i="4"/>
  <c r="Q168" i="4"/>
  <c r="O168" i="4"/>
  <c r="M168" i="4"/>
  <c r="K168" i="4"/>
  <c r="I168" i="4"/>
  <c r="G168" i="4"/>
  <c r="E168" i="4"/>
  <c r="C168" i="4"/>
  <c r="U167" i="4"/>
  <c r="S167" i="4"/>
  <c r="Q167" i="4"/>
  <c r="O167" i="4"/>
  <c r="M167" i="4"/>
  <c r="K167" i="4"/>
  <c r="I167" i="4"/>
  <c r="G167" i="4"/>
  <c r="E167" i="4"/>
  <c r="C167" i="4"/>
  <c r="U166" i="4"/>
  <c r="S166" i="4"/>
  <c r="Q166" i="4"/>
  <c r="O166" i="4"/>
  <c r="M166" i="4"/>
  <c r="K166" i="4"/>
  <c r="I166" i="4"/>
  <c r="G166" i="4"/>
  <c r="E166" i="4"/>
  <c r="C166" i="4"/>
  <c r="U165" i="4"/>
  <c r="S165" i="4"/>
  <c r="Q165" i="4"/>
  <c r="O165" i="4"/>
  <c r="M165" i="4"/>
  <c r="K165" i="4"/>
  <c r="I165" i="4"/>
  <c r="G165" i="4"/>
  <c r="E165" i="4"/>
  <c r="C165" i="4"/>
  <c r="U164" i="4"/>
  <c r="S164" i="4"/>
  <c r="Q164" i="4"/>
  <c r="O164" i="4"/>
  <c r="M164" i="4"/>
  <c r="K164" i="4"/>
  <c r="I164" i="4"/>
  <c r="G164" i="4"/>
  <c r="E164" i="4"/>
  <c r="C164" i="4"/>
  <c r="U163" i="4"/>
  <c r="S163" i="4"/>
  <c r="Q163" i="4"/>
  <c r="O163" i="4"/>
  <c r="M163" i="4"/>
  <c r="K163" i="4"/>
  <c r="I163" i="4"/>
  <c r="G163" i="4"/>
  <c r="E163" i="4"/>
  <c r="C163" i="4"/>
  <c r="U162" i="4"/>
  <c r="S162" i="4"/>
  <c r="Q162" i="4"/>
  <c r="O162" i="4"/>
  <c r="M162" i="4"/>
  <c r="K162" i="4"/>
  <c r="I162" i="4"/>
  <c r="G162" i="4"/>
  <c r="E162" i="4"/>
  <c r="C162" i="4"/>
  <c r="U161" i="4"/>
  <c r="S161" i="4"/>
  <c r="Q161" i="4"/>
  <c r="O161" i="4"/>
  <c r="M161" i="4"/>
  <c r="K161" i="4"/>
  <c r="I161" i="4"/>
  <c r="G161" i="4"/>
  <c r="E161" i="4"/>
  <c r="C161" i="4"/>
  <c r="U160" i="4"/>
  <c r="S160" i="4"/>
  <c r="Q160" i="4"/>
  <c r="O160" i="4"/>
  <c r="M160" i="4"/>
  <c r="K160" i="4"/>
  <c r="I160" i="4"/>
  <c r="G160" i="4"/>
  <c r="E160" i="4"/>
  <c r="C160" i="4"/>
  <c r="U159" i="4"/>
  <c r="S159" i="4"/>
  <c r="Q159" i="4"/>
  <c r="O159" i="4"/>
  <c r="M159" i="4"/>
  <c r="K159" i="4"/>
  <c r="I159" i="4"/>
  <c r="G159" i="4"/>
  <c r="E159" i="4"/>
  <c r="C159" i="4"/>
  <c r="U158" i="4"/>
  <c r="S158" i="4"/>
  <c r="Q158" i="4"/>
  <c r="O158" i="4"/>
  <c r="M158" i="4"/>
  <c r="K158" i="4"/>
  <c r="I158" i="4"/>
  <c r="G158" i="4"/>
  <c r="E158" i="4"/>
  <c r="C158" i="4"/>
  <c r="U157" i="4"/>
  <c r="S157" i="4"/>
  <c r="Q157" i="4"/>
  <c r="O157" i="4"/>
  <c r="M157" i="4"/>
  <c r="K157" i="4"/>
  <c r="I157" i="4"/>
  <c r="G157" i="4"/>
  <c r="E157" i="4"/>
  <c r="C157" i="4"/>
  <c r="U156" i="4"/>
  <c r="S156" i="4"/>
  <c r="Q156" i="4"/>
  <c r="O156" i="4"/>
  <c r="M156" i="4"/>
  <c r="K156" i="4"/>
  <c r="I156" i="4"/>
  <c r="G156" i="4"/>
  <c r="E156" i="4"/>
  <c r="C156" i="4"/>
  <c r="U155" i="4"/>
  <c r="S155" i="4"/>
  <c r="Q155" i="4"/>
  <c r="O155" i="4"/>
  <c r="M155" i="4"/>
  <c r="K155" i="4"/>
  <c r="I155" i="4"/>
  <c r="G155" i="4"/>
  <c r="E155" i="4"/>
  <c r="C155" i="4"/>
  <c r="U154" i="4"/>
  <c r="S154" i="4"/>
  <c r="Q154" i="4"/>
  <c r="O154" i="4"/>
  <c r="M154" i="4"/>
  <c r="K154" i="4"/>
  <c r="I154" i="4"/>
  <c r="G154" i="4"/>
  <c r="E154" i="4"/>
  <c r="C154" i="4"/>
  <c r="U153" i="4"/>
  <c r="S153" i="4"/>
  <c r="Q153" i="4"/>
  <c r="O153" i="4"/>
  <c r="M153" i="4"/>
  <c r="K153" i="4"/>
  <c r="I153" i="4"/>
  <c r="G153" i="4"/>
  <c r="E153" i="4"/>
  <c r="C153" i="4"/>
  <c r="U152" i="4"/>
  <c r="S152" i="4"/>
  <c r="Q152" i="4"/>
  <c r="O152" i="4"/>
  <c r="M152" i="4"/>
  <c r="K152" i="4"/>
  <c r="I152" i="4"/>
  <c r="G152" i="4"/>
  <c r="E152" i="4"/>
  <c r="C152" i="4"/>
  <c r="U151" i="4"/>
  <c r="S151" i="4"/>
  <c r="Q151" i="4"/>
  <c r="O151" i="4"/>
  <c r="M151" i="4"/>
  <c r="K151" i="4"/>
  <c r="I151" i="4"/>
  <c r="G151" i="4"/>
  <c r="E151" i="4"/>
  <c r="C151" i="4"/>
  <c r="U150" i="4"/>
  <c r="S150" i="4"/>
  <c r="Q150" i="4"/>
  <c r="O150" i="4"/>
  <c r="M150" i="4"/>
  <c r="K150" i="4"/>
  <c r="I150" i="4"/>
  <c r="G150" i="4"/>
  <c r="E150" i="4"/>
  <c r="C150" i="4"/>
  <c r="U149" i="4"/>
  <c r="S149" i="4"/>
  <c r="Q149" i="4"/>
  <c r="O149" i="4"/>
  <c r="M149" i="4"/>
  <c r="K149" i="4"/>
  <c r="I149" i="4"/>
  <c r="G149" i="4"/>
  <c r="E149" i="4"/>
  <c r="C149" i="4"/>
  <c r="U148" i="4"/>
  <c r="S148" i="4"/>
  <c r="Q148" i="4"/>
  <c r="O148" i="4"/>
  <c r="M148" i="4"/>
  <c r="K148" i="4"/>
  <c r="I148" i="4"/>
  <c r="G148" i="4"/>
  <c r="E148" i="4"/>
  <c r="C148" i="4"/>
  <c r="U147" i="4"/>
  <c r="S147" i="4"/>
  <c r="Q147" i="4"/>
  <c r="O147" i="4"/>
  <c r="M147" i="4"/>
  <c r="K147" i="4"/>
  <c r="I147" i="4"/>
  <c r="G147" i="4"/>
  <c r="E147" i="4"/>
  <c r="C147" i="4"/>
  <c r="U146" i="4"/>
  <c r="S146" i="4"/>
  <c r="Q146" i="4"/>
  <c r="O146" i="4"/>
  <c r="M146" i="4"/>
  <c r="K146" i="4"/>
  <c r="I146" i="4"/>
  <c r="G146" i="4"/>
  <c r="E146" i="4"/>
  <c r="C146" i="4"/>
  <c r="U145" i="4"/>
  <c r="S145" i="4"/>
  <c r="Q145" i="4"/>
  <c r="O145" i="4"/>
  <c r="M145" i="4"/>
  <c r="K145" i="4"/>
  <c r="I145" i="4"/>
  <c r="G145" i="4"/>
  <c r="E145" i="4"/>
  <c r="C145" i="4"/>
  <c r="U144" i="4"/>
  <c r="S144" i="4"/>
  <c r="Q144" i="4"/>
  <c r="O144" i="4"/>
  <c r="M144" i="4"/>
  <c r="K144" i="4"/>
  <c r="I144" i="4"/>
  <c r="G144" i="4"/>
  <c r="E144" i="4"/>
  <c r="C144" i="4"/>
  <c r="U143" i="4"/>
  <c r="S143" i="4"/>
  <c r="Q143" i="4"/>
  <c r="O143" i="4"/>
  <c r="M143" i="4"/>
  <c r="K143" i="4"/>
  <c r="I143" i="4"/>
  <c r="G143" i="4"/>
  <c r="E143" i="4"/>
  <c r="C143" i="4"/>
  <c r="U142" i="4"/>
  <c r="S142" i="4"/>
  <c r="Q142" i="4"/>
  <c r="O142" i="4"/>
  <c r="M142" i="4"/>
  <c r="K142" i="4"/>
  <c r="I142" i="4"/>
  <c r="G142" i="4"/>
  <c r="E142" i="4"/>
  <c r="C142" i="4"/>
  <c r="U141" i="4"/>
  <c r="S141" i="4"/>
  <c r="Q141" i="4"/>
  <c r="O141" i="4"/>
  <c r="M141" i="4"/>
  <c r="K141" i="4"/>
  <c r="I141" i="4"/>
  <c r="G141" i="4"/>
  <c r="E141" i="4"/>
  <c r="C141" i="4"/>
  <c r="U140" i="4"/>
  <c r="S140" i="4"/>
  <c r="Q140" i="4"/>
  <c r="O140" i="4"/>
  <c r="M140" i="4"/>
  <c r="K140" i="4"/>
  <c r="I140" i="4"/>
  <c r="G140" i="4"/>
  <c r="E140" i="4"/>
  <c r="C140" i="4"/>
  <c r="U139" i="4"/>
  <c r="S139" i="4"/>
  <c r="Q139" i="4"/>
  <c r="O139" i="4"/>
  <c r="M139" i="4"/>
  <c r="K139" i="4"/>
  <c r="I139" i="4"/>
  <c r="G139" i="4"/>
  <c r="E139" i="4"/>
  <c r="C139" i="4"/>
  <c r="U138" i="4"/>
  <c r="S138" i="4"/>
  <c r="Q138" i="4"/>
  <c r="O138" i="4"/>
  <c r="M138" i="4"/>
  <c r="K138" i="4"/>
  <c r="I138" i="4"/>
  <c r="G138" i="4"/>
  <c r="E138" i="4"/>
  <c r="C138" i="4"/>
  <c r="U137" i="4"/>
  <c r="S137" i="4"/>
  <c r="Q137" i="4"/>
  <c r="O137" i="4"/>
  <c r="M137" i="4"/>
  <c r="K137" i="4"/>
  <c r="I137" i="4"/>
  <c r="G137" i="4"/>
  <c r="E137" i="4"/>
  <c r="C137" i="4"/>
  <c r="U136" i="4"/>
  <c r="S136" i="4"/>
  <c r="Q136" i="4"/>
  <c r="O136" i="4"/>
  <c r="M136" i="4"/>
  <c r="K136" i="4"/>
  <c r="I136" i="4"/>
  <c r="G136" i="4"/>
  <c r="E136" i="4"/>
  <c r="C136" i="4"/>
  <c r="U135" i="4"/>
  <c r="S135" i="4"/>
  <c r="Q135" i="4"/>
  <c r="O135" i="4"/>
  <c r="M135" i="4"/>
  <c r="K135" i="4"/>
  <c r="I135" i="4"/>
  <c r="G135" i="4"/>
  <c r="E135" i="4"/>
  <c r="C135" i="4"/>
  <c r="U134" i="4"/>
  <c r="S134" i="4"/>
  <c r="Q134" i="4"/>
  <c r="O134" i="4"/>
  <c r="M134" i="4"/>
  <c r="K134" i="4"/>
  <c r="I134" i="4"/>
  <c r="G134" i="4"/>
  <c r="E134" i="4"/>
  <c r="C134" i="4"/>
  <c r="U133" i="4"/>
  <c r="S133" i="4"/>
  <c r="Q133" i="4"/>
  <c r="O133" i="4"/>
  <c r="M133" i="4"/>
  <c r="K133" i="4"/>
  <c r="I133" i="4"/>
  <c r="G133" i="4"/>
  <c r="E133" i="4"/>
  <c r="C133" i="4"/>
  <c r="U132" i="4"/>
  <c r="S132" i="4"/>
  <c r="Q132" i="4"/>
  <c r="O132" i="4"/>
  <c r="M132" i="4"/>
  <c r="K132" i="4"/>
  <c r="I132" i="4"/>
  <c r="G132" i="4"/>
  <c r="E132" i="4"/>
  <c r="C132" i="4"/>
  <c r="U131" i="4"/>
  <c r="S131" i="4"/>
  <c r="Q131" i="4"/>
  <c r="O131" i="4"/>
  <c r="M131" i="4"/>
  <c r="K131" i="4"/>
  <c r="I131" i="4"/>
  <c r="G131" i="4"/>
  <c r="E131" i="4"/>
  <c r="C131" i="4"/>
  <c r="U130" i="4"/>
  <c r="S130" i="4"/>
  <c r="Q130" i="4"/>
  <c r="O130" i="4"/>
  <c r="M130" i="4"/>
  <c r="K130" i="4"/>
  <c r="I130" i="4"/>
  <c r="G130" i="4"/>
  <c r="E130" i="4"/>
  <c r="C130" i="4"/>
  <c r="U129" i="4"/>
  <c r="S129" i="4"/>
  <c r="Q129" i="4"/>
  <c r="O129" i="4"/>
  <c r="M129" i="4"/>
  <c r="K129" i="4"/>
  <c r="I129" i="4"/>
  <c r="G129" i="4"/>
  <c r="E129" i="4"/>
  <c r="C129" i="4"/>
  <c r="U128" i="4"/>
  <c r="S128" i="4"/>
  <c r="Q128" i="4"/>
  <c r="O128" i="4"/>
  <c r="M128" i="4"/>
  <c r="K128" i="4"/>
  <c r="I128" i="4"/>
  <c r="G128" i="4"/>
  <c r="E128" i="4"/>
  <c r="C128" i="4"/>
  <c r="U127" i="4"/>
  <c r="S127" i="4"/>
  <c r="Q127" i="4"/>
  <c r="O127" i="4"/>
  <c r="M127" i="4"/>
  <c r="K127" i="4"/>
  <c r="I127" i="4"/>
  <c r="G127" i="4"/>
  <c r="E127" i="4"/>
  <c r="C127" i="4"/>
  <c r="U126" i="4"/>
  <c r="S126" i="4"/>
  <c r="Q126" i="4"/>
  <c r="O126" i="4"/>
  <c r="M126" i="4"/>
  <c r="K126" i="4"/>
  <c r="I126" i="4"/>
  <c r="G126" i="4"/>
  <c r="E126" i="4"/>
  <c r="C126" i="4"/>
  <c r="U125" i="4"/>
  <c r="S125" i="4"/>
  <c r="Q125" i="4"/>
  <c r="O125" i="4"/>
  <c r="M125" i="4"/>
  <c r="K125" i="4"/>
  <c r="I125" i="4"/>
  <c r="G125" i="4"/>
  <c r="E125" i="4"/>
  <c r="C125" i="4"/>
  <c r="U124" i="4"/>
  <c r="S124" i="4"/>
  <c r="Q124" i="4"/>
  <c r="O124" i="4"/>
  <c r="M124" i="4"/>
  <c r="K124" i="4"/>
  <c r="I124" i="4"/>
  <c r="G124" i="4"/>
  <c r="E124" i="4"/>
  <c r="C124" i="4"/>
  <c r="U123" i="4"/>
  <c r="S123" i="4"/>
  <c r="Q123" i="4"/>
  <c r="O123" i="4"/>
  <c r="M123" i="4"/>
  <c r="K123" i="4"/>
  <c r="I123" i="4"/>
  <c r="G123" i="4"/>
  <c r="E123" i="4"/>
  <c r="C123" i="4"/>
  <c r="U122" i="4"/>
  <c r="S122" i="4"/>
  <c r="Q122" i="4"/>
  <c r="O122" i="4"/>
  <c r="M122" i="4"/>
  <c r="K122" i="4"/>
  <c r="I122" i="4"/>
  <c r="G122" i="4"/>
  <c r="E122" i="4"/>
  <c r="C122" i="4"/>
  <c r="U121" i="4"/>
  <c r="S121" i="4"/>
  <c r="Q121" i="4"/>
  <c r="O121" i="4"/>
  <c r="M121" i="4"/>
  <c r="K121" i="4"/>
  <c r="I121" i="4"/>
  <c r="G121" i="4"/>
  <c r="E121" i="4"/>
  <c r="C121" i="4"/>
  <c r="U120" i="4"/>
  <c r="S120" i="4"/>
  <c r="Q120" i="4"/>
  <c r="O120" i="4"/>
  <c r="M120" i="4"/>
  <c r="K120" i="4"/>
  <c r="I120" i="4"/>
  <c r="G120" i="4"/>
  <c r="E120" i="4"/>
  <c r="C120" i="4"/>
  <c r="U119" i="4"/>
  <c r="S119" i="4"/>
  <c r="Q119" i="4"/>
  <c r="O119" i="4"/>
  <c r="M119" i="4"/>
  <c r="K119" i="4"/>
  <c r="I119" i="4"/>
  <c r="G119" i="4"/>
  <c r="E119" i="4"/>
  <c r="C119" i="4"/>
  <c r="U118" i="4"/>
  <c r="S118" i="4"/>
  <c r="Q118" i="4"/>
  <c r="O118" i="4"/>
  <c r="M118" i="4"/>
  <c r="K118" i="4"/>
  <c r="I118" i="4"/>
  <c r="G118" i="4"/>
  <c r="E118" i="4"/>
  <c r="C118" i="4"/>
  <c r="U117" i="4"/>
  <c r="S117" i="4"/>
  <c r="Q117" i="4"/>
  <c r="O117" i="4"/>
  <c r="M117" i="4"/>
  <c r="K117" i="4"/>
  <c r="I117" i="4"/>
  <c r="G117" i="4"/>
  <c r="E117" i="4"/>
  <c r="C117" i="4"/>
  <c r="U116" i="4"/>
  <c r="S116" i="4"/>
  <c r="Q116" i="4"/>
  <c r="O116" i="4"/>
  <c r="M116" i="4"/>
  <c r="K116" i="4"/>
  <c r="I116" i="4"/>
  <c r="G116" i="4"/>
  <c r="E116" i="4"/>
  <c r="C116" i="4"/>
  <c r="U115" i="4"/>
  <c r="S115" i="4"/>
  <c r="Q115" i="4"/>
  <c r="O115" i="4"/>
  <c r="M115" i="4"/>
  <c r="K115" i="4"/>
  <c r="I115" i="4"/>
  <c r="G115" i="4"/>
  <c r="E115" i="4"/>
  <c r="C115" i="4"/>
  <c r="U114" i="4"/>
  <c r="S114" i="4"/>
  <c r="Q114" i="4"/>
  <c r="O114" i="4"/>
  <c r="M114" i="4"/>
  <c r="K114" i="4"/>
  <c r="I114" i="4"/>
  <c r="G114" i="4"/>
  <c r="E114" i="4"/>
  <c r="C114" i="4"/>
  <c r="U113" i="4"/>
  <c r="S113" i="4"/>
  <c r="Q113" i="4"/>
  <c r="O113" i="4"/>
  <c r="M113" i="4"/>
  <c r="K113" i="4"/>
  <c r="I113" i="4"/>
  <c r="G113" i="4"/>
  <c r="E113" i="4"/>
  <c r="C113" i="4"/>
  <c r="U112" i="4"/>
  <c r="S112" i="4"/>
  <c r="Q112" i="4"/>
  <c r="O112" i="4"/>
  <c r="M112" i="4"/>
  <c r="K112" i="4"/>
  <c r="I112" i="4"/>
  <c r="G112" i="4"/>
  <c r="E112" i="4"/>
  <c r="C112" i="4"/>
  <c r="U111" i="4"/>
  <c r="S111" i="4"/>
  <c r="Q111" i="4"/>
  <c r="O111" i="4"/>
  <c r="M111" i="4"/>
  <c r="K111" i="4"/>
  <c r="I111" i="4"/>
  <c r="G111" i="4"/>
  <c r="E111" i="4"/>
  <c r="C111" i="4"/>
  <c r="U110" i="4"/>
  <c r="S110" i="4"/>
  <c r="Q110" i="4"/>
  <c r="O110" i="4"/>
  <c r="M110" i="4"/>
  <c r="K110" i="4"/>
  <c r="I110" i="4"/>
  <c r="G110" i="4"/>
  <c r="E110" i="4"/>
  <c r="C110" i="4"/>
  <c r="U109" i="4"/>
  <c r="S109" i="4"/>
  <c r="Q109" i="4"/>
  <c r="O109" i="4"/>
  <c r="M109" i="4"/>
  <c r="K109" i="4"/>
  <c r="I109" i="4"/>
  <c r="G109" i="4"/>
  <c r="E109" i="4"/>
  <c r="C109" i="4"/>
  <c r="U108" i="4"/>
  <c r="S108" i="4"/>
  <c r="Q108" i="4"/>
  <c r="O108" i="4"/>
  <c r="M108" i="4"/>
  <c r="K108" i="4"/>
  <c r="I108" i="4"/>
  <c r="G108" i="4"/>
  <c r="E108" i="4"/>
  <c r="C108" i="4"/>
  <c r="U107" i="4"/>
  <c r="S107" i="4"/>
  <c r="Q107" i="4"/>
  <c r="O107" i="4"/>
  <c r="M107" i="4"/>
  <c r="K107" i="4"/>
  <c r="I107" i="4"/>
  <c r="G107" i="4"/>
  <c r="E107" i="4"/>
  <c r="C107" i="4"/>
  <c r="U106" i="4"/>
  <c r="S106" i="4"/>
  <c r="Q106" i="4"/>
  <c r="O106" i="4"/>
  <c r="M106" i="4"/>
  <c r="K106" i="4"/>
  <c r="I106" i="4"/>
  <c r="G106" i="4"/>
  <c r="E106" i="4"/>
  <c r="C106" i="4"/>
  <c r="U105" i="4"/>
  <c r="S105" i="4"/>
  <c r="Q105" i="4"/>
  <c r="O105" i="4"/>
  <c r="M105" i="4"/>
  <c r="K105" i="4"/>
  <c r="I105" i="4"/>
  <c r="G105" i="4"/>
  <c r="E105" i="4"/>
  <c r="C105" i="4"/>
  <c r="U104" i="4"/>
  <c r="S104" i="4"/>
  <c r="Q104" i="4"/>
  <c r="O104" i="4"/>
  <c r="M104" i="4"/>
  <c r="K104" i="4"/>
  <c r="I104" i="4"/>
  <c r="G104" i="4"/>
  <c r="E104" i="4"/>
  <c r="C104" i="4"/>
  <c r="U103" i="4"/>
  <c r="S103" i="4"/>
  <c r="Q103" i="4"/>
  <c r="O103" i="4"/>
  <c r="M103" i="4"/>
  <c r="K103" i="4"/>
  <c r="I103" i="4"/>
  <c r="G103" i="4"/>
  <c r="E103" i="4"/>
  <c r="C103" i="4"/>
  <c r="U102" i="4"/>
  <c r="S102" i="4"/>
  <c r="Q102" i="4"/>
  <c r="O102" i="4"/>
  <c r="M102" i="4"/>
  <c r="K102" i="4"/>
  <c r="I102" i="4"/>
  <c r="G102" i="4"/>
  <c r="E102" i="4"/>
  <c r="C102" i="4"/>
  <c r="U101" i="4"/>
  <c r="S101" i="4"/>
  <c r="Q101" i="4"/>
  <c r="O101" i="4"/>
  <c r="M101" i="4"/>
  <c r="K101" i="4"/>
  <c r="I101" i="4"/>
  <c r="G101" i="4"/>
  <c r="E101" i="4"/>
  <c r="C101" i="4"/>
  <c r="U100" i="4"/>
  <c r="S100" i="4"/>
  <c r="Q100" i="4"/>
  <c r="O100" i="4"/>
  <c r="M100" i="4"/>
  <c r="K100" i="4"/>
  <c r="I100" i="4"/>
  <c r="G100" i="4"/>
  <c r="E100" i="4"/>
  <c r="C100" i="4"/>
  <c r="U99" i="4"/>
  <c r="S99" i="4"/>
  <c r="Q99" i="4"/>
  <c r="O99" i="4"/>
  <c r="M99" i="4"/>
  <c r="K99" i="4"/>
  <c r="I99" i="4"/>
  <c r="G99" i="4"/>
  <c r="E99" i="4"/>
  <c r="C99" i="4"/>
  <c r="U98" i="4"/>
  <c r="S98" i="4"/>
  <c r="Q98" i="4"/>
  <c r="O98" i="4"/>
  <c r="M98" i="4"/>
  <c r="K98" i="4"/>
  <c r="I98" i="4"/>
  <c r="G98" i="4"/>
  <c r="E98" i="4"/>
  <c r="C98" i="4"/>
  <c r="U97" i="4"/>
  <c r="S97" i="4"/>
  <c r="Q97" i="4"/>
  <c r="O97" i="4"/>
  <c r="M97" i="4"/>
  <c r="K97" i="4"/>
  <c r="I97" i="4"/>
  <c r="G97" i="4"/>
  <c r="E97" i="4"/>
  <c r="C97" i="4"/>
  <c r="U96" i="4"/>
  <c r="S96" i="4"/>
  <c r="Q96" i="4"/>
  <c r="O96" i="4"/>
  <c r="M96" i="4"/>
  <c r="K96" i="4"/>
  <c r="I96" i="4"/>
  <c r="G96" i="4"/>
  <c r="E96" i="4"/>
  <c r="C96" i="4"/>
  <c r="U95" i="4"/>
  <c r="S95" i="4"/>
  <c r="Q95" i="4"/>
  <c r="O95" i="4"/>
  <c r="M95" i="4"/>
  <c r="K95" i="4"/>
  <c r="I95" i="4"/>
  <c r="G95" i="4"/>
  <c r="E95" i="4"/>
  <c r="C95" i="4"/>
  <c r="U94" i="4"/>
  <c r="S94" i="4"/>
  <c r="Q94" i="4"/>
  <c r="O94" i="4"/>
  <c r="M94" i="4"/>
  <c r="K94" i="4"/>
  <c r="I94" i="4"/>
  <c r="G94" i="4"/>
  <c r="E94" i="4"/>
  <c r="C94" i="4"/>
  <c r="U93" i="4"/>
  <c r="S93" i="4"/>
  <c r="Q93" i="4"/>
  <c r="O93" i="4"/>
  <c r="M93" i="4"/>
  <c r="K93" i="4"/>
  <c r="I93" i="4"/>
  <c r="G93" i="4"/>
  <c r="E93" i="4"/>
  <c r="C93" i="4"/>
  <c r="U92" i="4"/>
  <c r="S92" i="4"/>
  <c r="Q92" i="4"/>
  <c r="O92" i="4"/>
  <c r="M92" i="4"/>
  <c r="K92" i="4"/>
  <c r="I92" i="4"/>
  <c r="G92" i="4"/>
  <c r="E92" i="4"/>
  <c r="C92" i="4"/>
  <c r="U91" i="4"/>
  <c r="S91" i="4"/>
  <c r="Q91" i="4"/>
  <c r="O91" i="4"/>
  <c r="M91" i="4"/>
  <c r="K91" i="4"/>
  <c r="I91" i="4"/>
  <c r="G91" i="4"/>
  <c r="E91" i="4"/>
  <c r="C91" i="4"/>
  <c r="U90" i="4"/>
  <c r="S90" i="4"/>
  <c r="Q90" i="4"/>
  <c r="O90" i="4"/>
  <c r="M90" i="4"/>
  <c r="K90" i="4"/>
  <c r="I90" i="4"/>
  <c r="G90" i="4"/>
  <c r="E90" i="4"/>
  <c r="C90" i="4"/>
  <c r="U89" i="4"/>
  <c r="S89" i="4"/>
  <c r="Q89" i="4"/>
  <c r="O89" i="4"/>
  <c r="M89" i="4"/>
  <c r="K89" i="4"/>
  <c r="I89" i="4"/>
  <c r="G89" i="4"/>
  <c r="E89" i="4"/>
  <c r="C89" i="4"/>
  <c r="U88" i="4"/>
  <c r="S88" i="4"/>
  <c r="Q88" i="4"/>
  <c r="O88" i="4"/>
  <c r="M88" i="4"/>
  <c r="K88" i="4"/>
  <c r="I88" i="4"/>
  <c r="G88" i="4"/>
  <c r="E88" i="4"/>
  <c r="C88" i="4"/>
  <c r="U87" i="4"/>
  <c r="S87" i="4"/>
  <c r="Q87" i="4"/>
  <c r="O87" i="4"/>
  <c r="M87" i="4"/>
  <c r="K87" i="4"/>
  <c r="I87" i="4"/>
  <c r="G87" i="4"/>
  <c r="E87" i="4"/>
  <c r="C87" i="4"/>
  <c r="U86" i="4"/>
  <c r="S86" i="4"/>
  <c r="Q86" i="4"/>
  <c r="O86" i="4"/>
  <c r="M86" i="4"/>
  <c r="K86" i="4"/>
  <c r="I86" i="4"/>
  <c r="G86" i="4"/>
  <c r="E86" i="4"/>
  <c r="C86" i="4"/>
  <c r="U85" i="4"/>
  <c r="S85" i="4"/>
  <c r="Q85" i="4"/>
  <c r="O85" i="4"/>
  <c r="M85" i="4"/>
  <c r="K85" i="4"/>
  <c r="I85" i="4"/>
  <c r="G85" i="4"/>
  <c r="E85" i="4"/>
  <c r="C85" i="4"/>
  <c r="U84" i="4"/>
  <c r="S84" i="4"/>
  <c r="Q84" i="4"/>
  <c r="O84" i="4"/>
  <c r="M84" i="4"/>
  <c r="K84" i="4"/>
  <c r="I84" i="4"/>
  <c r="G84" i="4"/>
  <c r="E84" i="4"/>
  <c r="C84" i="4"/>
  <c r="U83" i="4"/>
  <c r="S83" i="4"/>
  <c r="Q83" i="4"/>
  <c r="O83" i="4"/>
  <c r="M83" i="4"/>
  <c r="K83" i="4"/>
  <c r="I83" i="4"/>
  <c r="G83" i="4"/>
  <c r="E83" i="4"/>
  <c r="C83" i="4"/>
  <c r="U82" i="4"/>
  <c r="S82" i="4"/>
  <c r="Q82" i="4"/>
  <c r="O82" i="4"/>
  <c r="M82" i="4"/>
  <c r="K82" i="4"/>
  <c r="I82" i="4"/>
  <c r="G82" i="4"/>
  <c r="E82" i="4"/>
  <c r="C82" i="4"/>
  <c r="U81" i="4"/>
  <c r="S81" i="4"/>
  <c r="Q81" i="4"/>
  <c r="O81" i="4"/>
  <c r="M81" i="4"/>
  <c r="K81" i="4"/>
  <c r="I81" i="4"/>
  <c r="G81" i="4"/>
  <c r="E81" i="4"/>
  <c r="C81" i="4"/>
  <c r="U80" i="4"/>
  <c r="S80" i="4"/>
  <c r="Q80" i="4"/>
  <c r="O80" i="4"/>
  <c r="M80" i="4"/>
  <c r="K80" i="4"/>
  <c r="I80" i="4"/>
  <c r="G80" i="4"/>
  <c r="E80" i="4"/>
  <c r="C80" i="4"/>
  <c r="U79" i="4"/>
  <c r="S79" i="4"/>
  <c r="Q79" i="4"/>
  <c r="O79" i="4"/>
  <c r="M79" i="4"/>
  <c r="K79" i="4"/>
  <c r="I79" i="4"/>
  <c r="G79" i="4"/>
  <c r="E79" i="4"/>
  <c r="C79" i="4"/>
  <c r="U78" i="4"/>
  <c r="S78" i="4"/>
  <c r="Q78" i="4"/>
  <c r="O78" i="4"/>
  <c r="M78" i="4"/>
  <c r="K78" i="4"/>
  <c r="I78" i="4"/>
  <c r="G78" i="4"/>
  <c r="E78" i="4"/>
  <c r="C78" i="4"/>
  <c r="U77" i="4"/>
  <c r="S77" i="4"/>
  <c r="Q77" i="4"/>
  <c r="O77" i="4"/>
  <c r="M77" i="4"/>
  <c r="K77" i="4"/>
  <c r="I77" i="4"/>
  <c r="G77" i="4"/>
  <c r="E77" i="4"/>
  <c r="C77" i="4"/>
  <c r="U76" i="4"/>
  <c r="S76" i="4"/>
  <c r="Q76" i="4"/>
  <c r="O76" i="4"/>
  <c r="M76" i="4"/>
  <c r="K76" i="4"/>
  <c r="I76" i="4"/>
  <c r="G76" i="4"/>
  <c r="E76" i="4"/>
  <c r="C76" i="4"/>
  <c r="U75" i="4"/>
  <c r="S75" i="4"/>
  <c r="Q75" i="4"/>
  <c r="O75" i="4"/>
  <c r="M75" i="4"/>
  <c r="K75" i="4"/>
  <c r="I75" i="4"/>
  <c r="G75" i="4"/>
  <c r="E75" i="4"/>
  <c r="C75" i="4"/>
  <c r="U74" i="4"/>
  <c r="S74" i="4"/>
  <c r="Q74" i="4"/>
  <c r="O74" i="4"/>
  <c r="M74" i="4"/>
  <c r="K74" i="4"/>
  <c r="I74" i="4"/>
  <c r="G74" i="4"/>
  <c r="E74" i="4"/>
  <c r="C74" i="4"/>
  <c r="U73" i="4"/>
  <c r="S73" i="4"/>
  <c r="Q73" i="4"/>
  <c r="O73" i="4"/>
  <c r="M73" i="4"/>
  <c r="K73" i="4"/>
  <c r="I73" i="4"/>
  <c r="G73" i="4"/>
  <c r="E73" i="4"/>
  <c r="C73" i="4"/>
  <c r="U72" i="4"/>
  <c r="S72" i="4"/>
  <c r="Q72" i="4"/>
  <c r="O72" i="4"/>
  <c r="M72" i="4"/>
  <c r="K72" i="4"/>
  <c r="I72" i="4"/>
  <c r="G72" i="4"/>
  <c r="E72" i="4"/>
  <c r="C72" i="4"/>
  <c r="U71" i="4"/>
  <c r="S71" i="4"/>
  <c r="Q71" i="4"/>
  <c r="O71" i="4"/>
  <c r="M71" i="4"/>
  <c r="K71" i="4"/>
  <c r="I71" i="4"/>
  <c r="G71" i="4"/>
  <c r="E71" i="4"/>
  <c r="C71" i="4"/>
  <c r="U70" i="4"/>
  <c r="S70" i="4"/>
  <c r="Q70" i="4"/>
  <c r="O70" i="4"/>
  <c r="M70" i="4"/>
  <c r="K70" i="4"/>
  <c r="I70" i="4"/>
  <c r="G70" i="4"/>
  <c r="E70" i="4"/>
  <c r="C70" i="4"/>
  <c r="U69" i="4"/>
  <c r="S69" i="4"/>
  <c r="Q69" i="4"/>
  <c r="O69" i="4"/>
  <c r="M69" i="4"/>
  <c r="K69" i="4"/>
  <c r="I69" i="4"/>
  <c r="G69" i="4"/>
  <c r="E69" i="4"/>
  <c r="C69" i="4"/>
  <c r="U68" i="4"/>
  <c r="S68" i="4"/>
  <c r="Q68" i="4"/>
  <c r="O68" i="4"/>
  <c r="M68" i="4"/>
  <c r="K68" i="4"/>
  <c r="I68" i="4"/>
  <c r="G68" i="4"/>
  <c r="E68" i="4"/>
  <c r="C68" i="4"/>
  <c r="U67" i="4"/>
  <c r="S67" i="4"/>
  <c r="Q67" i="4"/>
  <c r="O67" i="4"/>
  <c r="M67" i="4"/>
  <c r="K67" i="4"/>
  <c r="I67" i="4"/>
  <c r="G67" i="4"/>
  <c r="E67" i="4"/>
  <c r="C67" i="4"/>
  <c r="U66" i="4"/>
  <c r="S66" i="4"/>
  <c r="Q66" i="4"/>
  <c r="O66" i="4"/>
  <c r="M66" i="4"/>
  <c r="K66" i="4"/>
  <c r="I66" i="4"/>
  <c r="G66" i="4"/>
  <c r="E66" i="4"/>
  <c r="C66" i="4"/>
  <c r="U65" i="4"/>
  <c r="S65" i="4"/>
  <c r="Q65" i="4"/>
  <c r="O65" i="4"/>
  <c r="M65" i="4"/>
  <c r="K65" i="4"/>
  <c r="I65" i="4"/>
  <c r="G65" i="4"/>
  <c r="E65" i="4"/>
  <c r="C65" i="4"/>
  <c r="U64" i="4"/>
  <c r="S64" i="4"/>
  <c r="Q64" i="4"/>
  <c r="O64" i="4"/>
  <c r="M64" i="4"/>
  <c r="K64" i="4"/>
  <c r="I64" i="4"/>
  <c r="G64" i="4"/>
  <c r="E64" i="4"/>
  <c r="C64" i="4"/>
  <c r="U63" i="4"/>
  <c r="S63" i="4"/>
  <c r="Q63" i="4"/>
  <c r="O63" i="4"/>
  <c r="M63" i="4"/>
  <c r="K63" i="4"/>
  <c r="I63" i="4"/>
  <c r="G63" i="4"/>
  <c r="E63" i="4"/>
  <c r="C63" i="4"/>
  <c r="U62" i="4"/>
  <c r="S62" i="4"/>
  <c r="Q62" i="4"/>
  <c r="O62" i="4"/>
  <c r="M62" i="4"/>
  <c r="K62" i="4"/>
  <c r="I62" i="4"/>
  <c r="G62" i="4"/>
  <c r="E62" i="4"/>
  <c r="C62" i="4"/>
  <c r="U61" i="4"/>
  <c r="S61" i="4"/>
  <c r="Q61" i="4"/>
  <c r="O61" i="4"/>
  <c r="M61" i="4"/>
  <c r="K61" i="4"/>
  <c r="I61" i="4"/>
  <c r="G61" i="4"/>
  <c r="E61" i="4"/>
  <c r="C61" i="4"/>
  <c r="U60" i="4"/>
  <c r="S60" i="4"/>
  <c r="Q60" i="4"/>
  <c r="O60" i="4"/>
  <c r="M60" i="4"/>
  <c r="K60" i="4"/>
  <c r="I60" i="4"/>
  <c r="G60" i="4"/>
  <c r="E60" i="4"/>
  <c r="C60" i="4"/>
  <c r="U59" i="4"/>
  <c r="S59" i="4"/>
  <c r="Q59" i="4"/>
  <c r="O59" i="4"/>
  <c r="M59" i="4"/>
  <c r="K59" i="4"/>
  <c r="I59" i="4"/>
  <c r="G59" i="4"/>
  <c r="E59" i="4"/>
  <c r="C59" i="4"/>
  <c r="U58" i="4"/>
  <c r="S58" i="4"/>
  <c r="Q58" i="4"/>
  <c r="O58" i="4"/>
  <c r="M58" i="4"/>
  <c r="K58" i="4"/>
  <c r="I58" i="4"/>
  <c r="G58" i="4"/>
  <c r="E58" i="4"/>
  <c r="C58" i="4"/>
  <c r="U57" i="4"/>
  <c r="S57" i="4"/>
  <c r="Q57" i="4"/>
  <c r="O57" i="4"/>
  <c r="M57" i="4"/>
  <c r="K57" i="4"/>
  <c r="I57" i="4"/>
  <c r="G57" i="4"/>
  <c r="E57" i="4"/>
  <c r="C57" i="4"/>
  <c r="U56" i="4"/>
  <c r="S56" i="4"/>
  <c r="Q56" i="4"/>
  <c r="O56" i="4"/>
  <c r="M56" i="4"/>
  <c r="K56" i="4"/>
  <c r="I56" i="4"/>
  <c r="G56" i="4"/>
  <c r="E56" i="4"/>
  <c r="C56" i="4"/>
  <c r="U55" i="4"/>
  <c r="S55" i="4"/>
  <c r="Q55" i="4"/>
  <c r="O55" i="4"/>
  <c r="M55" i="4"/>
  <c r="K55" i="4"/>
  <c r="I55" i="4"/>
  <c r="G55" i="4"/>
  <c r="E55" i="4"/>
  <c r="C55" i="4"/>
  <c r="U54" i="4"/>
  <c r="S54" i="4"/>
  <c r="Q54" i="4"/>
  <c r="O54" i="4"/>
  <c r="M54" i="4"/>
  <c r="K54" i="4"/>
  <c r="I54" i="4"/>
  <c r="G54" i="4"/>
  <c r="E54" i="4"/>
  <c r="C54" i="4"/>
  <c r="U53" i="4"/>
  <c r="S53" i="4"/>
  <c r="Q53" i="4"/>
  <c r="O53" i="4"/>
  <c r="M53" i="4"/>
  <c r="K53" i="4"/>
  <c r="I53" i="4"/>
  <c r="G53" i="4"/>
  <c r="E53" i="4"/>
  <c r="C53" i="4"/>
  <c r="U52" i="4"/>
  <c r="S52" i="4"/>
  <c r="Q52" i="4"/>
  <c r="O52" i="4"/>
  <c r="M52" i="4"/>
  <c r="K52" i="4"/>
  <c r="I52" i="4"/>
  <c r="G52" i="4"/>
  <c r="E52" i="4"/>
  <c r="C52" i="4"/>
  <c r="U51" i="4"/>
  <c r="S51" i="4"/>
  <c r="Q51" i="4"/>
  <c r="O51" i="4"/>
  <c r="M51" i="4"/>
  <c r="K51" i="4"/>
  <c r="I51" i="4"/>
  <c r="G51" i="4"/>
  <c r="E51" i="4"/>
  <c r="C51" i="4"/>
  <c r="U50" i="4"/>
  <c r="S50" i="4"/>
  <c r="Q50" i="4"/>
  <c r="O50" i="4"/>
  <c r="M50" i="4"/>
  <c r="K50" i="4"/>
  <c r="I50" i="4"/>
  <c r="G50" i="4"/>
  <c r="E50" i="4"/>
  <c r="C50" i="4"/>
  <c r="U49" i="4"/>
  <c r="S49" i="4"/>
  <c r="Q49" i="4"/>
  <c r="O49" i="4"/>
  <c r="M49" i="4"/>
  <c r="K49" i="4"/>
  <c r="I49" i="4"/>
  <c r="G49" i="4"/>
  <c r="E49" i="4"/>
  <c r="C49" i="4"/>
  <c r="U48" i="4"/>
  <c r="S48" i="4"/>
  <c r="Q48" i="4"/>
  <c r="O48" i="4"/>
  <c r="M48" i="4"/>
  <c r="K48" i="4"/>
  <c r="I48" i="4"/>
  <c r="G48" i="4"/>
  <c r="E48" i="4"/>
  <c r="C48" i="4"/>
  <c r="U47" i="4"/>
  <c r="S47" i="4"/>
  <c r="Q47" i="4"/>
  <c r="O47" i="4"/>
  <c r="M47" i="4"/>
  <c r="K47" i="4"/>
  <c r="I47" i="4"/>
  <c r="G47" i="4"/>
  <c r="E47" i="4"/>
  <c r="C47" i="4"/>
  <c r="U46" i="4"/>
  <c r="S46" i="4"/>
  <c r="Q46" i="4"/>
  <c r="O46" i="4"/>
  <c r="M46" i="4"/>
  <c r="K46" i="4"/>
  <c r="I46" i="4"/>
  <c r="G46" i="4"/>
  <c r="E46" i="4"/>
  <c r="C46" i="4"/>
  <c r="U45" i="4"/>
  <c r="S45" i="4"/>
  <c r="Q45" i="4"/>
  <c r="O45" i="4"/>
  <c r="M45" i="4"/>
  <c r="K45" i="4"/>
  <c r="I45" i="4"/>
  <c r="G45" i="4"/>
  <c r="E45" i="4"/>
  <c r="C45" i="4"/>
  <c r="U44" i="4"/>
  <c r="S44" i="4"/>
  <c r="Q44" i="4"/>
  <c r="O44" i="4"/>
  <c r="M44" i="4"/>
  <c r="K44" i="4"/>
  <c r="I44" i="4"/>
  <c r="G44" i="4"/>
  <c r="E44" i="4"/>
  <c r="C44" i="4"/>
  <c r="U43" i="4"/>
  <c r="S43" i="4"/>
  <c r="Q43" i="4"/>
  <c r="O43" i="4"/>
  <c r="M43" i="4"/>
  <c r="K43" i="4"/>
  <c r="I43" i="4"/>
  <c r="G43" i="4"/>
  <c r="E43" i="4"/>
  <c r="C43" i="4"/>
  <c r="U42" i="4"/>
  <c r="S42" i="4"/>
  <c r="Q42" i="4"/>
  <c r="O42" i="4"/>
  <c r="M42" i="4"/>
  <c r="K42" i="4"/>
  <c r="I42" i="4"/>
  <c r="G42" i="4"/>
  <c r="E42" i="4"/>
  <c r="C42" i="4"/>
  <c r="U41" i="4"/>
  <c r="S41" i="4"/>
  <c r="Q41" i="4"/>
  <c r="O41" i="4"/>
  <c r="M41" i="4"/>
  <c r="K41" i="4"/>
  <c r="I41" i="4"/>
  <c r="G41" i="4"/>
  <c r="E41" i="4"/>
  <c r="C41" i="4"/>
  <c r="U40" i="4"/>
  <c r="S40" i="4"/>
  <c r="Q40" i="4"/>
  <c r="O40" i="4"/>
  <c r="M40" i="4"/>
  <c r="K40" i="4"/>
  <c r="I40" i="4"/>
  <c r="G40" i="4"/>
  <c r="E40" i="4"/>
  <c r="C40" i="4"/>
  <c r="U39" i="4"/>
  <c r="S39" i="4"/>
  <c r="Q39" i="4"/>
  <c r="O39" i="4"/>
  <c r="M39" i="4"/>
  <c r="K39" i="4"/>
  <c r="I39" i="4"/>
  <c r="G39" i="4"/>
  <c r="E39" i="4"/>
  <c r="C39" i="4"/>
  <c r="U38" i="4"/>
  <c r="S38" i="4"/>
  <c r="Q38" i="4"/>
  <c r="O38" i="4"/>
  <c r="M38" i="4"/>
  <c r="K38" i="4"/>
  <c r="I38" i="4"/>
  <c r="G38" i="4"/>
  <c r="E38" i="4"/>
  <c r="C38" i="4"/>
  <c r="U37" i="4"/>
  <c r="S37" i="4"/>
  <c r="Q37" i="4"/>
  <c r="O37" i="4"/>
  <c r="M37" i="4"/>
  <c r="K37" i="4"/>
  <c r="I37" i="4"/>
  <c r="G37" i="4"/>
  <c r="E37" i="4"/>
  <c r="C37" i="4"/>
  <c r="U36" i="4"/>
  <c r="S36" i="4"/>
  <c r="Q36" i="4"/>
  <c r="O36" i="4"/>
  <c r="M36" i="4"/>
  <c r="K36" i="4"/>
  <c r="I36" i="4"/>
  <c r="G36" i="4"/>
  <c r="E36" i="4"/>
  <c r="C36" i="4"/>
  <c r="U35" i="4"/>
  <c r="S35" i="4"/>
  <c r="Q35" i="4"/>
  <c r="O35" i="4"/>
  <c r="M35" i="4"/>
  <c r="K35" i="4"/>
  <c r="I35" i="4"/>
  <c r="G35" i="4"/>
  <c r="E35" i="4"/>
  <c r="C35" i="4"/>
  <c r="U34" i="4"/>
  <c r="S34" i="4"/>
  <c r="Q34" i="4"/>
  <c r="O34" i="4"/>
  <c r="M34" i="4"/>
  <c r="K34" i="4"/>
  <c r="I34" i="4"/>
  <c r="G34" i="4"/>
  <c r="E34" i="4"/>
  <c r="C34" i="4"/>
  <c r="U33" i="4"/>
  <c r="S33" i="4"/>
  <c r="Q33" i="4"/>
  <c r="O33" i="4"/>
  <c r="M33" i="4"/>
  <c r="K33" i="4"/>
  <c r="I33" i="4"/>
  <c r="G33" i="4"/>
  <c r="E33" i="4"/>
  <c r="C33" i="4"/>
  <c r="U32" i="4"/>
  <c r="S32" i="4"/>
  <c r="Q32" i="4"/>
  <c r="O32" i="4"/>
  <c r="M32" i="4"/>
  <c r="K32" i="4"/>
  <c r="I32" i="4"/>
  <c r="G32" i="4"/>
  <c r="E32" i="4"/>
  <c r="C32" i="4"/>
  <c r="U31" i="4"/>
  <c r="S31" i="4"/>
  <c r="Q31" i="4"/>
  <c r="O31" i="4"/>
  <c r="M31" i="4"/>
  <c r="K31" i="4"/>
  <c r="I31" i="4"/>
  <c r="G31" i="4"/>
  <c r="E31" i="4"/>
  <c r="C31" i="4"/>
  <c r="U30" i="4"/>
  <c r="S30" i="4"/>
  <c r="Q30" i="4"/>
  <c r="O30" i="4"/>
  <c r="M30" i="4"/>
  <c r="K30" i="4"/>
  <c r="I30" i="4"/>
  <c r="G30" i="4"/>
  <c r="E30" i="4"/>
  <c r="C30" i="4"/>
  <c r="U29" i="4"/>
  <c r="S29" i="4"/>
  <c r="Q29" i="4"/>
  <c r="O29" i="4"/>
  <c r="M29" i="4"/>
  <c r="K29" i="4"/>
  <c r="I29" i="4"/>
  <c r="G29" i="4"/>
  <c r="E29" i="4"/>
  <c r="C29" i="4"/>
  <c r="U28" i="4"/>
  <c r="S28" i="4"/>
  <c r="Q28" i="4"/>
  <c r="O28" i="4"/>
  <c r="M28" i="4"/>
  <c r="K28" i="4"/>
  <c r="I28" i="4"/>
  <c r="G28" i="4"/>
  <c r="E28" i="4"/>
  <c r="C28" i="4"/>
  <c r="U27" i="4"/>
  <c r="S27" i="4"/>
  <c r="Q27" i="4"/>
  <c r="O27" i="4"/>
  <c r="M27" i="4"/>
  <c r="K27" i="4"/>
  <c r="I27" i="4"/>
  <c r="G27" i="4"/>
  <c r="E27" i="4"/>
  <c r="C27" i="4"/>
  <c r="U26" i="4"/>
  <c r="S26" i="4"/>
  <c r="Q26" i="4"/>
  <c r="O26" i="4"/>
  <c r="M26" i="4"/>
  <c r="K26" i="4"/>
  <c r="I26" i="4"/>
  <c r="G26" i="4"/>
  <c r="E26" i="4"/>
  <c r="C26" i="4"/>
  <c r="U25" i="4"/>
  <c r="S25" i="4"/>
  <c r="Q25" i="4"/>
  <c r="O25" i="4"/>
  <c r="M25" i="4"/>
  <c r="K25" i="4"/>
  <c r="I25" i="4"/>
  <c r="G25" i="4"/>
  <c r="E25" i="4"/>
  <c r="C25" i="4"/>
  <c r="U24" i="4"/>
  <c r="S24" i="4"/>
  <c r="Q24" i="4"/>
  <c r="O24" i="4"/>
  <c r="M24" i="4"/>
  <c r="K24" i="4"/>
  <c r="I24" i="4"/>
  <c r="G24" i="4"/>
  <c r="E24" i="4"/>
  <c r="C24" i="4"/>
  <c r="U23" i="4"/>
  <c r="S23" i="4"/>
  <c r="Q23" i="4"/>
  <c r="O23" i="4"/>
  <c r="M23" i="4"/>
  <c r="K23" i="4"/>
  <c r="I23" i="4"/>
  <c r="G23" i="4"/>
  <c r="E23" i="4"/>
  <c r="C23" i="4"/>
  <c r="U22" i="4"/>
  <c r="S22" i="4"/>
  <c r="Q22" i="4"/>
  <c r="O22" i="4"/>
  <c r="M22" i="4"/>
  <c r="K22" i="4"/>
  <c r="I22" i="4"/>
  <c r="G22" i="4"/>
  <c r="E22" i="4"/>
  <c r="C22" i="4"/>
  <c r="U21" i="4"/>
  <c r="S21" i="4"/>
  <c r="Q21" i="4"/>
  <c r="O21" i="4"/>
  <c r="M21" i="4"/>
  <c r="K21" i="4"/>
  <c r="I21" i="4"/>
  <c r="G21" i="4"/>
  <c r="E21" i="4"/>
  <c r="C21" i="4"/>
  <c r="U20" i="4"/>
  <c r="S20" i="4"/>
  <c r="Q20" i="4"/>
  <c r="O20" i="4"/>
  <c r="M20" i="4"/>
  <c r="K20" i="4"/>
  <c r="I20" i="4"/>
  <c r="G20" i="4"/>
  <c r="E20" i="4"/>
  <c r="C20" i="4"/>
  <c r="U19" i="4"/>
  <c r="S19" i="4"/>
  <c r="Q19" i="4"/>
  <c r="O19" i="4"/>
  <c r="M19" i="4"/>
  <c r="K19" i="4"/>
  <c r="I19" i="4"/>
  <c r="G19" i="4"/>
  <c r="E19" i="4"/>
  <c r="C19" i="4"/>
  <c r="U18" i="4"/>
  <c r="S18" i="4"/>
  <c r="Q18" i="4"/>
  <c r="O18" i="4"/>
  <c r="M18" i="4"/>
  <c r="K18" i="4"/>
  <c r="I18" i="4"/>
  <c r="G18" i="4"/>
  <c r="E18" i="4"/>
  <c r="C18" i="4"/>
  <c r="U17" i="4"/>
  <c r="S17" i="4"/>
  <c r="Q17" i="4"/>
  <c r="O17" i="4"/>
  <c r="M17" i="4"/>
  <c r="K17" i="4"/>
  <c r="I17" i="4"/>
  <c r="G17" i="4"/>
  <c r="E17" i="4"/>
  <c r="C17" i="4"/>
  <c r="U16" i="4"/>
  <c r="S16" i="4"/>
  <c r="Q16" i="4"/>
  <c r="O16" i="4"/>
  <c r="M16" i="4"/>
  <c r="K16" i="4"/>
  <c r="I16" i="4"/>
  <c r="G16" i="4"/>
  <c r="E16" i="4"/>
  <c r="C16" i="4"/>
  <c r="U15" i="4"/>
  <c r="S15" i="4"/>
  <c r="Q15" i="4"/>
  <c r="O15" i="4"/>
  <c r="M15" i="4"/>
  <c r="K15" i="4"/>
  <c r="I15" i="4"/>
  <c r="G15" i="4"/>
  <c r="E15" i="4"/>
  <c r="C15" i="4"/>
  <c r="U14" i="4"/>
  <c r="S14" i="4"/>
  <c r="Q14" i="4"/>
  <c r="O14" i="4"/>
  <c r="M14" i="4"/>
  <c r="K14" i="4"/>
  <c r="I14" i="4"/>
  <c r="G14" i="4"/>
  <c r="E14" i="4"/>
  <c r="C14" i="4"/>
  <c r="U13" i="4"/>
  <c r="S13" i="4"/>
  <c r="Q13" i="4"/>
  <c r="O13" i="4"/>
  <c r="M13" i="4"/>
  <c r="K13" i="4"/>
  <c r="I13" i="4"/>
  <c r="G13" i="4"/>
  <c r="E13" i="4"/>
  <c r="C13" i="4"/>
  <c r="U12" i="4"/>
  <c r="S12" i="4"/>
  <c r="Q12" i="4"/>
  <c r="O12" i="4"/>
  <c r="M12" i="4"/>
  <c r="K12" i="4"/>
  <c r="I12" i="4"/>
  <c r="G12" i="4"/>
  <c r="E12" i="4"/>
  <c r="C12" i="4"/>
  <c r="U11" i="4"/>
  <c r="S11" i="4"/>
  <c r="Q11" i="4"/>
  <c r="O11" i="4"/>
  <c r="M11" i="4"/>
  <c r="K11" i="4"/>
  <c r="I11" i="4"/>
  <c r="G11" i="4"/>
  <c r="E11" i="4"/>
  <c r="C11" i="4"/>
  <c r="U10" i="4"/>
  <c r="S10" i="4"/>
  <c r="Q10" i="4"/>
  <c r="O10" i="4"/>
  <c r="M10" i="4"/>
  <c r="K10" i="4"/>
  <c r="I10" i="4"/>
  <c r="G10" i="4"/>
  <c r="E10" i="4"/>
  <c r="C10" i="4"/>
  <c r="U9" i="4"/>
  <c r="S9" i="4"/>
  <c r="Q9" i="4"/>
  <c r="O9" i="4"/>
  <c r="M9" i="4"/>
  <c r="K9" i="4"/>
  <c r="I9" i="4"/>
  <c r="G9" i="4"/>
  <c r="E9" i="4"/>
  <c r="C9" i="4"/>
  <c r="U8" i="4"/>
  <c r="S8" i="4"/>
  <c r="Q8" i="4"/>
  <c r="O8" i="4"/>
  <c r="M8" i="4"/>
  <c r="K8" i="4"/>
  <c r="I8" i="4"/>
  <c r="G8" i="4"/>
  <c r="E8" i="4"/>
  <c r="C8" i="4"/>
  <c r="U7" i="4"/>
  <c r="S7" i="4"/>
  <c r="Q7" i="4"/>
  <c r="O7" i="4"/>
  <c r="M7" i="4"/>
  <c r="K7" i="4"/>
  <c r="I7" i="4"/>
  <c r="G7" i="4"/>
  <c r="E7" i="4"/>
  <c r="C7" i="4"/>
  <c r="U6" i="4"/>
  <c r="S6" i="4"/>
  <c r="Q6" i="4"/>
  <c r="O6" i="4"/>
  <c r="M6" i="4"/>
  <c r="K6" i="4"/>
  <c r="I6" i="4"/>
  <c r="G6" i="4"/>
  <c r="E6" i="4"/>
  <c r="C6" i="4"/>
  <c r="U5" i="4"/>
  <c r="S5" i="4"/>
  <c r="Q5" i="4"/>
  <c r="O5" i="4"/>
  <c r="M5" i="4"/>
  <c r="K5" i="4"/>
  <c r="I5" i="4"/>
  <c r="G5" i="4"/>
  <c r="E5" i="4"/>
  <c r="C5" i="4"/>
  <c r="U4" i="4"/>
  <c r="S4" i="4"/>
  <c r="Q4" i="4"/>
  <c r="O4" i="4"/>
  <c r="M4" i="4"/>
  <c r="K4" i="4"/>
  <c r="I4" i="4"/>
  <c r="G4" i="4"/>
  <c r="E4" i="4"/>
  <c r="C4" i="4"/>
  <c r="U3" i="4"/>
  <c r="S3" i="4"/>
  <c r="Q3" i="4"/>
  <c r="O3" i="4"/>
  <c r="M3" i="4"/>
  <c r="K3" i="4"/>
  <c r="K249" i="4" s="1"/>
  <c r="K251" i="4" s="1"/>
  <c r="I3" i="4"/>
  <c r="G3" i="4"/>
  <c r="E3" i="4"/>
  <c r="C3" i="4"/>
  <c r="AK8" i="1"/>
  <c r="W249" i="4" l="1"/>
  <c r="W251" i="4" s="1"/>
  <c r="W253" i="4"/>
  <c r="W254" i="4" s="1"/>
  <c r="W255" i="4" s="1"/>
  <c r="AC22" i="4"/>
  <c r="M249" i="4"/>
  <c r="M251" i="4" s="1"/>
  <c r="O253" i="4"/>
  <c r="O254" i="4" s="1"/>
  <c r="O255" i="4" s="1"/>
  <c r="Q253" i="4"/>
  <c r="Q254" i="4" s="1"/>
  <c r="Q255" i="4" s="1"/>
  <c r="S249" i="4"/>
  <c r="S251" i="4" s="1"/>
  <c r="AE24" i="4"/>
  <c r="AD21" i="4"/>
  <c r="AE22" i="4"/>
  <c r="AC21" i="4"/>
  <c r="AB24" i="4"/>
  <c r="AH13" i="4"/>
  <c r="AB22" i="4"/>
  <c r="G249" i="4"/>
  <c r="G251" i="4" s="1"/>
  <c r="AD23" i="4"/>
  <c r="AE23" i="4"/>
  <c r="S253" i="4"/>
  <c r="S254" i="4" s="1"/>
  <c r="S255" i="4" s="1"/>
  <c r="AD22" i="4"/>
  <c r="U253" i="4"/>
  <c r="U254" i="4" s="1"/>
  <c r="U255" i="4" s="1"/>
  <c r="E249" i="4"/>
  <c r="E251" i="4" s="1"/>
  <c r="AB21" i="4"/>
  <c r="AE21" i="4"/>
  <c r="C253" i="4"/>
  <c r="C254" i="4" s="1"/>
  <c r="C255" i="4" s="1"/>
  <c r="O249" i="4"/>
  <c r="O251" i="4" s="1"/>
  <c r="G253" i="4"/>
  <c r="G254" i="4" s="1"/>
  <c r="G255" i="4" s="1"/>
  <c r="AC24" i="4"/>
  <c r="AB23" i="4"/>
  <c r="AD24" i="4"/>
  <c r="U249" i="4"/>
  <c r="U251" i="4" s="1"/>
  <c r="M253" i="4"/>
  <c r="M254" i="4" s="1"/>
  <c r="M255" i="4" s="1"/>
  <c r="M256" i="4" s="1"/>
  <c r="K253" i="4"/>
  <c r="K254" i="4" s="1"/>
  <c r="K255" i="4" s="1"/>
  <c r="K256" i="4" s="1"/>
  <c r="AC23" i="4"/>
  <c r="C249" i="4"/>
  <c r="C251" i="4" s="1"/>
  <c r="I249" i="4"/>
  <c r="I251" i="4" s="1"/>
  <c r="E253" i="4"/>
  <c r="E254" i="4" s="1"/>
  <c r="E255" i="4" s="1"/>
  <c r="Q249" i="4"/>
  <c r="Q251" i="4" s="1"/>
  <c r="I253" i="4"/>
  <c r="I254" i="4" s="1"/>
  <c r="I255" i="4" s="1"/>
  <c r="I253" i="8"/>
  <c r="I254" i="8" s="1"/>
  <c r="I255" i="8" s="1"/>
  <c r="U247" i="8"/>
  <c r="S247" i="8"/>
  <c r="Q247" i="8"/>
  <c r="O247" i="8"/>
  <c r="M247" i="8"/>
  <c r="K247" i="8"/>
  <c r="G247" i="8"/>
  <c r="E247" i="8"/>
  <c r="C247" i="8"/>
  <c r="U246" i="8"/>
  <c r="S246" i="8"/>
  <c r="Q246" i="8"/>
  <c r="O246" i="8"/>
  <c r="M246" i="8"/>
  <c r="K246" i="8"/>
  <c r="I246" i="8"/>
  <c r="G246" i="8"/>
  <c r="E246" i="8"/>
  <c r="C246" i="8"/>
  <c r="U245" i="8"/>
  <c r="S245" i="8"/>
  <c r="Q245" i="8"/>
  <c r="O245" i="8"/>
  <c r="M245" i="8"/>
  <c r="K245" i="8"/>
  <c r="I245" i="8"/>
  <c r="G245" i="8"/>
  <c r="E245" i="8"/>
  <c r="C245" i="8"/>
  <c r="U244" i="8"/>
  <c r="S244" i="8"/>
  <c r="Q244" i="8"/>
  <c r="O244" i="8"/>
  <c r="M244" i="8"/>
  <c r="K244" i="8"/>
  <c r="I244" i="8"/>
  <c r="G244" i="8"/>
  <c r="E244" i="8"/>
  <c r="C244" i="8"/>
  <c r="U243" i="8"/>
  <c r="S243" i="8"/>
  <c r="Q243" i="8"/>
  <c r="O243" i="8"/>
  <c r="M243" i="8"/>
  <c r="K243" i="8"/>
  <c r="I243" i="8"/>
  <c r="G243" i="8"/>
  <c r="E243" i="8"/>
  <c r="C243" i="8"/>
  <c r="U242" i="8"/>
  <c r="S242" i="8"/>
  <c r="Q242" i="8"/>
  <c r="O242" i="8"/>
  <c r="M242" i="8"/>
  <c r="K242" i="8"/>
  <c r="I242" i="8"/>
  <c r="G242" i="8"/>
  <c r="E242" i="8"/>
  <c r="C242" i="8"/>
  <c r="U241" i="8"/>
  <c r="S241" i="8"/>
  <c r="Q241" i="8"/>
  <c r="O241" i="8"/>
  <c r="M241" i="8"/>
  <c r="K241" i="8"/>
  <c r="I241" i="8"/>
  <c r="G241" i="8"/>
  <c r="E241" i="8"/>
  <c r="C241" i="8"/>
  <c r="U240" i="8"/>
  <c r="S240" i="8"/>
  <c r="Q240" i="8"/>
  <c r="O240" i="8"/>
  <c r="M240" i="8"/>
  <c r="K240" i="8"/>
  <c r="I240" i="8"/>
  <c r="G240" i="8"/>
  <c r="E240" i="8"/>
  <c r="C240" i="8"/>
  <c r="U239" i="8"/>
  <c r="S239" i="8"/>
  <c r="Q239" i="8"/>
  <c r="O239" i="8"/>
  <c r="M239" i="8"/>
  <c r="K239" i="8"/>
  <c r="I239" i="8"/>
  <c r="G239" i="8"/>
  <c r="E239" i="8"/>
  <c r="C239" i="8"/>
  <c r="U238" i="8"/>
  <c r="S238" i="8"/>
  <c r="Q238" i="8"/>
  <c r="O238" i="8"/>
  <c r="M238" i="8"/>
  <c r="K238" i="8"/>
  <c r="I238" i="8"/>
  <c r="G238" i="8"/>
  <c r="E238" i="8"/>
  <c r="C238" i="8"/>
  <c r="U237" i="8"/>
  <c r="S237" i="8"/>
  <c r="Q237" i="8"/>
  <c r="O237" i="8"/>
  <c r="M237" i="8"/>
  <c r="K237" i="8"/>
  <c r="I237" i="8"/>
  <c r="G237" i="8"/>
  <c r="E237" i="8"/>
  <c r="C237" i="8"/>
  <c r="U236" i="8"/>
  <c r="S236" i="8"/>
  <c r="Q236" i="8"/>
  <c r="O236" i="8"/>
  <c r="M236" i="8"/>
  <c r="K236" i="8"/>
  <c r="I236" i="8"/>
  <c r="G236" i="8"/>
  <c r="E236" i="8"/>
  <c r="C236" i="8"/>
  <c r="U235" i="8"/>
  <c r="S235" i="8"/>
  <c r="Q235" i="8"/>
  <c r="O235" i="8"/>
  <c r="M235" i="8"/>
  <c r="K235" i="8"/>
  <c r="I235" i="8"/>
  <c r="G235" i="8"/>
  <c r="E235" i="8"/>
  <c r="C235" i="8"/>
  <c r="U234" i="8"/>
  <c r="S234" i="8"/>
  <c r="Q234" i="8"/>
  <c r="O234" i="8"/>
  <c r="M234" i="8"/>
  <c r="K234" i="8"/>
  <c r="I234" i="8"/>
  <c r="G234" i="8"/>
  <c r="E234" i="8"/>
  <c r="C234" i="8"/>
  <c r="U233" i="8"/>
  <c r="S233" i="8"/>
  <c r="Q233" i="8"/>
  <c r="O233" i="8"/>
  <c r="M233" i="8"/>
  <c r="K233" i="8"/>
  <c r="I233" i="8"/>
  <c r="G233" i="8"/>
  <c r="E233" i="8"/>
  <c r="C233" i="8"/>
  <c r="U232" i="8"/>
  <c r="S232" i="8"/>
  <c r="Q232" i="8"/>
  <c r="O232" i="8"/>
  <c r="M232" i="8"/>
  <c r="K232" i="8"/>
  <c r="I232" i="8"/>
  <c r="G232" i="8"/>
  <c r="E232" i="8"/>
  <c r="C232" i="8"/>
  <c r="U231" i="8"/>
  <c r="S231" i="8"/>
  <c r="Q231" i="8"/>
  <c r="O231" i="8"/>
  <c r="M231" i="8"/>
  <c r="K231" i="8"/>
  <c r="I231" i="8"/>
  <c r="G231" i="8"/>
  <c r="E231" i="8"/>
  <c r="C231" i="8"/>
  <c r="U230" i="8"/>
  <c r="S230" i="8"/>
  <c r="Q230" i="8"/>
  <c r="O230" i="8"/>
  <c r="M230" i="8"/>
  <c r="K230" i="8"/>
  <c r="I230" i="8"/>
  <c r="G230" i="8"/>
  <c r="E230" i="8"/>
  <c r="C230" i="8"/>
  <c r="U229" i="8"/>
  <c r="S229" i="8"/>
  <c r="Q229" i="8"/>
  <c r="O229" i="8"/>
  <c r="M229" i="8"/>
  <c r="K229" i="8"/>
  <c r="I229" i="8"/>
  <c r="G229" i="8"/>
  <c r="E229" i="8"/>
  <c r="C229" i="8"/>
  <c r="U228" i="8"/>
  <c r="S228" i="8"/>
  <c r="Q228" i="8"/>
  <c r="O228" i="8"/>
  <c r="M228" i="8"/>
  <c r="K228" i="8"/>
  <c r="I228" i="8"/>
  <c r="G228" i="8"/>
  <c r="E228" i="8"/>
  <c r="C228" i="8"/>
  <c r="U227" i="8"/>
  <c r="S227" i="8"/>
  <c r="Q227" i="8"/>
  <c r="O227" i="8"/>
  <c r="M227" i="8"/>
  <c r="K227" i="8"/>
  <c r="I227" i="8"/>
  <c r="G227" i="8"/>
  <c r="E227" i="8"/>
  <c r="C227" i="8"/>
  <c r="U226" i="8"/>
  <c r="S226" i="8"/>
  <c r="Q226" i="8"/>
  <c r="O226" i="8"/>
  <c r="M226" i="8"/>
  <c r="K226" i="8"/>
  <c r="I226" i="8"/>
  <c r="G226" i="8"/>
  <c r="E226" i="8"/>
  <c r="C226" i="8"/>
  <c r="U225" i="8"/>
  <c r="S225" i="8"/>
  <c r="Q225" i="8"/>
  <c r="O225" i="8"/>
  <c r="M225" i="8"/>
  <c r="K225" i="8"/>
  <c r="I225" i="8"/>
  <c r="G225" i="8"/>
  <c r="E225" i="8"/>
  <c r="C225" i="8"/>
  <c r="U224" i="8"/>
  <c r="S224" i="8"/>
  <c r="Q224" i="8"/>
  <c r="O224" i="8"/>
  <c r="M224" i="8"/>
  <c r="K224" i="8"/>
  <c r="I224" i="8"/>
  <c r="G224" i="8"/>
  <c r="E224" i="8"/>
  <c r="C224" i="8"/>
  <c r="U223" i="8"/>
  <c r="S223" i="8"/>
  <c r="Q223" i="8"/>
  <c r="O223" i="8"/>
  <c r="M223" i="8"/>
  <c r="K223" i="8"/>
  <c r="I223" i="8"/>
  <c r="G223" i="8"/>
  <c r="E223" i="8"/>
  <c r="C223" i="8"/>
  <c r="U222" i="8"/>
  <c r="S222" i="8"/>
  <c r="Q222" i="8"/>
  <c r="O222" i="8"/>
  <c r="M222" i="8"/>
  <c r="K222" i="8"/>
  <c r="I222" i="8"/>
  <c r="G222" i="8"/>
  <c r="E222" i="8"/>
  <c r="C222" i="8"/>
  <c r="U221" i="8"/>
  <c r="S221" i="8"/>
  <c r="Q221" i="8"/>
  <c r="O221" i="8"/>
  <c r="M221" i="8"/>
  <c r="K221" i="8"/>
  <c r="I221" i="8"/>
  <c r="G221" i="8"/>
  <c r="E221" i="8"/>
  <c r="C221" i="8"/>
  <c r="U220" i="8"/>
  <c r="S220" i="8"/>
  <c r="Q220" i="8"/>
  <c r="O220" i="8"/>
  <c r="M220" i="8"/>
  <c r="K220" i="8"/>
  <c r="I220" i="8"/>
  <c r="G220" i="8"/>
  <c r="E220" i="8"/>
  <c r="C220" i="8"/>
  <c r="U219" i="8"/>
  <c r="S219" i="8"/>
  <c r="Q219" i="8"/>
  <c r="O219" i="8"/>
  <c r="M219" i="8"/>
  <c r="K219" i="8"/>
  <c r="I219" i="8"/>
  <c r="G219" i="8"/>
  <c r="E219" i="8"/>
  <c r="C219" i="8"/>
  <c r="U218" i="8"/>
  <c r="S218" i="8"/>
  <c r="Q218" i="8"/>
  <c r="O218" i="8"/>
  <c r="M218" i="8"/>
  <c r="K218" i="8"/>
  <c r="I218" i="8"/>
  <c r="G218" i="8"/>
  <c r="E218" i="8"/>
  <c r="C218" i="8"/>
  <c r="U217" i="8"/>
  <c r="S217" i="8"/>
  <c r="Q217" i="8"/>
  <c r="O217" i="8"/>
  <c r="M217" i="8"/>
  <c r="K217" i="8"/>
  <c r="I217" i="8"/>
  <c r="G217" i="8"/>
  <c r="E217" i="8"/>
  <c r="C217" i="8"/>
  <c r="U216" i="8"/>
  <c r="S216" i="8"/>
  <c r="Q216" i="8"/>
  <c r="O216" i="8"/>
  <c r="M216" i="8"/>
  <c r="K216" i="8"/>
  <c r="I216" i="8"/>
  <c r="G216" i="8"/>
  <c r="E216" i="8"/>
  <c r="C216" i="8"/>
  <c r="U215" i="8"/>
  <c r="S215" i="8"/>
  <c r="Q215" i="8"/>
  <c r="O215" i="8"/>
  <c r="M215" i="8"/>
  <c r="K215" i="8"/>
  <c r="I215" i="8"/>
  <c r="G215" i="8"/>
  <c r="E215" i="8"/>
  <c r="C215" i="8"/>
  <c r="U214" i="8"/>
  <c r="S214" i="8"/>
  <c r="Q214" i="8"/>
  <c r="O214" i="8"/>
  <c r="M214" i="8"/>
  <c r="K214" i="8"/>
  <c r="I214" i="8"/>
  <c r="G214" i="8"/>
  <c r="E214" i="8"/>
  <c r="C214" i="8"/>
  <c r="U213" i="8"/>
  <c r="S213" i="8"/>
  <c r="Q213" i="8"/>
  <c r="O213" i="8"/>
  <c r="M213" i="8"/>
  <c r="K213" i="8"/>
  <c r="I213" i="8"/>
  <c r="G213" i="8"/>
  <c r="E213" i="8"/>
  <c r="C213" i="8"/>
  <c r="U212" i="8"/>
  <c r="S212" i="8"/>
  <c r="Q212" i="8"/>
  <c r="O212" i="8"/>
  <c r="M212" i="8"/>
  <c r="K212" i="8"/>
  <c r="I212" i="8"/>
  <c r="G212" i="8"/>
  <c r="E212" i="8"/>
  <c r="C212" i="8"/>
  <c r="U211" i="8"/>
  <c r="S211" i="8"/>
  <c r="Q211" i="8"/>
  <c r="O211" i="8"/>
  <c r="M211" i="8"/>
  <c r="K211" i="8"/>
  <c r="I211" i="8"/>
  <c r="G211" i="8"/>
  <c r="E211" i="8"/>
  <c r="C211" i="8"/>
  <c r="U210" i="8"/>
  <c r="S210" i="8"/>
  <c r="Q210" i="8"/>
  <c r="O210" i="8"/>
  <c r="M210" i="8"/>
  <c r="K210" i="8"/>
  <c r="I210" i="8"/>
  <c r="G210" i="8"/>
  <c r="E210" i="8"/>
  <c r="C210" i="8"/>
  <c r="U209" i="8"/>
  <c r="S209" i="8"/>
  <c r="Q209" i="8"/>
  <c r="O209" i="8"/>
  <c r="M209" i="8"/>
  <c r="K209" i="8"/>
  <c r="I209" i="8"/>
  <c r="G209" i="8"/>
  <c r="E209" i="8"/>
  <c r="C209" i="8"/>
  <c r="U208" i="8"/>
  <c r="S208" i="8"/>
  <c r="Q208" i="8"/>
  <c r="O208" i="8"/>
  <c r="M208" i="8"/>
  <c r="K208" i="8"/>
  <c r="I208" i="8"/>
  <c r="G208" i="8"/>
  <c r="E208" i="8"/>
  <c r="C208" i="8"/>
  <c r="U207" i="8"/>
  <c r="S207" i="8"/>
  <c r="Q207" i="8"/>
  <c r="O207" i="8"/>
  <c r="M207" i="8"/>
  <c r="K207" i="8"/>
  <c r="I207" i="8"/>
  <c r="G207" i="8"/>
  <c r="E207" i="8"/>
  <c r="C207" i="8"/>
  <c r="U206" i="8"/>
  <c r="S206" i="8"/>
  <c r="Q206" i="8"/>
  <c r="O206" i="8"/>
  <c r="M206" i="8"/>
  <c r="K206" i="8"/>
  <c r="I206" i="8"/>
  <c r="G206" i="8"/>
  <c r="E206" i="8"/>
  <c r="C206" i="8"/>
  <c r="U205" i="8"/>
  <c r="S205" i="8"/>
  <c r="Q205" i="8"/>
  <c r="O205" i="8"/>
  <c r="M205" i="8"/>
  <c r="K205" i="8"/>
  <c r="I205" i="8"/>
  <c r="G205" i="8"/>
  <c r="E205" i="8"/>
  <c r="C205" i="8"/>
  <c r="U204" i="8"/>
  <c r="S204" i="8"/>
  <c r="Q204" i="8"/>
  <c r="O204" i="8"/>
  <c r="M204" i="8"/>
  <c r="K204" i="8"/>
  <c r="I204" i="8"/>
  <c r="G204" i="8"/>
  <c r="E204" i="8"/>
  <c r="C204" i="8"/>
  <c r="U203" i="8"/>
  <c r="S203" i="8"/>
  <c r="Q203" i="8"/>
  <c r="O203" i="8"/>
  <c r="M203" i="8"/>
  <c r="K203" i="8"/>
  <c r="I203" i="8"/>
  <c r="G203" i="8"/>
  <c r="E203" i="8"/>
  <c r="C203" i="8"/>
  <c r="U202" i="8"/>
  <c r="S202" i="8"/>
  <c r="Q202" i="8"/>
  <c r="O202" i="8"/>
  <c r="M202" i="8"/>
  <c r="K202" i="8"/>
  <c r="I202" i="8"/>
  <c r="G202" i="8"/>
  <c r="E202" i="8"/>
  <c r="C202" i="8"/>
  <c r="U201" i="8"/>
  <c r="S201" i="8"/>
  <c r="Q201" i="8"/>
  <c r="O201" i="8"/>
  <c r="M201" i="8"/>
  <c r="K201" i="8"/>
  <c r="I201" i="8"/>
  <c r="G201" i="8"/>
  <c r="E201" i="8"/>
  <c r="C201" i="8"/>
  <c r="U200" i="8"/>
  <c r="S200" i="8"/>
  <c r="Q200" i="8"/>
  <c r="O200" i="8"/>
  <c r="M200" i="8"/>
  <c r="K200" i="8"/>
  <c r="I200" i="8"/>
  <c r="G200" i="8"/>
  <c r="E200" i="8"/>
  <c r="C200" i="8"/>
  <c r="U199" i="8"/>
  <c r="S199" i="8"/>
  <c r="Q199" i="8"/>
  <c r="O199" i="8"/>
  <c r="M199" i="8"/>
  <c r="K199" i="8"/>
  <c r="I199" i="8"/>
  <c r="G199" i="8"/>
  <c r="E199" i="8"/>
  <c r="C199" i="8"/>
  <c r="U198" i="8"/>
  <c r="S198" i="8"/>
  <c r="Q198" i="8"/>
  <c r="O198" i="8"/>
  <c r="M198" i="8"/>
  <c r="K198" i="8"/>
  <c r="I198" i="8"/>
  <c r="G198" i="8"/>
  <c r="E198" i="8"/>
  <c r="C198" i="8"/>
  <c r="U197" i="8"/>
  <c r="S197" i="8"/>
  <c r="Q197" i="8"/>
  <c r="O197" i="8"/>
  <c r="M197" i="8"/>
  <c r="K197" i="8"/>
  <c r="I197" i="8"/>
  <c r="G197" i="8"/>
  <c r="E197" i="8"/>
  <c r="C197" i="8"/>
  <c r="U196" i="8"/>
  <c r="S196" i="8"/>
  <c r="Q196" i="8"/>
  <c r="O196" i="8"/>
  <c r="M196" i="8"/>
  <c r="K196" i="8"/>
  <c r="I196" i="8"/>
  <c r="G196" i="8"/>
  <c r="E196" i="8"/>
  <c r="C196" i="8"/>
  <c r="U195" i="8"/>
  <c r="S195" i="8"/>
  <c r="Q195" i="8"/>
  <c r="O195" i="8"/>
  <c r="M195" i="8"/>
  <c r="K195" i="8"/>
  <c r="I195" i="8"/>
  <c r="G195" i="8"/>
  <c r="E195" i="8"/>
  <c r="C195" i="8"/>
  <c r="U194" i="8"/>
  <c r="S194" i="8"/>
  <c r="Q194" i="8"/>
  <c r="O194" i="8"/>
  <c r="M194" i="8"/>
  <c r="K194" i="8"/>
  <c r="I194" i="8"/>
  <c r="G194" i="8"/>
  <c r="E194" i="8"/>
  <c r="C194" i="8"/>
  <c r="U193" i="8"/>
  <c r="S193" i="8"/>
  <c r="Q193" i="8"/>
  <c r="O193" i="8"/>
  <c r="M193" i="8"/>
  <c r="K193" i="8"/>
  <c r="I193" i="8"/>
  <c r="G193" i="8"/>
  <c r="E193" i="8"/>
  <c r="C193" i="8"/>
  <c r="U192" i="8"/>
  <c r="S192" i="8"/>
  <c r="Q192" i="8"/>
  <c r="O192" i="8"/>
  <c r="M192" i="8"/>
  <c r="K192" i="8"/>
  <c r="I192" i="8"/>
  <c r="G192" i="8"/>
  <c r="E192" i="8"/>
  <c r="C192" i="8"/>
  <c r="U191" i="8"/>
  <c r="S191" i="8"/>
  <c r="Q191" i="8"/>
  <c r="O191" i="8"/>
  <c r="M191" i="8"/>
  <c r="K191" i="8"/>
  <c r="I191" i="8"/>
  <c r="G191" i="8"/>
  <c r="E191" i="8"/>
  <c r="C191" i="8"/>
  <c r="U190" i="8"/>
  <c r="S190" i="8"/>
  <c r="Q190" i="8"/>
  <c r="O190" i="8"/>
  <c r="M190" i="8"/>
  <c r="K190" i="8"/>
  <c r="I190" i="8"/>
  <c r="G190" i="8"/>
  <c r="E190" i="8"/>
  <c r="C190" i="8"/>
  <c r="U189" i="8"/>
  <c r="S189" i="8"/>
  <c r="Q189" i="8"/>
  <c r="O189" i="8"/>
  <c r="M189" i="8"/>
  <c r="K189" i="8"/>
  <c r="I189" i="8"/>
  <c r="G189" i="8"/>
  <c r="E189" i="8"/>
  <c r="C189" i="8"/>
  <c r="U188" i="8"/>
  <c r="S188" i="8"/>
  <c r="Q188" i="8"/>
  <c r="O188" i="8"/>
  <c r="M188" i="8"/>
  <c r="K188" i="8"/>
  <c r="I188" i="8"/>
  <c r="G188" i="8"/>
  <c r="E188" i="8"/>
  <c r="C188" i="8"/>
  <c r="U187" i="8"/>
  <c r="S187" i="8"/>
  <c r="Q187" i="8"/>
  <c r="O187" i="8"/>
  <c r="M187" i="8"/>
  <c r="K187" i="8"/>
  <c r="I187" i="8"/>
  <c r="G187" i="8"/>
  <c r="E187" i="8"/>
  <c r="C187" i="8"/>
  <c r="U186" i="8"/>
  <c r="S186" i="8"/>
  <c r="Q186" i="8"/>
  <c r="O186" i="8"/>
  <c r="M186" i="8"/>
  <c r="K186" i="8"/>
  <c r="I186" i="8"/>
  <c r="G186" i="8"/>
  <c r="E186" i="8"/>
  <c r="C186" i="8"/>
  <c r="U185" i="8"/>
  <c r="S185" i="8"/>
  <c r="Q185" i="8"/>
  <c r="O185" i="8"/>
  <c r="M185" i="8"/>
  <c r="K185" i="8"/>
  <c r="I185" i="8"/>
  <c r="G185" i="8"/>
  <c r="E185" i="8"/>
  <c r="C185" i="8"/>
  <c r="U184" i="8"/>
  <c r="S184" i="8"/>
  <c r="Q184" i="8"/>
  <c r="O184" i="8"/>
  <c r="M184" i="8"/>
  <c r="K184" i="8"/>
  <c r="I184" i="8"/>
  <c r="G184" i="8"/>
  <c r="E184" i="8"/>
  <c r="C184" i="8"/>
  <c r="U183" i="8"/>
  <c r="S183" i="8"/>
  <c r="Q183" i="8"/>
  <c r="O183" i="8"/>
  <c r="M183" i="8"/>
  <c r="K183" i="8"/>
  <c r="I183" i="8"/>
  <c r="G183" i="8"/>
  <c r="E183" i="8"/>
  <c r="C183" i="8"/>
  <c r="U182" i="8"/>
  <c r="S182" i="8"/>
  <c r="Q182" i="8"/>
  <c r="O182" i="8"/>
  <c r="M182" i="8"/>
  <c r="K182" i="8"/>
  <c r="I182" i="8"/>
  <c r="G182" i="8"/>
  <c r="E182" i="8"/>
  <c r="C182" i="8"/>
  <c r="U181" i="8"/>
  <c r="S181" i="8"/>
  <c r="Q181" i="8"/>
  <c r="O181" i="8"/>
  <c r="M181" i="8"/>
  <c r="K181" i="8"/>
  <c r="I181" i="8"/>
  <c r="G181" i="8"/>
  <c r="E181" i="8"/>
  <c r="C181" i="8"/>
  <c r="U180" i="8"/>
  <c r="S180" i="8"/>
  <c r="Q180" i="8"/>
  <c r="O180" i="8"/>
  <c r="M180" i="8"/>
  <c r="K180" i="8"/>
  <c r="I180" i="8"/>
  <c r="G180" i="8"/>
  <c r="E180" i="8"/>
  <c r="C180" i="8"/>
  <c r="U179" i="8"/>
  <c r="S179" i="8"/>
  <c r="Q179" i="8"/>
  <c r="O179" i="8"/>
  <c r="M179" i="8"/>
  <c r="K179" i="8"/>
  <c r="I179" i="8"/>
  <c r="G179" i="8"/>
  <c r="E179" i="8"/>
  <c r="C179" i="8"/>
  <c r="U178" i="8"/>
  <c r="S178" i="8"/>
  <c r="Q178" i="8"/>
  <c r="O178" i="8"/>
  <c r="M178" i="8"/>
  <c r="K178" i="8"/>
  <c r="I178" i="8"/>
  <c r="G178" i="8"/>
  <c r="E178" i="8"/>
  <c r="C178" i="8"/>
  <c r="U177" i="8"/>
  <c r="S177" i="8"/>
  <c r="Q177" i="8"/>
  <c r="O177" i="8"/>
  <c r="M177" i="8"/>
  <c r="K177" i="8"/>
  <c r="I177" i="8"/>
  <c r="G177" i="8"/>
  <c r="E177" i="8"/>
  <c r="C177" i="8"/>
  <c r="U176" i="8"/>
  <c r="S176" i="8"/>
  <c r="Q176" i="8"/>
  <c r="O176" i="8"/>
  <c r="M176" i="8"/>
  <c r="K176" i="8"/>
  <c r="I176" i="8"/>
  <c r="G176" i="8"/>
  <c r="E176" i="8"/>
  <c r="C176" i="8"/>
  <c r="U175" i="8"/>
  <c r="S175" i="8"/>
  <c r="Q175" i="8"/>
  <c r="O175" i="8"/>
  <c r="M175" i="8"/>
  <c r="K175" i="8"/>
  <c r="I175" i="8"/>
  <c r="G175" i="8"/>
  <c r="E175" i="8"/>
  <c r="C175" i="8"/>
  <c r="U174" i="8"/>
  <c r="S174" i="8"/>
  <c r="Q174" i="8"/>
  <c r="O174" i="8"/>
  <c r="M174" i="8"/>
  <c r="K174" i="8"/>
  <c r="I174" i="8"/>
  <c r="G174" i="8"/>
  <c r="E174" i="8"/>
  <c r="C174" i="8"/>
  <c r="U173" i="8"/>
  <c r="S173" i="8"/>
  <c r="Q173" i="8"/>
  <c r="O173" i="8"/>
  <c r="M173" i="8"/>
  <c r="K173" i="8"/>
  <c r="I173" i="8"/>
  <c r="G173" i="8"/>
  <c r="E173" i="8"/>
  <c r="C173" i="8"/>
  <c r="U172" i="8"/>
  <c r="S172" i="8"/>
  <c r="Q172" i="8"/>
  <c r="O172" i="8"/>
  <c r="M172" i="8"/>
  <c r="K172" i="8"/>
  <c r="I172" i="8"/>
  <c r="G172" i="8"/>
  <c r="E172" i="8"/>
  <c r="C172" i="8"/>
  <c r="U171" i="8"/>
  <c r="S171" i="8"/>
  <c r="Q171" i="8"/>
  <c r="O171" i="8"/>
  <c r="M171" i="8"/>
  <c r="K171" i="8"/>
  <c r="I171" i="8"/>
  <c r="G171" i="8"/>
  <c r="E171" i="8"/>
  <c r="C171" i="8"/>
  <c r="U170" i="8"/>
  <c r="S170" i="8"/>
  <c r="Q170" i="8"/>
  <c r="O170" i="8"/>
  <c r="M170" i="8"/>
  <c r="K170" i="8"/>
  <c r="I170" i="8"/>
  <c r="G170" i="8"/>
  <c r="E170" i="8"/>
  <c r="C170" i="8"/>
  <c r="U169" i="8"/>
  <c r="S169" i="8"/>
  <c r="Q169" i="8"/>
  <c r="O169" i="8"/>
  <c r="M169" i="8"/>
  <c r="K169" i="8"/>
  <c r="I169" i="8"/>
  <c r="G169" i="8"/>
  <c r="E169" i="8"/>
  <c r="C169" i="8"/>
  <c r="U168" i="8"/>
  <c r="S168" i="8"/>
  <c r="Q168" i="8"/>
  <c r="O168" i="8"/>
  <c r="M168" i="8"/>
  <c r="K168" i="8"/>
  <c r="I168" i="8"/>
  <c r="G168" i="8"/>
  <c r="E168" i="8"/>
  <c r="C168" i="8"/>
  <c r="U167" i="8"/>
  <c r="S167" i="8"/>
  <c r="Q167" i="8"/>
  <c r="O167" i="8"/>
  <c r="M167" i="8"/>
  <c r="K167" i="8"/>
  <c r="I167" i="8"/>
  <c r="G167" i="8"/>
  <c r="E167" i="8"/>
  <c r="C167" i="8"/>
  <c r="U166" i="8"/>
  <c r="S166" i="8"/>
  <c r="Q166" i="8"/>
  <c r="O166" i="8"/>
  <c r="M166" i="8"/>
  <c r="K166" i="8"/>
  <c r="I166" i="8"/>
  <c r="G166" i="8"/>
  <c r="E166" i="8"/>
  <c r="C166" i="8"/>
  <c r="U165" i="8"/>
  <c r="S165" i="8"/>
  <c r="Q165" i="8"/>
  <c r="O165" i="8"/>
  <c r="M165" i="8"/>
  <c r="K165" i="8"/>
  <c r="I165" i="8"/>
  <c r="G165" i="8"/>
  <c r="E165" i="8"/>
  <c r="C165" i="8"/>
  <c r="U164" i="8"/>
  <c r="S164" i="8"/>
  <c r="Q164" i="8"/>
  <c r="O164" i="8"/>
  <c r="M164" i="8"/>
  <c r="K164" i="8"/>
  <c r="I164" i="8"/>
  <c r="G164" i="8"/>
  <c r="E164" i="8"/>
  <c r="C164" i="8"/>
  <c r="U163" i="8"/>
  <c r="S163" i="8"/>
  <c r="Q163" i="8"/>
  <c r="O163" i="8"/>
  <c r="M163" i="8"/>
  <c r="K163" i="8"/>
  <c r="I163" i="8"/>
  <c r="G163" i="8"/>
  <c r="E163" i="8"/>
  <c r="C163" i="8"/>
  <c r="U162" i="8"/>
  <c r="S162" i="8"/>
  <c r="Q162" i="8"/>
  <c r="O162" i="8"/>
  <c r="M162" i="8"/>
  <c r="K162" i="8"/>
  <c r="I162" i="8"/>
  <c r="G162" i="8"/>
  <c r="E162" i="8"/>
  <c r="C162" i="8"/>
  <c r="U161" i="8"/>
  <c r="S161" i="8"/>
  <c r="Q161" i="8"/>
  <c r="O161" i="8"/>
  <c r="M161" i="8"/>
  <c r="K161" i="8"/>
  <c r="I161" i="8"/>
  <c r="G161" i="8"/>
  <c r="E161" i="8"/>
  <c r="C161" i="8"/>
  <c r="U160" i="8"/>
  <c r="S160" i="8"/>
  <c r="Q160" i="8"/>
  <c r="O160" i="8"/>
  <c r="M160" i="8"/>
  <c r="K160" i="8"/>
  <c r="I160" i="8"/>
  <c r="G160" i="8"/>
  <c r="E160" i="8"/>
  <c r="C160" i="8"/>
  <c r="U159" i="8"/>
  <c r="S159" i="8"/>
  <c r="Q159" i="8"/>
  <c r="O159" i="8"/>
  <c r="M159" i="8"/>
  <c r="K159" i="8"/>
  <c r="I159" i="8"/>
  <c r="G159" i="8"/>
  <c r="E159" i="8"/>
  <c r="C159" i="8"/>
  <c r="U158" i="8"/>
  <c r="S158" i="8"/>
  <c r="Q158" i="8"/>
  <c r="O158" i="8"/>
  <c r="M158" i="8"/>
  <c r="K158" i="8"/>
  <c r="I158" i="8"/>
  <c r="G158" i="8"/>
  <c r="E158" i="8"/>
  <c r="C158" i="8"/>
  <c r="U157" i="8"/>
  <c r="S157" i="8"/>
  <c r="Q157" i="8"/>
  <c r="O157" i="8"/>
  <c r="M157" i="8"/>
  <c r="K157" i="8"/>
  <c r="I157" i="8"/>
  <c r="G157" i="8"/>
  <c r="E157" i="8"/>
  <c r="C157" i="8"/>
  <c r="U156" i="8"/>
  <c r="S156" i="8"/>
  <c r="Q156" i="8"/>
  <c r="O156" i="8"/>
  <c r="M156" i="8"/>
  <c r="K156" i="8"/>
  <c r="I156" i="8"/>
  <c r="G156" i="8"/>
  <c r="E156" i="8"/>
  <c r="C156" i="8"/>
  <c r="U155" i="8"/>
  <c r="S155" i="8"/>
  <c r="Q155" i="8"/>
  <c r="O155" i="8"/>
  <c r="M155" i="8"/>
  <c r="K155" i="8"/>
  <c r="I155" i="8"/>
  <c r="G155" i="8"/>
  <c r="E155" i="8"/>
  <c r="C155" i="8"/>
  <c r="U154" i="8"/>
  <c r="S154" i="8"/>
  <c r="Q154" i="8"/>
  <c r="O154" i="8"/>
  <c r="M154" i="8"/>
  <c r="K154" i="8"/>
  <c r="I154" i="8"/>
  <c r="G154" i="8"/>
  <c r="E154" i="8"/>
  <c r="C154" i="8"/>
  <c r="U153" i="8"/>
  <c r="S153" i="8"/>
  <c r="Q153" i="8"/>
  <c r="O153" i="8"/>
  <c r="M153" i="8"/>
  <c r="K153" i="8"/>
  <c r="I153" i="8"/>
  <c r="G153" i="8"/>
  <c r="E153" i="8"/>
  <c r="C153" i="8"/>
  <c r="U152" i="8"/>
  <c r="S152" i="8"/>
  <c r="Q152" i="8"/>
  <c r="O152" i="8"/>
  <c r="M152" i="8"/>
  <c r="K152" i="8"/>
  <c r="I152" i="8"/>
  <c r="G152" i="8"/>
  <c r="E152" i="8"/>
  <c r="C152" i="8"/>
  <c r="U151" i="8"/>
  <c r="S151" i="8"/>
  <c r="Q151" i="8"/>
  <c r="O151" i="8"/>
  <c r="M151" i="8"/>
  <c r="K151" i="8"/>
  <c r="I151" i="8"/>
  <c r="G151" i="8"/>
  <c r="E151" i="8"/>
  <c r="C151" i="8"/>
  <c r="U150" i="8"/>
  <c r="S150" i="8"/>
  <c r="Q150" i="8"/>
  <c r="O150" i="8"/>
  <c r="M150" i="8"/>
  <c r="K150" i="8"/>
  <c r="I150" i="8"/>
  <c r="G150" i="8"/>
  <c r="E150" i="8"/>
  <c r="C150" i="8"/>
  <c r="U149" i="8"/>
  <c r="S149" i="8"/>
  <c r="Q149" i="8"/>
  <c r="O149" i="8"/>
  <c r="M149" i="8"/>
  <c r="K149" i="8"/>
  <c r="I149" i="8"/>
  <c r="G149" i="8"/>
  <c r="E149" i="8"/>
  <c r="C149" i="8"/>
  <c r="U148" i="8"/>
  <c r="S148" i="8"/>
  <c r="Q148" i="8"/>
  <c r="O148" i="8"/>
  <c r="M148" i="8"/>
  <c r="K148" i="8"/>
  <c r="I148" i="8"/>
  <c r="G148" i="8"/>
  <c r="E148" i="8"/>
  <c r="C148" i="8"/>
  <c r="U147" i="8"/>
  <c r="S147" i="8"/>
  <c r="Q147" i="8"/>
  <c r="O147" i="8"/>
  <c r="M147" i="8"/>
  <c r="K147" i="8"/>
  <c r="I147" i="8"/>
  <c r="G147" i="8"/>
  <c r="E147" i="8"/>
  <c r="C147" i="8"/>
  <c r="U146" i="8"/>
  <c r="S146" i="8"/>
  <c r="Q146" i="8"/>
  <c r="O146" i="8"/>
  <c r="M146" i="8"/>
  <c r="K146" i="8"/>
  <c r="I146" i="8"/>
  <c r="G146" i="8"/>
  <c r="E146" i="8"/>
  <c r="C146" i="8"/>
  <c r="U145" i="8"/>
  <c r="S145" i="8"/>
  <c r="Q145" i="8"/>
  <c r="O145" i="8"/>
  <c r="M145" i="8"/>
  <c r="K145" i="8"/>
  <c r="I145" i="8"/>
  <c r="G145" i="8"/>
  <c r="E145" i="8"/>
  <c r="C145" i="8"/>
  <c r="U144" i="8"/>
  <c r="S144" i="8"/>
  <c r="Q144" i="8"/>
  <c r="O144" i="8"/>
  <c r="M144" i="8"/>
  <c r="K144" i="8"/>
  <c r="I144" i="8"/>
  <c r="G144" i="8"/>
  <c r="E144" i="8"/>
  <c r="C144" i="8"/>
  <c r="U143" i="8"/>
  <c r="S143" i="8"/>
  <c r="Q143" i="8"/>
  <c r="O143" i="8"/>
  <c r="M143" i="8"/>
  <c r="K143" i="8"/>
  <c r="I143" i="8"/>
  <c r="G143" i="8"/>
  <c r="E143" i="8"/>
  <c r="C143" i="8"/>
  <c r="U142" i="8"/>
  <c r="S142" i="8"/>
  <c r="Q142" i="8"/>
  <c r="O142" i="8"/>
  <c r="M142" i="8"/>
  <c r="K142" i="8"/>
  <c r="I142" i="8"/>
  <c r="G142" i="8"/>
  <c r="E142" i="8"/>
  <c r="C142" i="8"/>
  <c r="U141" i="8"/>
  <c r="S141" i="8"/>
  <c r="Q141" i="8"/>
  <c r="O141" i="8"/>
  <c r="M141" i="8"/>
  <c r="K141" i="8"/>
  <c r="I141" i="8"/>
  <c r="G141" i="8"/>
  <c r="E141" i="8"/>
  <c r="C141" i="8"/>
  <c r="U140" i="8"/>
  <c r="S140" i="8"/>
  <c r="Q140" i="8"/>
  <c r="O140" i="8"/>
  <c r="M140" i="8"/>
  <c r="K140" i="8"/>
  <c r="I140" i="8"/>
  <c r="G140" i="8"/>
  <c r="E140" i="8"/>
  <c r="C140" i="8"/>
  <c r="U139" i="8"/>
  <c r="S139" i="8"/>
  <c r="Q139" i="8"/>
  <c r="O139" i="8"/>
  <c r="M139" i="8"/>
  <c r="K139" i="8"/>
  <c r="I139" i="8"/>
  <c r="G139" i="8"/>
  <c r="E139" i="8"/>
  <c r="C139" i="8"/>
  <c r="U138" i="8"/>
  <c r="S138" i="8"/>
  <c r="Q138" i="8"/>
  <c r="O138" i="8"/>
  <c r="M138" i="8"/>
  <c r="K138" i="8"/>
  <c r="I138" i="8"/>
  <c r="G138" i="8"/>
  <c r="E138" i="8"/>
  <c r="C138" i="8"/>
  <c r="U137" i="8"/>
  <c r="S137" i="8"/>
  <c r="Q137" i="8"/>
  <c r="O137" i="8"/>
  <c r="M137" i="8"/>
  <c r="K137" i="8"/>
  <c r="I137" i="8"/>
  <c r="G137" i="8"/>
  <c r="E137" i="8"/>
  <c r="C137" i="8"/>
  <c r="U136" i="8"/>
  <c r="S136" i="8"/>
  <c r="Q136" i="8"/>
  <c r="O136" i="8"/>
  <c r="M136" i="8"/>
  <c r="K136" i="8"/>
  <c r="I136" i="8"/>
  <c r="G136" i="8"/>
  <c r="E136" i="8"/>
  <c r="C136" i="8"/>
  <c r="U135" i="8"/>
  <c r="S135" i="8"/>
  <c r="Q135" i="8"/>
  <c r="O135" i="8"/>
  <c r="M135" i="8"/>
  <c r="K135" i="8"/>
  <c r="I135" i="8"/>
  <c r="G135" i="8"/>
  <c r="E135" i="8"/>
  <c r="C135" i="8"/>
  <c r="U134" i="8"/>
  <c r="S134" i="8"/>
  <c r="Q134" i="8"/>
  <c r="O134" i="8"/>
  <c r="M134" i="8"/>
  <c r="K134" i="8"/>
  <c r="I134" i="8"/>
  <c r="G134" i="8"/>
  <c r="E134" i="8"/>
  <c r="C134" i="8"/>
  <c r="U133" i="8"/>
  <c r="S133" i="8"/>
  <c r="Q133" i="8"/>
  <c r="O133" i="8"/>
  <c r="M133" i="8"/>
  <c r="K133" i="8"/>
  <c r="I133" i="8"/>
  <c r="G133" i="8"/>
  <c r="E133" i="8"/>
  <c r="C133" i="8"/>
  <c r="U132" i="8"/>
  <c r="S132" i="8"/>
  <c r="Q132" i="8"/>
  <c r="O132" i="8"/>
  <c r="M132" i="8"/>
  <c r="K132" i="8"/>
  <c r="I132" i="8"/>
  <c r="G132" i="8"/>
  <c r="E132" i="8"/>
  <c r="C132" i="8"/>
  <c r="U131" i="8"/>
  <c r="S131" i="8"/>
  <c r="Q131" i="8"/>
  <c r="O131" i="8"/>
  <c r="M131" i="8"/>
  <c r="K131" i="8"/>
  <c r="I131" i="8"/>
  <c r="G131" i="8"/>
  <c r="E131" i="8"/>
  <c r="C131" i="8"/>
  <c r="U130" i="8"/>
  <c r="S130" i="8"/>
  <c r="Q130" i="8"/>
  <c r="O130" i="8"/>
  <c r="M130" i="8"/>
  <c r="K130" i="8"/>
  <c r="I130" i="8"/>
  <c r="G130" i="8"/>
  <c r="E130" i="8"/>
  <c r="C130" i="8"/>
  <c r="U129" i="8"/>
  <c r="S129" i="8"/>
  <c r="Q129" i="8"/>
  <c r="O129" i="8"/>
  <c r="M129" i="8"/>
  <c r="K129" i="8"/>
  <c r="I129" i="8"/>
  <c r="G129" i="8"/>
  <c r="E129" i="8"/>
  <c r="C129" i="8"/>
  <c r="U128" i="8"/>
  <c r="S128" i="8"/>
  <c r="Q128" i="8"/>
  <c r="O128" i="8"/>
  <c r="M128" i="8"/>
  <c r="K128" i="8"/>
  <c r="I128" i="8"/>
  <c r="G128" i="8"/>
  <c r="E128" i="8"/>
  <c r="C128" i="8"/>
  <c r="U127" i="8"/>
  <c r="S127" i="8"/>
  <c r="Q127" i="8"/>
  <c r="O127" i="8"/>
  <c r="M127" i="8"/>
  <c r="K127" i="8"/>
  <c r="I127" i="8"/>
  <c r="G127" i="8"/>
  <c r="E127" i="8"/>
  <c r="C127" i="8"/>
  <c r="U126" i="8"/>
  <c r="S126" i="8"/>
  <c r="Q126" i="8"/>
  <c r="O126" i="8"/>
  <c r="M126" i="8"/>
  <c r="K126" i="8"/>
  <c r="I126" i="8"/>
  <c r="G126" i="8"/>
  <c r="E126" i="8"/>
  <c r="C126" i="8"/>
  <c r="U125" i="8"/>
  <c r="S125" i="8"/>
  <c r="Q125" i="8"/>
  <c r="O125" i="8"/>
  <c r="M125" i="8"/>
  <c r="K125" i="8"/>
  <c r="I125" i="8"/>
  <c r="G125" i="8"/>
  <c r="E125" i="8"/>
  <c r="C125" i="8"/>
  <c r="U124" i="8"/>
  <c r="S124" i="8"/>
  <c r="Q124" i="8"/>
  <c r="O124" i="8"/>
  <c r="M124" i="8"/>
  <c r="K124" i="8"/>
  <c r="I124" i="8"/>
  <c r="G124" i="8"/>
  <c r="E124" i="8"/>
  <c r="C124" i="8"/>
  <c r="U123" i="8"/>
  <c r="S123" i="8"/>
  <c r="Q123" i="8"/>
  <c r="O123" i="8"/>
  <c r="M123" i="8"/>
  <c r="K123" i="8"/>
  <c r="I123" i="8"/>
  <c r="G123" i="8"/>
  <c r="E123" i="8"/>
  <c r="C123" i="8"/>
  <c r="U122" i="8"/>
  <c r="S122" i="8"/>
  <c r="Q122" i="8"/>
  <c r="O122" i="8"/>
  <c r="M122" i="8"/>
  <c r="K122" i="8"/>
  <c r="I122" i="8"/>
  <c r="G122" i="8"/>
  <c r="E122" i="8"/>
  <c r="C122" i="8"/>
  <c r="U121" i="8"/>
  <c r="S121" i="8"/>
  <c r="Q121" i="8"/>
  <c r="O121" i="8"/>
  <c r="M121" i="8"/>
  <c r="K121" i="8"/>
  <c r="I121" i="8"/>
  <c r="G121" i="8"/>
  <c r="E121" i="8"/>
  <c r="C121" i="8"/>
  <c r="U120" i="8"/>
  <c r="S120" i="8"/>
  <c r="Q120" i="8"/>
  <c r="O120" i="8"/>
  <c r="M120" i="8"/>
  <c r="K120" i="8"/>
  <c r="I120" i="8"/>
  <c r="G120" i="8"/>
  <c r="E120" i="8"/>
  <c r="C120" i="8"/>
  <c r="U119" i="8"/>
  <c r="S119" i="8"/>
  <c r="Q119" i="8"/>
  <c r="O119" i="8"/>
  <c r="M119" i="8"/>
  <c r="K119" i="8"/>
  <c r="I119" i="8"/>
  <c r="G119" i="8"/>
  <c r="E119" i="8"/>
  <c r="C119" i="8"/>
  <c r="U118" i="8"/>
  <c r="S118" i="8"/>
  <c r="Q118" i="8"/>
  <c r="O118" i="8"/>
  <c r="M118" i="8"/>
  <c r="K118" i="8"/>
  <c r="I118" i="8"/>
  <c r="G118" i="8"/>
  <c r="E118" i="8"/>
  <c r="C118" i="8"/>
  <c r="U117" i="8"/>
  <c r="S117" i="8"/>
  <c r="Q117" i="8"/>
  <c r="O117" i="8"/>
  <c r="M117" i="8"/>
  <c r="K117" i="8"/>
  <c r="I117" i="8"/>
  <c r="G117" i="8"/>
  <c r="E117" i="8"/>
  <c r="C117" i="8"/>
  <c r="U116" i="8"/>
  <c r="S116" i="8"/>
  <c r="Q116" i="8"/>
  <c r="O116" i="8"/>
  <c r="M116" i="8"/>
  <c r="K116" i="8"/>
  <c r="I116" i="8"/>
  <c r="G116" i="8"/>
  <c r="E116" i="8"/>
  <c r="C116" i="8"/>
  <c r="U115" i="8"/>
  <c r="S115" i="8"/>
  <c r="Q115" i="8"/>
  <c r="O115" i="8"/>
  <c r="M115" i="8"/>
  <c r="K115" i="8"/>
  <c r="I115" i="8"/>
  <c r="G115" i="8"/>
  <c r="E115" i="8"/>
  <c r="C115" i="8"/>
  <c r="U114" i="8"/>
  <c r="S114" i="8"/>
  <c r="Q114" i="8"/>
  <c r="O114" i="8"/>
  <c r="M114" i="8"/>
  <c r="K114" i="8"/>
  <c r="I114" i="8"/>
  <c r="G114" i="8"/>
  <c r="E114" i="8"/>
  <c r="C114" i="8"/>
  <c r="U113" i="8"/>
  <c r="S113" i="8"/>
  <c r="Q113" i="8"/>
  <c r="O113" i="8"/>
  <c r="M113" i="8"/>
  <c r="K113" i="8"/>
  <c r="I113" i="8"/>
  <c r="G113" i="8"/>
  <c r="E113" i="8"/>
  <c r="C113" i="8"/>
  <c r="U112" i="8"/>
  <c r="S112" i="8"/>
  <c r="Q112" i="8"/>
  <c r="O112" i="8"/>
  <c r="M112" i="8"/>
  <c r="K112" i="8"/>
  <c r="I112" i="8"/>
  <c r="G112" i="8"/>
  <c r="E112" i="8"/>
  <c r="C112" i="8"/>
  <c r="U111" i="8"/>
  <c r="S111" i="8"/>
  <c r="Q111" i="8"/>
  <c r="O111" i="8"/>
  <c r="M111" i="8"/>
  <c r="K111" i="8"/>
  <c r="I111" i="8"/>
  <c r="G111" i="8"/>
  <c r="E111" i="8"/>
  <c r="C111" i="8"/>
  <c r="U110" i="8"/>
  <c r="S110" i="8"/>
  <c r="Q110" i="8"/>
  <c r="O110" i="8"/>
  <c r="M110" i="8"/>
  <c r="K110" i="8"/>
  <c r="I110" i="8"/>
  <c r="G110" i="8"/>
  <c r="E110" i="8"/>
  <c r="C110" i="8"/>
  <c r="U109" i="8"/>
  <c r="S109" i="8"/>
  <c r="Q109" i="8"/>
  <c r="O109" i="8"/>
  <c r="M109" i="8"/>
  <c r="K109" i="8"/>
  <c r="I109" i="8"/>
  <c r="G109" i="8"/>
  <c r="E109" i="8"/>
  <c r="C109" i="8"/>
  <c r="U108" i="8"/>
  <c r="S108" i="8"/>
  <c r="Q108" i="8"/>
  <c r="O108" i="8"/>
  <c r="M108" i="8"/>
  <c r="K108" i="8"/>
  <c r="I108" i="8"/>
  <c r="G108" i="8"/>
  <c r="E108" i="8"/>
  <c r="C108" i="8"/>
  <c r="U107" i="8"/>
  <c r="S107" i="8"/>
  <c r="Q107" i="8"/>
  <c r="O107" i="8"/>
  <c r="M107" i="8"/>
  <c r="K107" i="8"/>
  <c r="I107" i="8"/>
  <c r="G107" i="8"/>
  <c r="E107" i="8"/>
  <c r="C107" i="8"/>
  <c r="U106" i="8"/>
  <c r="S106" i="8"/>
  <c r="Q106" i="8"/>
  <c r="O106" i="8"/>
  <c r="M106" i="8"/>
  <c r="K106" i="8"/>
  <c r="I106" i="8"/>
  <c r="G106" i="8"/>
  <c r="E106" i="8"/>
  <c r="C106" i="8"/>
  <c r="U105" i="8"/>
  <c r="S105" i="8"/>
  <c r="Q105" i="8"/>
  <c r="O105" i="8"/>
  <c r="M105" i="8"/>
  <c r="K105" i="8"/>
  <c r="I105" i="8"/>
  <c r="G105" i="8"/>
  <c r="E105" i="8"/>
  <c r="C105" i="8"/>
  <c r="U104" i="8"/>
  <c r="S104" i="8"/>
  <c r="Q104" i="8"/>
  <c r="O104" i="8"/>
  <c r="M104" i="8"/>
  <c r="K104" i="8"/>
  <c r="I104" i="8"/>
  <c r="G104" i="8"/>
  <c r="E104" i="8"/>
  <c r="C104" i="8"/>
  <c r="U103" i="8"/>
  <c r="S103" i="8"/>
  <c r="Q103" i="8"/>
  <c r="O103" i="8"/>
  <c r="M103" i="8"/>
  <c r="K103" i="8"/>
  <c r="I103" i="8"/>
  <c r="G103" i="8"/>
  <c r="E103" i="8"/>
  <c r="C103" i="8"/>
  <c r="U102" i="8"/>
  <c r="S102" i="8"/>
  <c r="Q102" i="8"/>
  <c r="O102" i="8"/>
  <c r="M102" i="8"/>
  <c r="K102" i="8"/>
  <c r="I102" i="8"/>
  <c r="G102" i="8"/>
  <c r="E102" i="8"/>
  <c r="C102" i="8"/>
  <c r="U101" i="8"/>
  <c r="S101" i="8"/>
  <c r="Q101" i="8"/>
  <c r="O101" i="8"/>
  <c r="M101" i="8"/>
  <c r="K101" i="8"/>
  <c r="I101" i="8"/>
  <c r="G101" i="8"/>
  <c r="E101" i="8"/>
  <c r="C101" i="8"/>
  <c r="U100" i="8"/>
  <c r="S100" i="8"/>
  <c r="Q100" i="8"/>
  <c r="O100" i="8"/>
  <c r="M100" i="8"/>
  <c r="K100" i="8"/>
  <c r="I100" i="8"/>
  <c r="G100" i="8"/>
  <c r="E100" i="8"/>
  <c r="C100" i="8"/>
  <c r="U99" i="8"/>
  <c r="S99" i="8"/>
  <c r="Q99" i="8"/>
  <c r="O99" i="8"/>
  <c r="M99" i="8"/>
  <c r="K99" i="8"/>
  <c r="I99" i="8"/>
  <c r="G99" i="8"/>
  <c r="E99" i="8"/>
  <c r="C99" i="8"/>
  <c r="U98" i="8"/>
  <c r="S98" i="8"/>
  <c r="Q98" i="8"/>
  <c r="O98" i="8"/>
  <c r="M98" i="8"/>
  <c r="K98" i="8"/>
  <c r="I98" i="8"/>
  <c r="G98" i="8"/>
  <c r="E98" i="8"/>
  <c r="C98" i="8"/>
  <c r="U97" i="8"/>
  <c r="S97" i="8"/>
  <c r="Q97" i="8"/>
  <c r="O97" i="8"/>
  <c r="M97" i="8"/>
  <c r="K97" i="8"/>
  <c r="I97" i="8"/>
  <c r="G97" i="8"/>
  <c r="E97" i="8"/>
  <c r="C97" i="8"/>
  <c r="U96" i="8"/>
  <c r="S96" i="8"/>
  <c r="Q96" i="8"/>
  <c r="O96" i="8"/>
  <c r="M96" i="8"/>
  <c r="K96" i="8"/>
  <c r="I96" i="8"/>
  <c r="G96" i="8"/>
  <c r="E96" i="8"/>
  <c r="C96" i="8"/>
  <c r="U95" i="8"/>
  <c r="S95" i="8"/>
  <c r="Q95" i="8"/>
  <c r="O95" i="8"/>
  <c r="M95" i="8"/>
  <c r="K95" i="8"/>
  <c r="I95" i="8"/>
  <c r="G95" i="8"/>
  <c r="E95" i="8"/>
  <c r="C95" i="8"/>
  <c r="U94" i="8"/>
  <c r="S94" i="8"/>
  <c r="Q94" i="8"/>
  <c r="O94" i="8"/>
  <c r="M94" i="8"/>
  <c r="K94" i="8"/>
  <c r="I94" i="8"/>
  <c r="G94" i="8"/>
  <c r="E94" i="8"/>
  <c r="C94" i="8"/>
  <c r="U93" i="8"/>
  <c r="S93" i="8"/>
  <c r="Q93" i="8"/>
  <c r="O93" i="8"/>
  <c r="M93" i="8"/>
  <c r="K93" i="8"/>
  <c r="I93" i="8"/>
  <c r="G93" i="8"/>
  <c r="E93" i="8"/>
  <c r="C93" i="8"/>
  <c r="U92" i="8"/>
  <c r="S92" i="8"/>
  <c r="Q92" i="8"/>
  <c r="O92" i="8"/>
  <c r="M92" i="8"/>
  <c r="K92" i="8"/>
  <c r="I92" i="8"/>
  <c r="G92" i="8"/>
  <c r="E92" i="8"/>
  <c r="C92" i="8"/>
  <c r="U91" i="8"/>
  <c r="S91" i="8"/>
  <c r="Q91" i="8"/>
  <c r="O91" i="8"/>
  <c r="M91" i="8"/>
  <c r="K91" i="8"/>
  <c r="I91" i="8"/>
  <c r="G91" i="8"/>
  <c r="E91" i="8"/>
  <c r="C91" i="8"/>
  <c r="U90" i="8"/>
  <c r="S90" i="8"/>
  <c r="Q90" i="8"/>
  <c r="O90" i="8"/>
  <c r="M90" i="8"/>
  <c r="K90" i="8"/>
  <c r="I90" i="8"/>
  <c r="G90" i="8"/>
  <c r="E90" i="8"/>
  <c r="C90" i="8"/>
  <c r="U89" i="8"/>
  <c r="S89" i="8"/>
  <c r="Q89" i="8"/>
  <c r="O89" i="8"/>
  <c r="M89" i="8"/>
  <c r="K89" i="8"/>
  <c r="I89" i="8"/>
  <c r="G89" i="8"/>
  <c r="E89" i="8"/>
  <c r="C89" i="8"/>
  <c r="U88" i="8"/>
  <c r="S88" i="8"/>
  <c r="Q88" i="8"/>
  <c r="O88" i="8"/>
  <c r="M88" i="8"/>
  <c r="K88" i="8"/>
  <c r="I88" i="8"/>
  <c r="G88" i="8"/>
  <c r="E88" i="8"/>
  <c r="C88" i="8"/>
  <c r="U87" i="8"/>
  <c r="S87" i="8"/>
  <c r="Q87" i="8"/>
  <c r="O87" i="8"/>
  <c r="M87" i="8"/>
  <c r="K87" i="8"/>
  <c r="I87" i="8"/>
  <c r="G87" i="8"/>
  <c r="E87" i="8"/>
  <c r="C87" i="8"/>
  <c r="U86" i="8"/>
  <c r="S86" i="8"/>
  <c r="Q86" i="8"/>
  <c r="O86" i="8"/>
  <c r="M86" i="8"/>
  <c r="K86" i="8"/>
  <c r="I86" i="8"/>
  <c r="G86" i="8"/>
  <c r="E86" i="8"/>
  <c r="C86" i="8"/>
  <c r="U85" i="8"/>
  <c r="S85" i="8"/>
  <c r="Q85" i="8"/>
  <c r="O85" i="8"/>
  <c r="M85" i="8"/>
  <c r="K85" i="8"/>
  <c r="I85" i="8"/>
  <c r="G85" i="8"/>
  <c r="E85" i="8"/>
  <c r="C85" i="8"/>
  <c r="U84" i="8"/>
  <c r="S84" i="8"/>
  <c r="Q84" i="8"/>
  <c r="O84" i="8"/>
  <c r="M84" i="8"/>
  <c r="K84" i="8"/>
  <c r="I84" i="8"/>
  <c r="G84" i="8"/>
  <c r="E84" i="8"/>
  <c r="C84" i="8"/>
  <c r="U83" i="8"/>
  <c r="S83" i="8"/>
  <c r="Q83" i="8"/>
  <c r="O83" i="8"/>
  <c r="M83" i="8"/>
  <c r="K83" i="8"/>
  <c r="I83" i="8"/>
  <c r="G83" i="8"/>
  <c r="E83" i="8"/>
  <c r="C83" i="8"/>
  <c r="U82" i="8"/>
  <c r="S82" i="8"/>
  <c r="Q82" i="8"/>
  <c r="O82" i="8"/>
  <c r="M82" i="8"/>
  <c r="K82" i="8"/>
  <c r="I82" i="8"/>
  <c r="G82" i="8"/>
  <c r="E82" i="8"/>
  <c r="C82" i="8"/>
  <c r="U81" i="8"/>
  <c r="S81" i="8"/>
  <c r="Q81" i="8"/>
  <c r="O81" i="8"/>
  <c r="M81" i="8"/>
  <c r="K81" i="8"/>
  <c r="I81" i="8"/>
  <c r="G81" i="8"/>
  <c r="E81" i="8"/>
  <c r="C81" i="8"/>
  <c r="U80" i="8"/>
  <c r="S80" i="8"/>
  <c r="Q80" i="8"/>
  <c r="O80" i="8"/>
  <c r="M80" i="8"/>
  <c r="K80" i="8"/>
  <c r="I80" i="8"/>
  <c r="G80" i="8"/>
  <c r="E80" i="8"/>
  <c r="C80" i="8"/>
  <c r="U79" i="8"/>
  <c r="S79" i="8"/>
  <c r="Q79" i="8"/>
  <c r="O79" i="8"/>
  <c r="M79" i="8"/>
  <c r="K79" i="8"/>
  <c r="I79" i="8"/>
  <c r="G79" i="8"/>
  <c r="E79" i="8"/>
  <c r="C79" i="8"/>
  <c r="U78" i="8"/>
  <c r="S78" i="8"/>
  <c r="Q78" i="8"/>
  <c r="O78" i="8"/>
  <c r="M78" i="8"/>
  <c r="K78" i="8"/>
  <c r="I78" i="8"/>
  <c r="G78" i="8"/>
  <c r="E78" i="8"/>
  <c r="C78" i="8"/>
  <c r="U77" i="8"/>
  <c r="S77" i="8"/>
  <c r="Q77" i="8"/>
  <c r="O77" i="8"/>
  <c r="M77" i="8"/>
  <c r="K77" i="8"/>
  <c r="I77" i="8"/>
  <c r="G77" i="8"/>
  <c r="E77" i="8"/>
  <c r="C77" i="8"/>
  <c r="U76" i="8"/>
  <c r="S76" i="8"/>
  <c r="Q76" i="8"/>
  <c r="O76" i="8"/>
  <c r="M76" i="8"/>
  <c r="K76" i="8"/>
  <c r="I76" i="8"/>
  <c r="G76" i="8"/>
  <c r="E76" i="8"/>
  <c r="C76" i="8"/>
  <c r="U75" i="8"/>
  <c r="S75" i="8"/>
  <c r="Q75" i="8"/>
  <c r="O75" i="8"/>
  <c r="M75" i="8"/>
  <c r="K75" i="8"/>
  <c r="I75" i="8"/>
  <c r="G75" i="8"/>
  <c r="E75" i="8"/>
  <c r="C75" i="8"/>
  <c r="U74" i="8"/>
  <c r="S74" i="8"/>
  <c r="Q74" i="8"/>
  <c r="O74" i="8"/>
  <c r="M74" i="8"/>
  <c r="K74" i="8"/>
  <c r="I74" i="8"/>
  <c r="G74" i="8"/>
  <c r="E74" i="8"/>
  <c r="C74" i="8"/>
  <c r="U73" i="8"/>
  <c r="S73" i="8"/>
  <c r="Q73" i="8"/>
  <c r="O73" i="8"/>
  <c r="M73" i="8"/>
  <c r="K73" i="8"/>
  <c r="I73" i="8"/>
  <c r="G73" i="8"/>
  <c r="E73" i="8"/>
  <c r="C73" i="8"/>
  <c r="U72" i="8"/>
  <c r="S72" i="8"/>
  <c r="Q72" i="8"/>
  <c r="O72" i="8"/>
  <c r="M72" i="8"/>
  <c r="K72" i="8"/>
  <c r="I72" i="8"/>
  <c r="G72" i="8"/>
  <c r="E72" i="8"/>
  <c r="C72" i="8"/>
  <c r="U71" i="8"/>
  <c r="S71" i="8"/>
  <c r="Q71" i="8"/>
  <c r="O71" i="8"/>
  <c r="M71" i="8"/>
  <c r="K71" i="8"/>
  <c r="I71" i="8"/>
  <c r="G71" i="8"/>
  <c r="E71" i="8"/>
  <c r="C71" i="8"/>
  <c r="U70" i="8"/>
  <c r="S70" i="8"/>
  <c r="Q70" i="8"/>
  <c r="O70" i="8"/>
  <c r="M70" i="8"/>
  <c r="K70" i="8"/>
  <c r="I70" i="8"/>
  <c r="G70" i="8"/>
  <c r="E70" i="8"/>
  <c r="C70" i="8"/>
  <c r="U69" i="8"/>
  <c r="S69" i="8"/>
  <c r="Q69" i="8"/>
  <c r="O69" i="8"/>
  <c r="M69" i="8"/>
  <c r="K69" i="8"/>
  <c r="I69" i="8"/>
  <c r="G69" i="8"/>
  <c r="E69" i="8"/>
  <c r="C69" i="8"/>
  <c r="U68" i="8"/>
  <c r="S68" i="8"/>
  <c r="Q68" i="8"/>
  <c r="O68" i="8"/>
  <c r="M68" i="8"/>
  <c r="K68" i="8"/>
  <c r="I68" i="8"/>
  <c r="G68" i="8"/>
  <c r="E68" i="8"/>
  <c r="C68" i="8"/>
  <c r="U67" i="8"/>
  <c r="S67" i="8"/>
  <c r="Q67" i="8"/>
  <c r="O67" i="8"/>
  <c r="M67" i="8"/>
  <c r="K67" i="8"/>
  <c r="I67" i="8"/>
  <c r="G67" i="8"/>
  <c r="E67" i="8"/>
  <c r="C67" i="8"/>
  <c r="U66" i="8"/>
  <c r="S66" i="8"/>
  <c r="Q66" i="8"/>
  <c r="O66" i="8"/>
  <c r="M66" i="8"/>
  <c r="K66" i="8"/>
  <c r="I66" i="8"/>
  <c r="G66" i="8"/>
  <c r="E66" i="8"/>
  <c r="C66" i="8"/>
  <c r="U65" i="8"/>
  <c r="S65" i="8"/>
  <c r="Q65" i="8"/>
  <c r="O65" i="8"/>
  <c r="M65" i="8"/>
  <c r="K65" i="8"/>
  <c r="I65" i="8"/>
  <c r="G65" i="8"/>
  <c r="E65" i="8"/>
  <c r="C65" i="8"/>
  <c r="U64" i="8"/>
  <c r="S64" i="8"/>
  <c r="Q64" i="8"/>
  <c r="O64" i="8"/>
  <c r="M64" i="8"/>
  <c r="K64" i="8"/>
  <c r="I64" i="8"/>
  <c r="G64" i="8"/>
  <c r="E64" i="8"/>
  <c r="C64" i="8"/>
  <c r="U63" i="8"/>
  <c r="S63" i="8"/>
  <c r="Q63" i="8"/>
  <c r="O63" i="8"/>
  <c r="M63" i="8"/>
  <c r="K63" i="8"/>
  <c r="I63" i="8"/>
  <c r="G63" i="8"/>
  <c r="E63" i="8"/>
  <c r="C63" i="8"/>
  <c r="U62" i="8"/>
  <c r="S62" i="8"/>
  <c r="Q62" i="8"/>
  <c r="O62" i="8"/>
  <c r="M62" i="8"/>
  <c r="K62" i="8"/>
  <c r="I62" i="8"/>
  <c r="G62" i="8"/>
  <c r="E62" i="8"/>
  <c r="C62" i="8"/>
  <c r="U61" i="8"/>
  <c r="S61" i="8"/>
  <c r="Q61" i="8"/>
  <c r="O61" i="8"/>
  <c r="M61" i="8"/>
  <c r="K61" i="8"/>
  <c r="I61" i="8"/>
  <c r="G61" i="8"/>
  <c r="E61" i="8"/>
  <c r="C61" i="8"/>
  <c r="U60" i="8"/>
  <c r="S60" i="8"/>
  <c r="Q60" i="8"/>
  <c r="O60" i="8"/>
  <c r="M60" i="8"/>
  <c r="K60" i="8"/>
  <c r="I60" i="8"/>
  <c r="G60" i="8"/>
  <c r="E60" i="8"/>
  <c r="C60" i="8"/>
  <c r="U59" i="8"/>
  <c r="S59" i="8"/>
  <c r="Q59" i="8"/>
  <c r="O59" i="8"/>
  <c r="M59" i="8"/>
  <c r="K59" i="8"/>
  <c r="I59" i="8"/>
  <c r="G59" i="8"/>
  <c r="E59" i="8"/>
  <c r="C59" i="8"/>
  <c r="U58" i="8"/>
  <c r="S58" i="8"/>
  <c r="Q58" i="8"/>
  <c r="O58" i="8"/>
  <c r="M58" i="8"/>
  <c r="K58" i="8"/>
  <c r="I58" i="8"/>
  <c r="G58" i="8"/>
  <c r="E58" i="8"/>
  <c r="C58" i="8"/>
  <c r="U57" i="8"/>
  <c r="S57" i="8"/>
  <c r="Q57" i="8"/>
  <c r="O57" i="8"/>
  <c r="M57" i="8"/>
  <c r="K57" i="8"/>
  <c r="I57" i="8"/>
  <c r="G57" i="8"/>
  <c r="E57" i="8"/>
  <c r="C57" i="8"/>
  <c r="U56" i="8"/>
  <c r="S56" i="8"/>
  <c r="Q56" i="8"/>
  <c r="O56" i="8"/>
  <c r="M56" i="8"/>
  <c r="K56" i="8"/>
  <c r="I56" i="8"/>
  <c r="G56" i="8"/>
  <c r="E56" i="8"/>
  <c r="C56" i="8"/>
  <c r="U55" i="8"/>
  <c r="S55" i="8"/>
  <c r="Q55" i="8"/>
  <c r="O55" i="8"/>
  <c r="M55" i="8"/>
  <c r="K55" i="8"/>
  <c r="I55" i="8"/>
  <c r="G55" i="8"/>
  <c r="E55" i="8"/>
  <c r="C55" i="8"/>
  <c r="U54" i="8"/>
  <c r="S54" i="8"/>
  <c r="Q54" i="8"/>
  <c r="O54" i="8"/>
  <c r="M54" i="8"/>
  <c r="K54" i="8"/>
  <c r="I54" i="8"/>
  <c r="G54" i="8"/>
  <c r="E54" i="8"/>
  <c r="C54" i="8"/>
  <c r="U53" i="8"/>
  <c r="S53" i="8"/>
  <c r="Q53" i="8"/>
  <c r="O53" i="8"/>
  <c r="M53" i="8"/>
  <c r="K53" i="8"/>
  <c r="I53" i="8"/>
  <c r="G53" i="8"/>
  <c r="E53" i="8"/>
  <c r="C53" i="8"/>
  <c r="U52" i="8"/>
  <c r="S52" i="8"/>
  <c r="Q52" i="8"/>
  <c r="O52" i="8"/>
  <c r="M52" i="8"/>
  <c r="K52" i="8"/>
  <c r="I52" i="8"/>
  <c r="G52" i="8"/>
  <c r="E52" i="8"/>
  <c r="C52" i="8"/>
  <c r="U51" i="8"/>
  <c r="S51" i="8"/>
  <c r="Q51" i="8"/>
  <c r="O51" i="8"/>
  <c r="M51" i="8"/>
  <c r="K51" i="8"/>
  <c r="I51" i="8"/>
  <c r="G51" i="8"/>
  <c r="E51" i="8"/>
  <c r="C51" i="8"/>
  <c r="U50" i="8"/>
  <c r="S50" i="8"/>
  <c r="Q50" i="8"/>
  <c r="O50" i="8"/>
  <c r="M50" i="8"/>
  <c r="K50" i="8"/>
  <c r="I50" i="8"/>
  <c r="G50" i="8"/>
  <c r="E50" i="8"/>
  <c r="C50" i="8"/>
  <c r="U49" i="8"/>
  <c r="S49" i="8"/>
  <c r="Q49" i="8"/>
  <c r="O49" i="8"/>
  <c r="M49" i="8"/>
  <c r="K49" i="8"/>
  <c r="I49" i="8"/>
  <c r="G49" i="8"/>
  <c r="E49" i="8"/>
  <c r="C49" i="8"/>
  <c r="U48" i="8"/>
  <c r="S48" i="8"/>
  <c r="Q48" i="8"/>
  <c r="O48" i="8"/>
  <c r="M48" i="8"/>
  <c r="K48" i="8"/>
  <c r="I48" i="8"/>
  <c r="G48" i="8"/>
  <c r="E48" i="8"/>
  <c r="C48" i="8"/>
  <c r="U47" i="8"/>
  <c r="S47" i="8"/>
  <c r="Q47" i="8"/>
  <c r="O47" i="8"/>
  <c r="M47" i="8"/>
  <c r="K47" i="8"/>
  <c r="I47" i="8"/>
  <c r="G47" i="8"/>
  <c r="E47" i="8"/>
  <c r="C47" i="8"/>
  <c r="U46" i="8"/>
  <c r="S46" i="8"/>
  <c r="Q46" i="8"/>
  <c r="O46" i="8"/>
  <c r="M46" i="8"/>
  <c r="K46" i="8"/>
  <c r="I46" i="8"/>
  <c r="G46" i="8"/>
  <c r="E46" i="8"/>
  <c r="C46" i="8"/>
  <c r="U45" i="8"/>
  <c r="S45" i="8"/>
  <c r="Q45" i="8"/>
  <c r="O45" i="8"/>
  <c r="M45" i="8"/>
  <c r="K45" i="8"/>
  <c r="I45" i="8"/>
  <c r="G45" i="8"/>
  <c r="E45" i="8"/>
  <c r="C45" i="8"/>
  <c r="U44" i="8"/>
  <c r="S44" i="8"/>
  <c r="Q44" i="8"/>
  <c r="O44" i="8"/>
  <c r="M44" i="8"/>
  <c r="K44" i="8"/>
  <c r="I44" i="8"/>
  <c r="G44" i="8"/>
  <c r="E44" i="8"/>
  <c r="C44" i="8"/>
  <c r="U43" i="8"/>
  <c r="S43" i="8"/>
  <c r="Q43" i="8"/>
  <c r="O43" i="8"/>
  <c r="M43" i="8"/>
  <c r="K43" i="8"/>
  <c r="I43" i="8"/>
  <c r="G43" i="8"/>
  <c r="E43" i="8"/>
  <c r="C43" i="8"/>
  <c r="U42" i="8"/>
  <c r="S42" i="8"/>
  <c r="Q42" i="8"/>
  <c r="O42" i="8"/>
  <c r="M42" i="8"/>
  <c r="K42" i="8"/>
  <c r="I42" i="8"/>
  <c r="G42" i="8"/>
  <c r="E42" i="8"/>
  <c r="C42" i="8"/>
  <c r="U41" i="8"/>
  <c r="S41" i="8"/>
  <c r="Q41" i="8"/>
  <c r="O41" i="8"/>
  <c r="M41" i="8"/>
  <c r="K41" i="8"/>
  <c r="I41" i="8"/>
  <c r="G41" i="8"/>
  <c r="E41" i="8"/>
  <c r="C41" i="8"/>
  <c r="U40" i="8"/>
  <c r="S40" i="8"/>
  <c r="Q40" i="8"/>
  <c r="O40" i="8"/>
  <c r="M40" i="8"/>
  <c r="K40" i="8"/>
  <c r="I40" i="8"/>
  <c r="G40" i="8"/>
  <c r="E40" i="8"/>
  <c r="C40" i="8"/>
  <c r="U39" i="8"/>
  <c r="S39" i="8"/>
  <c r="Q39" i="8"/>
  <c r="O39" i="8"/>
  <c r="M39" i="8"/>
  <c r="K39" i="8"/>
  <c r="I39" i="8"/>
  <c r="G39" i="8"/>
  <c r="E39" i="8"/>
  <c r="C39" i="8"/>
  <c r="U38" i="8"/>
  <c r="S38" i="8"/>
  <c r="Q38" i="8"/>
  <c r="O38" i="8"/>
  <c r="M38" i="8"/>
  <c r="K38" i="8"/>
  <c r="I38" i="8"/>
  <c r="G38" i="8"/>
  <c r="E38" i="8"/>
  <c r="C38" i="8"/>
  <c r="U37" i="8"/>
  <c r="S37" i="8"/>
  <c r="Q37" i="8"/>
  <c r="O37" i="8"/>
  <c r="M37" i="8"/>
  <c r="K37" i="8"/>
  <c r="I37" i="8"/>
  <c r="G37" i="8"/>
  <c r="E37" i="8"/>
  <c r="C37" i="8"/>
  <c r="U36" i="8"/>
  <c r="S36" i="8"/>
  <c r="Q36" i="8"/>
  <c r="O36" i="8"/>
  <c r="M36" i="8"/>
  <c r="K36" i="8"/>
  <c r="I36" i="8"/>
  <c r="G36" i="8"/>
  <c r="E36" i="8"/>
  <c r="C36" i="8"/>
  <c r="U35" i="8"/>
  <c r="S35" i="8"/>
  <c r="Q35" i="8"/>
  <c r="O35" i="8"/>
  <c r="M35" i="8"/>
  <c r="K35" i="8"/>
  <c r="I35" i="8"/>
  <c r="G35" i="8"/>
  <c r="E35" i="8"/>
  <c r="C35" i="8"/>
  <c r="U34" i="8"/>
  <c r="S34" i="8"/>
  <c r="Q34" i="8"/>
  <c r="O34" i="8"/>
  <c r="M34" i="8"/>
  <c r="K34" i="8"/>
  <c r="I34" i="8"/>
  <c r="G34" i="8"/>
  <c r="E34" i="8"/>
  <c r="C34" i="8"/>
  <c r="U33" i="8"/>
  <c r="S33" i="8"/>
  <c r="Q33" i="8"/>
  <c r="O33" i="8"/>
  <c r="M33" i="8"/>
  <c r="K33" i="8"/>
  <c r="I33" i="8"/>
  <c r="G33" i="8"/>
  <c r="E33" i="8"/>
  <c r="C33" i="8"/>
  <c r="U32" i="8"/>
  <c r="S32" i="8"/>
  <c r="Q32" i="8"/>
  <c r="O32" i="8"/>
  <c r="M32" i="8"/>
  <c r="K32" i="8"/>
  <c r="I32" i="8"/>
  <c r="G32" i="8"/>
  <c r="E32" i="8"/>
  <c r="C32" i="8"/>
  <c r="U31" i="8"/>
  <c r="S31" i="8"/>
  <c r="Q31" i="8"/>
  <c r="O31" i="8"/>
  <c r="M31" i="8"/>
  <c r="K31" i="8"/>
  <c r="I31" i="8"/>
  <c r="G31" i="8"/>
  <c r="E31" i="8"/>
  <c r="C31" i="8"/>
  <c r="U30" i="8"/>
  <c r="S30" i="8"/>
  <c r="Q30" i="8"/>
  <c r="O30" i="8"/>
  <c r="M30" i="8"/>
  <c r="K30" i="8"/>
  <c r="I30" i="8"/>
  <c r="G30" i="8"/>
  <c r="E30" i="8"/>
  <c r="C30" i="8"/>
  <c r="U29" i="8"/>
  <c r="S29" i="8"/>
  <c r="Q29" i="8"/>
  <c r="O29" i="8"/>
  <c r="M29" i="8"/>
  <c r="K29" i="8"/>
  <c r="I29" i="8"/>
  <c r="G29" i="8"/>
  <c r="E29" i="8"/>
  <c r="C29" i="8"/>
  <c r="U28" i="8"/>
  <c r="S28" i="8"/>
  <c r="Q28" i="8"/>
  <c r="O28" i="8"/>
  <c r="M28" i="8"/>
  <c r="K28" i="8"/>
  <c r="I28" i="8"/>
  <c r="G28" i="8"/>
  <c r="E28" i="8"/>
  <c r="C28" i="8"/>
  <c r="U27" i="8"/>
  <c r="S27" i="8"/>
  <c r="Q27" i="8"/>
  <c r="O27" i="8"/>
  <c r="M27" i="8"/>
  <c r="K27" i="8"/>
  <c r="I27" i="8"/>
  <c r="G27" i="8"/>
  <c r="E27" i="8"/>
  <c r="C27" i="8"/>
  <c r="U26" i="8"/>
  <c r="S26" i="8"/>
  <c r="Q26" i="8"/>
  <c r="O26" i="8"/>
  <c r="M26" i="8"/>
  <c r="K26" i="8"/>
  <c r="I26" i="8"/>
  <c r="G26" i="8"/>
  <c r="E26" i="8"/>
  <c r="C26" i="8"/>
  <c r="U25" i="8"/>
  <c r="S25" i="8"/>
  <c r="Q25" i="8"/>
  <c r="O25" i="8"/>
  <c r="M25" i="8"/>
  <c r="K25" i="8"/>
  <c r="I25" i="8"/>
  <c r="G25" i="8"/>
  <c r="E25" i="8"/>
  <c r="C25" i="8"/>
  <c r="U24" i="8"/>
  <c r="S24" i="8"/>
  <c r="Q24" i="8"/>
  <c r="O24" i="8"/>
  <c r="M24" i="8"/>
  <c r="K24" i="8"/>
  <c r="I24" i="8"/>
  <c r="G24" i="8"/>
  <c r="E24" i="8"/>
  <c r="C24" i="8"/>
  <c r="U23" i="8"/>
  <c r="S23" i="8"/>
  <c r="Q23" i="8"/>
  <c r="O23" i="8"/>
  <c r="M23" i="8"/>
  <c r="K23" i="8"/>
  <c r="I23" i="8"/>
  <c r="G23" i="8"/>
  <c r="E23" i="8"/>
  <c r="C23" i="8"/>
  <c r="U22" i="8"/>
  <c r="S22" i="8"/>
  <c r="Q22" i="8"/>
  <c r="O22" i="8"/>
  <c r="M22" i="8"/>
  <c r="K22" i="8"/>
  <c r="I22" i="8"/>
  <c r="G22" i="8"/>
  <c r="E22" i="8"/>
  <c r="C22" i="8"/>
  <c r="U21" i="8"/>
  <c r="S21" i="8"/>
  <c r="Q21" i="8"/>
  <c r="O21" i="8"/>
  <c r="M21" i="8"/>
  <c r="K21" i="8"/>
  <c r="I21" i="8"/>
  <c r="G21" i="8"/>
  <c r="E21" i="8"/>
  <c r="C21" i="8"/>
  <c r="U20" i="8"/>
  <c r="S20" i="8"/>
  <c r="Q20" i="8"/>
  <c r="O20" i="8"/>
  <c r="M20" i="8"/>
  <c r="K20" i="8"/>
  <c r="I20" i="8"/>
  <c r="G20" i="8"/>
  <c r="E20" i="8"/>
  <c r="C20" i="8"/>
  <c r="U19" i="8"/>
  <c r="S19" i="8"/>
  <c r="Q19" i="8"/>
  <c r="O19" i="8"/>
  <c r="M19" i="8"/>
  <c r="K19" i="8"/>
  <c r="I19" i="8"/>
  <c r="G19" i="8"/>
  <c r="E19" i="8"/>
  <c r="C19" i="8"/>
  <c r="U18" i="8"/>
  <c r="S18" i="8"/>
  <c r="Q18" i="8"/>
  <c r="O18" i="8"/>
  <c r="M18" i="8"/>
  <c r="K18" i="8"/>
  <c r="I18" i="8"/>
  <c r="G18" i="8"/>
  <c r="E18" i="8"/>
  <c r="C18" i="8"/>
  <c r="U17" i="8"/>
  <c r="S17" i="8"/>
  <c r="Q17" i="8"/>
  <c r="O17" i="8"/>
  <c r="M17" i="8"/>
  <c r="K17" i="8"/>
  <c r="I17" i="8"/>
  <c r="G17" i="8"/>
  <c r="E17" i="8"/>
  <c r="C17" i="8"/>
  <c r="U16" i="8"/>
  <c r="S16" i="8"/>
  <c r="Q16" i="8"/>
  <c r="O16" i="8"/>
  <c r="M16" i="8"/>
  <c r="K16" i="8"/>
  <c r="I16" i="8"/>
  <c r="G16" i="8"/>
  <c r="E16" i="8"/>
  <c r="C16" i="8"/>
  <c r="U15" i="8"/>
  <c r="S15" i="8"/>
  <c r="Q15" i="8"/>
  <c r="O15" i="8"/>
  <c r="M15" i="8"/>
  <c r="K15" i="8"/>
  <c r="I15" i="8"/>
  <c r="G15" i="8"/>
  <c r="E15" i="8"/>
  <c r="C15" i="8"/>
  <c r="U14" i="8"/>
  <c r="S14" i="8"/>
  <c r="Q14" i="8"/>
  <c r="O14" i="8"/>
  <c r="M14" i="8"/>
  <c r="K14" i="8"/>
  <c r="I14" i="8"/>
  <c r="G14" i="8"/>
  <c r="E14" i="8"/>
  <c r="C14" i="8"/>
  <c r="U13" i="8"/>
  <c r="S13" i="8"/>
  <c r="Q13" i="8"/>
  <c r="O13" i="8"/>
  <c r="M13" i="8"/>
  <c r="K13" i="8"/>
  <c r="I13" i="8"/>
  <c r="G13" i="8"/>
  <c r="E13" i="8"/>
  <c r="C13" i="8"/>
  <c r="U12" i="8"/>
  <c r="S12" i="8"/>
  <c r="Q12" i="8"/>
  <c r="O12" i="8"/>
  <c r="M12" i="8"/>
  <c r="K12" i="8"/>
  <c r="I12" i="8"/>
  <c r="G12" i="8"/>
  <c r="E12" i="8"/>
  <c r="C12" i="8"/>
  <c r="U11" i="8"/>
  <c r="S11" i="8"/>
  <c r="Q11" i="8"/>
  <c r="O11" i="8"/>
  <c r="M11" i="8"/>
  <c r="K11" i="8"/>
  <c r="I11" i="8"/>
  <c r="G11" i="8"/>
  <c r="E11" i="8"/>
  <c r="C11" i="8"/>
  <c r="X10" i="8"/>
  <c r="U10" i="8"/>
  <c r="S10" i="8"/>
  <c r="Q10" i="8"/>
  <c r="O10" i="8"/>
  <c r="M10" i="8"/>
  <c r="K10" i="8"/>
  <c r="I10" i="8"/>
  <c r="G10" i="8"/>
  <c r="E10" i="8"/>
  <c r="C10" i="8"/>
  <c r="U9" i="8"/>
  <c r="S9" i="8"/>
  <c r="Q9" i="8"/>
  <c r="O9" i="8"/>
  <c r="AE13" i="8" s="1"/>
  <c r="M9" i="8"/>
  <c r="K9" i="8"/>
  <c r="I9" i="8"/>
  <c r="G9" i="8"/>
  <c r="E9" i="8"/>
  <c r="C9" i="8"/>
  <c r="U8" i="8"/>
  <c r="S8" i="8"/>
  <c r="Q8" i="8"/>
  <c r="O8" i="8"/>
  <c r="M8" i="8"/>
  <c r="K8" i="8"/>
  <c r="I8" i="8"/>
  <c r="G8" i="8"/>
  <c r="E8" i="8"/>
  <c r="C8" i="8"/>
  <c r="U7" i="8"/>
  <c r="S7" i="8"/>
  <c r="Q7" i="8"/>
  <c r="O7" i="8"/>
  <c r="M7" i="8"/>
  <c r="K7" i="8"/>
  <c r="I7" i="8"/>
  <c r="G7" i="8"/>
  <c r="E7" i="8"/>
  <c r="C7" i="8"/>
  <c r="U6" i="8"/>
  <c r="Y24" i="8" s="1"/>
  <c r="S6" i="8"/>
  <c r="Q6" i="8"/>
  <c r="O6" i="8"/>
  <c r="M6" i="8"/>
  <c r="K6" i="8"/>
  <c r="I6" i="8"/>
  <c r="G6" i="8"/>
  <c r="E6" i="8"/>
  <c r="C6" i="8"/>
  <c r="U5" i="8"/>
  <c r="S5" i="8"/>
  <c r="Q5" i="8"/>
  <c r="O5" i="8"/>
  <c r="O253" i="8" s="1"/>
  <c r="O254" i="8" s="1"/>
  <c r="O255" i="8" s="1"/>
  <c r="M5" i="8"/>
  <c r="K5" i="8"/>
  <c r="I5" i="8"/>
  <c r="G5" i="8"/>
  <c r="E5" i="8"/>
  <c r="C5" i="8"/>
  <c r="U4" i="8"/>
  <c r="S4" i="8"/>
  <c r="Q4" i="8"/>
  <c r="O4" i="8"/>
  <c r="M4" i="8"/>
  <c r="K4" i="8"/>
  <c r="I4" i="8"/>
  <c r="AA23" i="8" s="1"/>
  <c r="G4" i="8"/>
  <c r="E4" i="8"/>
  <c r="Y22" i="8" s="1"/>
  <c r="C4" i="8"/>
  <c r="AA21" i="8" s="1"/>
  <c r="U3" i="8"/>
  <c r="U249" i="8" s="1"/>
  <c r="U251" i="8" s="1"/>
  <c r="S3" i="8"/>
  <c r="S249" i="8" s="1"/>
  <c r="S251" i="8" s="1"/>
  <c r="Q3" i="8"/>
  <c r="Q253" i="8" s="1"/>
  <c r="Q254" i="8" s="1"/>
  <c r="Q255" i="8" s="1"/>
  <c r="O3" i="8"/>
  <c r="O249" i="8" s="1"/>
  <c r="O251" i="8" s="1"/>
  <c r="M3" i="8"/>
  <c r="M253" i="8" s="1"/>
  <c r="M254" i="8" s="1"/>
  <c r="M255" i="8" s="1"/>
  <c r="K3" i="8"/>
  <c r="K253" i="8" s="1"/>
  <c r="K254" i="8" s="1"/>
  <c r="K255" i="8" s="1"/>
  <c r="I3" i="8"/>
  <c r="I249" i="8" s="1"/>
  <c r="I251" i="8" s="1"/>
  <c r="G3" i="8"/>
  <c r="G253" i="8" s="1"/>
  <c r="G254" i="8" s="1"/>
  <c r="G255" i="8" s="1"/>
  <c r="E3" i="8"/>
  <c r="E253" i="8" s="1"/>
  <c r="E254" i="8" s="1"/>
  <c r="E255" i="8" s="1"/>
  <c r="C3" i="8"/>
  <c r="C253" i="8" s="1"/>
  <c r="C254" i="8" s="1"/>
  <c r="C255" i="8" s="1"/>
  <c r="B18" i="7"/>
  <c r="A18" i="7"/>
  <c r="B17" i="7"/>
  <c r="A17" i="7"/>
  <c r="B16" i="7"/>
  <c r="A16" i="7"/>
  <c r="B13" i="7"/>
  <c r="A13" i="7"/>
  <c r="B12" i="7"/>
  <c r="A12" i="7"/>
  <c r="B10" i="7"/>
  <c r="A10" i="7"/>
  <c r="B9" i="7"/>
  <c r="A9" i="7"/>
  <c r="B5" i="7"/>
  <c r="A5" i="7"/>
  <c r="B4" i="7"/>
  <c r="A4" i="7"/>
  <c r="B3" i="7"/>
  <c r="A3" i="7"/>
  <c r="B2" i="7"/>
  <c r="A2" i="7"/>
  <c r="AE249" i="5"/>
  <c r="AC249" i="5"/>
  <c r="AA249" i="5"/>
  <c r="Y249" i="5"/>
  <c r="W249" i="5"/>
  <c r="U249" i="5"/>
  <c r="S249" i="5"/>
  <c r="Q249" i="5"/>
  <c r="O249" i="5"/>
  <c r="M249" i="5"/>
  <c r="K249" i="5"/>
  <c r="I249" i="5"/>
  <c r="G249" i="5"/>
  <c r="E249" i="5"/>
  <c r="C249" i="5"/>
  <c r="AE248" i="5"/>
  <c r="AC248" i="5"/>
  <c r="AA248" i="5"/>
  <c r="Y248" i="5"/>
  <c r="W248" i="5"/>
  <c r="U248" i="5"/>
  <c r="S248" i="5"/>
  <c r="Q248" i="5"/>
  <c r="O248" i="5"/>
  <c r="M248" i="5"/>
  <c r="K248" i="5"/>
  <c r="I248" i="5"/>
  <c r="G248" i="5"/>
  <c r="E248" i="5"/>
  <c r="C248" i="5"/>
  <c r="AE247" i="5"/>
  <c r="AC247" i="5"/>
  <c r="AA247" i="5"/>
  <c r="Y247" i="5"/>
  <c r="W247" i="5"/>
  <c r="U247" i="5"/>
  <c r="S247" i="5"/>
  <c r="Q247" i="5"/>
  <c r="O247" i="5"/>
  <c r="M247" i="5"/>
  <c r="K247" i="5"/>
  <c r="I247" i="5"/>
  <c r="G247" i="5"/>
  <c r="E247" i="5"/>
  <c r="C247" i="5"/>
  <c r="AE246" i="5"/>
  <c r="AC246" i="5"/>
  <c r="AA246" i="5"/>
  <c r="Y246" i="5"/>
  <c r="W246" i="5"/>
  <c r="U246" i="5"/>
  <c r="S246" i="5"/>
  <c r="Q246" i="5"/>
  <c r="O246" i="5"/>
  <c r="M246" i="5"/>
  <c r="K246" i="5"/>
  <c r="I246" i="5"/>
  <c r="G246" i="5"/>
  <c r="E246" i="5"/>
  <c r="C246" i="5"/>
  <c r="AE245" i="5"/>
  <c r="AC245" i="5"/>
  <c r="AA245" i="5"/>
  <c r="Y245" i="5"/>
  <c r="W245" i="5"/>
  <c r="U245" i="5"/>
  <c r="S245" i="5"/>
  <c r="Q245" i="5"/>
  <c r="O245" i="5"/>
  <c r="M245" i="5"/>
  <c r="K245" i="5"/>
  <c r="I245" i="5"/>
  <c r="G245" i="5"/>
  <c r="E245" i="5"/>
  <c r="C245" i="5"/>
  <c r="AE244" i="5"/>
  <c r="AC244" i="5"/>
  <c r="AA244" i="5"/>
  <c r="Y244" i="5"/>
  <c r="W244" i="5"/>
  <c r="U244" i="5"/>
  <c r="S244" i="5"/>
  <c r="Q244" i="5"/>
  <c r="O244" i="5"/>
  <c r="M244" i="5"/>
  <c r="K244" i="5"/>
  <c r="I244" i="5"/>
  <c r="G244" i="5"/>
  <c r="E244" i="5"/>
  <c r="C244" i="5"/>
  <c r="AE243" i="5"/>
  <c r="AC243" i="5"/>
  <c r="AA243" i="5"/>
  <c r="Y243" i="5"/>
  <c r="W243" i="5"/>
  <c r="U243" i="5"/>
  <c r="S243" i="5"/>
  <c r="Q243" i="5"/>
  <c r="O243" i="5"/>
  <c r="M243" i="5"/>
  <c r="K243" i="5"/>
  <c r="I243" i="5"/>
  <c r="G243" i="5"/>
  <c r="E243" i="5"/>
  <c r="C243" i="5"/>
  <c r="AE242" i="5"/>
  <c r="AC242" i="5"/>
  <c r="AA242" i="5"/>
  <c r="Y242" i="5"/>
  <c r="W242" i="5"/>
  <c r="U242" i="5"/>
  <c r="S242" i="5"/>
  <c r="Q242" i="5"/>
  <c r="O242" i="5"/>
  <c r="M242" i="5"/>
  <c r="K242" i="5"/>
  <c r="I242" i="5"/>
  <c r="G242" i="5"/>
  <c r="E242" i="5"/>
  <c r="C242" i="5"/>
  <c r="AE241" i="5"/>
  <c r="AC241" i="5"/>
  <c r="AA241" i="5"/>
  <c r="Y241" i="5"/>
  <c r="W241" i="5"/>
  <c r="U241" i="5"/>
  <c r="S241" i="5"/>
  <c r="Q241" i="5"/>
  <c r="O241" i="5"/>
  <c r="M241" i="5"/>
  <c r="K241" i="5"/>
  <c r="I241" i="5"/>
  <c r="G241" i="5"/>
  <c r="E241" i="5"/>
  <c r="C241" i="5"/>
  <c r="AE240" i="5"/>
  <c r="AC240" i="5"/>
  <c r="AA240" i="5"/>
  <c r="Y240" i="5"/>
  <c r="W240" i="5"/>
  <c r="U240" i="5"/>
  <c r="S240" i="5"/>
  <c r="Q240" i="5"/>
  <c r="O240" i="5"/>
  <c r="M240" i="5"/>
  <c r="K240" i="5"/>
  <c r="I240" i="5"/>
  <c r="G240" i="5"/>
  <c r="E240" i="5"/>
  <c r="C240" i="5"/>
  <c r="AE239" i="5"/>
  <c r="AC239" i="5"/>
  <c r="AA239" i="5"/>
  <c r="Y239" i="5"/>
  <c r="W239" i="5"/>
  <c r="U239" i="5"/>
  <c r="S239" i="5"/>
  <c r="Q239" i="5"/>
  <c r="O239" i="5"/>
  <c r="M239" i="5"/>
  <c r="K239" i="5"/>
  <c r="I239" i="5"/>
  <c r="G239" i="5"/>
  <c r="E239" i="5"/>
  <c r="C239" i="5"/>
  <c r="AE238" i="5"/>
  <c r="AC238" i="5"/>
  <c r="AA238" i="5"/>
  <c r="Y238" i="5"/>
  <c r="W238" i="5"/>
  <c r="U238" i="5"/>
  <c r="S238" i="5"/>
  <c r="Q238" i="5"/>
  <c r="O238" i="5"/>
  <c r="M238" i="5"/>
  <c r="K238" i="5"/>
  <c r="I238" i="5"/>
  <c r="G238" i="5"/>
  <c r="E238" i="5"/>
  <c r="C238" i="5"/>
  <c r="AE237" i="5"/>
  <c r="AC237" i="5"/>
  <c r="AA237" i="5"/>
  <c r="Y237" i="5"/>
  <c r="W237" i="5"/>
  <c r="U237" i="5"/>
  <c r="S237" i="5"/>
  <c r="Q237" i="5"/>
  <c r="O237" i="5"/>
  <c r="M237" i="5"/>
  <c r="K237" i="5"/>
  <c r="I237" i="5"/>
  <c r="G237" i="5"/>
  <c r="E237" i="5"/>
  <c r="C237" i="5"/>
  <c r="AE236" i="5"/>
  <c r="AC236" i="5"/>
  <c r="AA236" i="5"/>
  <c r="Y236" i="5"/>
  <c r="W236" i="5"/>
  <c r="U236" i="5"/>
  <c r="S236" i="5"/>
  <c r="Q236" i="5"/>
  <c r="O236" i="5"/>
  <c r="M236" i="5"/>
  <c r="K236" i="5"/>
  <c r="I236" i="5"/>
  <c r="G236" i="5"/>
  <c r="E236" i="5"/>
  <c r="C236" i="5"/>
  <c r="AE235" i="5"/>
  <c r="AC235" i="5"/>
  <c r="AA235" i="5"/>
  <c r="Y235" i="5"/>
  <c r="W235" i="5"/>
  <c r="U235" i="5"/>
  <c r="S235" i="5"/>
  <c r="Q235" i="5"/>
  <c r="O235" i="5"/>
  <c r="M235" i="5"/>
  <c r="K235" i="5"/>
  <c r="I235" i="5"/>
  <c r="G235" i="5"/>
  <c r="E235" i="5"/>
  <c r="C235" i="5"/>
  <c r="AE234" i="5"/>
  <c r="AC234" i="5"/>
  <c r="AA234" i="5"/>
  <c r="Y234" i="5"/>
  <c r="W234" i="5"/>
  <c r="U234" i="5"/>
  <c r="S234" i="5"/>
  <c r="Q234" i="5"/>
  <c r="O234" i="5"/>
  <c r="M234" i="5"/>
  <c r="K234" i="5"/>
  <c r="I234" i="5"/>
  <c r="G234" i="5"/>
  <c r="E234" i="5"/>
  <c r="C234" i="5"/>
  <c r="AE233" i="5"/>
  <c r="AC233" i="5"/>
  <c r="AA233" i="5"/>
  <c r="Y233" i="5"/>
  <c r="W233" i="5"/>
  <c r="U233" i="5"/>
  <c r="S233" i="5"/>
  <c r="Q233" i="5"/>
  <c r="O233" i="5"/>
  <c r="M233" i="5"/>
  <c r="K233" i="5"/>
  <c r="I233" i="5"/>
  <c r="G233" i="5"/>
  <c r="E233" i="5"/>
  <c r="C233" i="5"/>
  <c r="AE232" i="5"/>
  <c r="AC232" i="5"/>
  <c r="AA232" i="5"/>
  <c r="Y232" i="5"/>
  <c r="W232" i="5"/>
  <c r="U232" i="5"/>
  <c r="S232" i="5"/>
  <c r="Q232" i="5"/>
  <c r="O232" i="5"/>
  <c r="M232" i="5"/>
  <c r="K232" i="5"/>
  <c r="I232" i="5"/>
  <c r="G232" i="5"/>
  <c r="E232" i="5"/>
  <c r="C232" i="5"/>
  <c r="AE231" i="5"/>
  <c r="AC231" i="5"/>
  <c r="AA231" i="5"/>
  <c r="Y231" i="5"/>
  <c r="W231" i="5"/>
  <c r="U231" i="5"/>
  <c r="S231" i="5"/>
  <c r="Q231" i="5"/>
  <c r="O231" i="5"/>
  <c r="M231" i="5"/>
  <c r="K231" i="5"/>
  <c r="I231" i="5"/>
  <c r="G231" i="5"/>
  <c r="E231" i="5"/>
  <c r="C231" i="5"/>
  <c r="AE230" i="5"/>
  <c r="AC230" i="5"/>
  <c r="AA230" i="5"/>
  <c r="Y230" i="5"/>
  <c r="W230" i="5"/>
  <c r="U230" i="5"/>
  <c r="S230" i="5"/>
  <c r="Q230" i="5"/>
  <c r="O230" i="5"/>
  <c r="M230" i="5"/>
  <c r="K230" i="5"/>
  <c r="I230" i="5"/>
  <c r="G230" i="5"/>
  <c r="E230" i="5"/>
  <c r="C230" i="5"/>
  <c r="AE229" i="5"/>
  <c r="AC229" i="5"/>
  <c r="AA229" i="5"/>
  <c r="Y229" i="5"/>
  <c r="W229" i="5"/>
  <c r="U229" i="5"/>
  <c r="S229" i="5"/>
  <c r="Q229" i="5"/>
  <c r="O229" i="5"/>
  <c r="M229" i="5"/>
  <c r="K229" i="5"/>
  <c r="I229" i="5"/>
  <c r="G229" i="5"/>
  <c r="E229" i="5"/>
  <c r="C229" i="5"/>
  <c r="AE228" i="5"/>
  <c r="AC228" i="5"/>
  <c r="AA228" i="5"/>
  <c r="Y228" i="5"/>
  <c r="W228" i="5"/>
  <c r="U228" i="5"/>
  <c r="S228" i="5"/>
  <c r="Q228" i="5"/>
  <c r="O228" i="5"/>
  <c r="M228" i="5"/>
  <c r="K228" i="5"/>
  <c r="I228" i="5"/>
  <c r="G228" i="5"/>
  <c r="E228" i="5"/>
  <c r="C228" i="5"/>
  <c r="AE227" i="5"/>
  <c r="AC227" i="5"/>
  <c r="AA227" i="5"/>
  <c r="Y227" i="5"/>
  <c r="W227" i="5"/>
  <c r="U227" i="5"/>
  <c r="S227" i="5"/>
  <c r="Q227" i="5"/>
  <c r="O227" i="5"/>
  <c r="M227" i="5"/>
  <c r="K227" i="5"/>
  <c r="I227" i="5"/>
  <c r="G227" i="5"/>
  <c r="E227" i="5"/>
  <c r="C227" i="5"/>
  <c r="AE226" i="5"/>
  <c r="AC226" i="5"/>
  <c r="AA226" i="5"/>
  <c r="Y226" i="5"/>
  <c r="W226" i="5"/>
  <c r="U226" i="5"/>
  <c r="S226" i="5"/>
  <c r="Q226" i="5"/>
  <c r="O226" i="5"/>
  <c r="M226" i="5"/>
  <c r="K226" i="5"/>
  <c r="I226" i="5"/>
  <c r="G226" i="5"/>
  <c r="E226" i="5"/>
  <c r="C226" i="5"/>
  <c r="AE225" i="5"/>
  <c r="AC225" i="5"/>
  <c r="AA225" i="5"/>
  <c r="Y225" i="5"/>
  <c r="W225" i="5"/>
  <c r="U225" i="5"/>
  <c r="S225" i="5"/>
  <c r="Q225" i="5"/>
  <c r="O225" i="5"/>
  <c r="M225" i="5"/>
  <c r="K225" i="5"/>
  <c r="I225" i="5"/>
  <c r="G225" i="5"/>
  <c r="E225" i="5"/>
  <c r="C225" i="5"/>
  <c r="AE224" i="5"/>
  <c r="AC224" i="5"/>
  <c r="AA224" i="5"/>
  <c r="Y224" i="5"/>
  <c r="W224" i="5"/>
  <c r="U224" i="5"/>
  <c r="S224" i="5"/>
  <c r="Q224" i="5"/>
  <c r="O224" i="5"/>
  <c r="M224" i="5"/>
  <c r="K224" i="5"/>
  <c r="I224" i="5"/>
  <c r="G224" i="5"/>
  <c r="E224" i="5"/>
  <c r="C224" i="5"/>
  <c r="AE223" i="5"/>
  <c r="AC223" i="5"/>
  <c r="AA223" i="5"/>
  <c r="Y223" i="5"/>
  <c r="W223" i="5"/>
  <c r="U223" i="5"/>
  <c r="S223" i="5"/>
  <c r="Q223" i="5"/>
  <c r="O223" i="5"/>
  <c r="M223" i="5"/>
  <c r="K223" i="5"/>
  <c r="I223" i="5"/>
  <c r="G223" i="5"/>
  <c r="E223" i="5"/>
  <c r="C223" i="5"/>
  <c r="AE222" i="5"/>
  <c r="AC222" i="5"/>
  <c r="AA222" i="5"/>
  <c r="Y222" i="5"/>
  <c r="W222" i="5"/>
  <c r="U222" i="5"/>
  <c r="S222" i="5"/>
  <c r="Q222" i="5"/>
  <c r="O222" i="5"/>
  <c r="M222" i="5"/>
  <c r="K222" i="5"/>
  <c r="I222" i="5"/>
  <c r="G222" i="5"/>
  <c r="E222" i="5"/>
  <c r="C222" i="5"/>
  <c r="AE221" i="5"/>
  <c r="AC221" i="5"/>
  <c r="AA221" i="5"/>
  <c r="Y221" i="5"/>
  <c r="W221" i="5"/>
  <c r="U221" i="5"/>
  <c r="S221" i="5"/>
  <c r="Q221" i="5"/>
  <c r="O221" i="5"/>
  <c r="M221" i="5"/>
  <c r="K221" i="5"/>
  <c r="I221" i="5"/>
  <c r="G221" i="5"/>
  <c r="E221" i="5"/>
  <c r="C221" i="5"/>
  <c r="AE220" i="5"/>
  <c r="AC220" i="5"/>
  <c r="AA220" i="5"/>
  <c r="Y220" i="5"/>
  <c r="W220" i="5"/>
  <c r="U220" i="5"/>
  <c r="S220" i="5"/>
  <c r="Q220" i="5"/>
  <c r="O220" i="5"/>
  <c r="M220" i="5"/>
  <c r="K220" i="5"/>
  <c r="I220" i="5"/>
  <c r="G220" i="5"/>
  <c r="E220" i="5"/>
  <c r="C220" i="5"/>
  <c r="AE219" i="5"/>
  <c r="AC219" i="5"/>
  <c r="AA219" i="5"/>
  <c r="Y219" i="5"/>
  <c r="W219" i="5"/>
  <c r="U219" i="5"/>
  <c r="S219" i="5"/>
  <c r="Q219" i="5"/>
  <c r="O219" i="5"/>
  <c r="M219" i="5"/>
  <c r="K219" i="5"/>
  <c r="I219" i="5"/>
  <c r="G219" i="5"/>
  <c r="E219" i="5"/>
  <c r="C219" i="5"/>
  <c r="AE218" i="5"/>
  <c r="AC218" i="5"/>
  <c r="AA218" i="5"/>
  <c r="Y218" i="5"/>
  <c r="W218" i="5"/>
  <c r="U218" i="5"/>
  <c r="S218" i="5"/>
  <c r="Q218" i="5"/>
  <c r="O218" i="5"/>
  <c r="M218" i="5"/>
  <c r="K218" i="5"/>
  <c r="I218" i="5"/>
  <c r="G218" i="5"/>
  <c r="E218" i="5"/>
  <c r="C218" i="5"/>
  <c r="AE217" i="5"/>
  <c r="AC217" i="5"/>
  <c r="AA217" i="5"/>
  <c r="Y217" i="5"/>
  <c r="W217" i="5"/>
  <c r="U217" i="5"/>
  <c r="S217" i="5"/>
  <c r="Q217" i="5"/>
  <c r="O217" i="5"/>
  <c r="M217" i="5"/>
  <c r="K217" i="5"/>
  <c r="I217" i="5"/>
  <c r="G217" i="5"/>
  <c r="E217" i="5"/>
  <c r="C217" i="5"/>
  <c r="AE216" i="5"/>
  <c r="AC216" i="5"/>
  <c r="AA216" i="5"/>
  <c r="Y216" i="5"/>
  <c r="W216" i="5"/>
  <c r="U216" i="5"/>
  <c r="S216" i="5"/>
  <c r="Q216" i="5"/>
  <c r="O216" i="5"/>
  <c r="M216" i="5"/>
  <c r="K216" i="5"/>
  <c r="I216" i="5"/>
  <c r="G216" i="5"/>
  <c r="E216" i="5"/>
  <c r="C216" i="5"/>
  <c r="AE215" i="5"/>
  <c r="AC215" i="5"/>
  <c r="AA215" i="5"/>
  <c r="Y215" i="5"/>
  <c r="W215" i="5"/>
  <c r="U215" i="5"/>
  <c r="S215" i="5"/>
  <c r="Q215" i="5"/>
  <c r="O215" i="5"/>
  <c r="M215" i="5"/>
  <c r="K215" i="5"/>
  <c r="I215" i="5"/>
  <c r="G215" i="5"/>
  <c r="E215" i="5"/>
  <c r="C215" i="5"/>
  <c r="AE214" i="5"/>
  <c r="AC214" i="5"/>
  <c r="AA214" i="5"/>
  <c r="Y214" i="5"/>
  <c r="W214" i="5"/>
  <c r="U214" i="5"/>
  <c r="S214" i="5"/>
  <c r="Q214" i="5"/>
  <c r="O214" i="5"/>
  <c r="M214" i="5"/>
  <c r="K214" i="5"/>
  <c r="I214" i="5"/>
  <c r="G214" i="5"/>
  <c r="E214" i="5"/>
  <c r="C214" i="5"/>
  <c r="AE213" i="5"/>
  <c r="AC213" i="5"/>
  <c r="AA213" i="5"/>
  <c r="Y213" i="5"/>
  <c r="W213" i="5"/>
  <c r="U213" i="5"/>
  <c r="S213" i="5"/>
  <c r="Q213" i="5"/>
  <c r="O213" i="5"/>
  <c r="M213" i="5"/>
  <c r="K213" i="5"/>
  <c r="I213" i="5"/>
  <c r="G213" i="5"/>
  <c r="E213" i="5"/>
  <c r="C213" i="5"/>
  <c r="AE212" i="5"/>
  <c r="AC212" i="5"/>
  <c r="AA212" i="5"/>
  <c r="Y212" i="5"/>
  <c r="W212" i="5"/>
  <c r="U212" i="5"/>
  <c r="S212" i="5"/>
  <c r="Q212" i="5"/>
  <c r="O212" i="5"/>
  <c r="M212" i="5"/>
  <c r="K212" i="5"/>
  <c r="I212" i="5"/>
  <c r="G212" i="5"/>
  <c r="E212" i="5"/>
  <c r="C212" i="5"/>
  <c r="AE211" i="5"/>
  <c r="AC211" i="5"/>
  <c r="AA211" i="5"/>
  <c r="Y211" i="5"/>
  <c r="W211" i="5"/>
  <c r="U211" i="5"/>
  <c r="S211" i="5"/>
  <c r="Q211" i="5"/>
  <c r="O211" i="5"/>
  <c r="M211" i="5"/>
  <c r="K211" i="5"/>
  <c r="I211" i="5"/>
  <c r="G211" i="5"/>
  <c r="E211" i="5"/>
  <c r="C211" i="5"/>
  <c r="AE210" i="5"/>
  <c r="AC210" i="5"/>
  <c r="AA210" i="5"/>
  <c r="Y210" i="5"/>
  <c r="W210" i="5"/>
  <c r="U210" i="5"/>
  <c r="S210" i="5"/>
  <c r="Q210" i="5"/>
  <c r="O210" i="5"/>
  <c r="M210" i="5"/>
  <c r="K210" i="5"/>
  <c r="I210" i="5"/>
  <c r="G210" i="5"/>
  <c r="E210" i="5"/>
  <c r="C210" i="5"/>
  <c r="AE209" i="5"/>
  <c r="AC209" i="5"/>
  <c r="AA209" i="5"/>
  <c r="Y209" i="5"/>
  <c r="W209" i="5"/>
  <c r="U209" i="5"/>
  <c r="S209" i="5"/>
  <c r="Q209" i="5"/>
  <c r="O209" i="5"/>
  <c r="M209" i="5"/>
  <c r="K209" i="5"/>
  <c r="I209" i="5"/>
  <c r="G209" i="5"/>
  <c r="E209" i="5"/>
  <c r="C209" i="5"/>
  <c r="AE208" i="5"/>
  <c r="AC208" i="5"/>
  <c r="AA208" i="5"/>
  <c r="Y208" i="5"/>
  <c r="W208" i="5"/>
  <c r="U208" i="5"/>
  <c r="S208" i="5"/>
  <c r="Q208" i="5"/>
  <c r="O208" i="5"/>
  <c r="M208" i="5"/>
  <c r="K208" i="5"/>
  <c r="I208" i="5"/>
  <c r="G208" i="5"/>
  <c r="E208" i="5"/>
  <c r="C208" i="5"/>
  <c r="AE207" i="5"/>
  <c r="AC207" i="5"/>
  <c r="AA207" i="5"/>
  <c r="Y207" i="5"/>
  <c r="W207" i="5"/>
  <c r="U207" i="5"/>
  <c r="S207" i="5"/>
  <c r="Q207" i="5"/>
  <c r="O207" i="5"/>
  <c r="M207" i="5"/>
  <c r="K207" i="5"/>
  <c r="I207" i="5"/>
  <c r="G207" i="5"/>
  <c r="E207" i="5"/>
  <c r="C207" i="5"/>
  <c r="AE206" i="5"/>
  <c r="AC206" i="5"/>
  <c r="AA206" i="5"/>
  <c r="Y206" i="5"/>
  <c r="W206" i="5"/>
  <c r="U206" i="5"/>
  <c r="S206" i="5"/>
  <c r="Q206" i="5"/>
  <c r="O206" i="5"/>
  <c r="M206" i="5"/>
  <c r="K206" i="5"/>
  <c r="I206" i="5"/>
  <c r="G206" i="5"/>
  <c r="E206" i="5"/>
  <c r="C206" i="5"/>
  <c r="AE205" i="5"/>
  <c r="AC205" i="5"/>
  <c r="AA205" i="5"/>
  <c r="Y205" i="5"/>
  <c r="W205" i="5"/>
  <c r="U205" i="5"/>
  <c r="S205" i="5"/>
  <c r="Q205" i="5"/>
  <c r="O205" i="5"/>
  <c r="M205" i="5"/>
  <c r="K205" i="5"/>
  <c r="I205" i="5"/>
  <c r="G205" i="5"/>
  <c r="E205" i="5"/>
  <c r="C205" i="5"/>
  <c r="AE204" i="5"/>
  <c r="AC204" i="5"/>
  <c r="AA204" i="5"/>
  <c r="Y204" i="5"/>
  <c r="W204" i="5"/>
  <c r="U204" i="5"/>
  <c r="S204" i="5"/>
  <c r="Q204" i="5"/>
  <c r="O204" i="5"/>
  <c r="M204" i="5"/>
  <c r="K204" i="5"/>
  <c r="I204" i="5"/>
  <c r="G204" i="5"/>
  <c r="E204" i="5"/>
  <c r="C204" i="5"/>
  <c r="AE203" i="5"/>
  <c r="AC203" i="5"/>
  <c r="AA203" i="5"/>
  <c r="Y203" i="5"/>
  <c r="W203" i="5"/>
  <c r="U203" i="5"/>
  <c r="S203" i="5"/>
  <c r="Q203" i="5"/>
  <c r="O203" i="5"/>
  <c r="M203" i="5"/>
  <c r="K203" i="5"/>
  <c r="I203" i="5"/>
  <c r="G203" i="5"/>
  <c r="E203" i="5"/>
  <c r="C203" i="5"/>
  <c r="AE202" i="5"/>
  <c r="AC202" i="5"/>
  <c r="AA202" i="5"/>
  <c r="Y202" i="5"/>
  <c r="W202" i="5"/>
  <c r="U202" i="5"/>
  <c r="S202" i="5"/>
  <c r="Q202" i="5"/>
  <c r="O202" i="5"/>
  <c r="M202" i="5"/>
  <c r="K202" i="5"/>
  <c r="I202" i="5"/>
  <c r="G202" i="5"/>
  <c r="E202" i="5"/>
  <c r="C202" i="5"/>
  <c r="AE201" i="5"/>
  <c r="AC201" i="5"/>
  <c r="AA201" i="5"/>
  <c r="Y201" i="5"/>
  <c r="W201" i="5"/>
  <c r="U201" i="5"/>
  <c r="S201" i="5"/>
  <c r="Q201" i="5"/>
  <c r="O201" i="5"/>
  <c r="M201" i="5"/>
  <c r="K201" i="5"/>
  <c r="I201" i="5"/>
  <c r="G201" i="5"/>
  <c r="E201" i="5"/>
  <c r="C201" i="5"/>
  <c r="AE200" i="5"/>
  <c r="AC200" i="5"/>
  <c r="AA200" i="5"/>
  <c r="Y200" i="5"/>
  <c r="W200" i="5"/>
  <c r="U200" i="5"/>
  <c r="S200" i="5"/>
  <c r="Q200" i="5"/>
  <c r="O200" i="5"/>
  <c r="M200" i="5"/>
  <c r="K200" i="5"/>
  <c r="I200" i="5"/>
  <c r="G200" i="5"/>
  <c r="E200" i="5"/>
  <c r="C200" i="5"/>
  <c r="AE199" i="5"/>
  <c r="AC199" i="5"/>
  <c r="AA199" i="5"/>
  <c r="Y199" i="5"/>
  <c r="W199" i="5"/>
  <c r="U199" i="5"/>
  <c r="S199" i="5"/>
  <c r="Q199" i="5"/>
  <c r="O199" i="5"/>
  <c r="M199" i="5"/>
  <c r="K199" i="5"/>
  <c r="I199" i="5"/>
  <c r="G199" i="5"/>
  <c r="E199" i="5"/>
  <c r="C199" i="5"/>
  <c r="AE198" i="5"/>
  <c r="AC198" i="5"/>
  <c r="AA198" i="5"/>
  <c r="Y198" i="5"/>
  <c r="W198" i="5"/>
  <c r="U198" i="5"/>
  <c r="S198" i="5"/>
  <c r="Q198" i="5"/>
  <c r="O198" i="5"/>
  <c r="M198" i="5"/>
  <c r="K198" i="5"/>
  <c r="I198" i="5"/>
  <c r="G198" i="5"/>
  <c r="E198" i="5"/>
  <c r="C198" i="5"/>
  <c r="AE197" i="5"/>
  <c r="AC197" i="5"/>
  <c r="AA197" i="5"/>
  <c r="Y197" i="5"/>
  <c r="W197" i="5"/>
  <c r="U197" i="5"/>
  <c r="S197" i="5"/>
  <c r="Q197" i="5"/>
  <c r="O197" i="5"/>
  <c r="M197" i="5"/>
  <c r="K197" i="5"/>
  <c r="I197" i="5"/>
  <c r="G197" i="5"/>
  <c r="E197" i="5"/>
  <c r="C197" i="5"/>
  <c r="AE196" i="5"/>
  <c r="AC196" i="5"/>
  <c r="AA196" i="5"/>
  <c r="Y196" i="5"/>
  <c r="W196" i="5"/>
  <c r="U196" i="5"/>
  <c r="S196" i="5"/>
  <c r="Q196" i="5"/>
  <c r="O196" i="5"/>
  <c r="M196" i="5"/>
  <c r="K196" i="5"/>
  <c r="I196" i="5"/>
  <c r="G196" i="5"/>
  <c r="E196" i="5"/>
  <c r="C196" i="5"/>
  <c r="AE195" i="5"/>
  <c r="AC195" i="5"/>
  <c r="AA195" i="5"/>
  <c r="Y195" i="5"/>
  <c r="W195" i="5"/>
  <c r="U195" i="5"/>
  <c r="S195" i="5"/>
  <c r="Q195" i="5"/>
  <c r="O195" i="5"/>
  <c r="M195" i="5"/>
  <c r="K195" i="5"/>
  <c r="I195" i="5"/>
  <c r="G195" i="5"/>
  <c r="E195" i="5"/>
  <c r="C195" i="5"/>
  <c r="AE194" i="5"/>
  <c r="AC194" i="5"/>
  <c r="AA194" i="5"/>
  <c r="Y194" i="5"/>
  <c r="W194" i="5"/>
  <c r="U194" i="5"/>
  <c r="S194" i="5"/>
  <c r="Q194" i="5"/>
  <c r="O194" i="5"/>
  <c r="M194" i="5"/>
  <c r="K194" i="5"/>
  <c r="I194" i="5"/>
  <c r="G194" i="5"/>
  <c r="E194" i="5"/>
  <c r="C194" i="5"/>
  <c r="AE193" i="5"/>
  <c r="AC193" i="5"/>
  <c r="AA193" i="5"/>
  <c r="Y193" i="5"/>
  <c r="W193" i="5"/>
  <c r="U193" i="5"/>
  <c r="S193" i="5"/>
  <c r="Q193" i="5"/>
  <c r="O193" i="5"/>
  <c r="M193" i="5"/>
  <c r="K193" i="5"/>
  <c r="I193" i="5"/>
  <c r="G193" i="5"/>
  <c r="E193" i="5"/>
  <c r="C193" i="5"/>
  <c r="AE192" i="5"/>
  <c r="AC192" i="5"/>
  <c r="AA192" i="5"/>
  <c r="Y192" i="5"/>
  <c r="W192" i="5"/>
  <c r="U192" i="5"/>
  <c r="S192" i="5"/>
  <c r="Q192" i="5"/>
  <c r="O192" i="5"/>
  <c r="M192" i="5"/>
  <c r="K192" i="5"/>
  <c r="I192" i="5"/>
  <c r="G192" i="5"/>
  <c r="E192" i="5"/>
  <c r="C192" i="5"/>
  <c r="AE191" i="5"/>
  <c r="AC191" i="5"/>
  <c r="AA191" i="5"/>
  <c r="Y191" i="5"/>
  <c r="W191" i="5"/>
  <c r="U191" i="5"/>
  <c r="S191" i="5"/>
  <c r="Q191" i="5"/>
  <c r="O191" i="5"/>
  <c r="M191" i="5"/>
  <c r="K191" i="5"/>
  <c r="I191" i="5"/>
  <c r="G191" i="5"/>
  <c r="E191" i="5"/>
  <c r="C191" i="5"/>
  <c r="AE190" i="5"/>
  <c r="AC190" i="5"/>
  <c r="AA190" i="5"/>
  <c r="Y190" i="5"/>
  <c r="W190" i="5"/>
  <c r="U190" i="5"/>
  <c r="S190" i="5"/>
  <c r="Q190" i="5"/>
  <c r="O190" i="5"/>
  <c r="M190" i="5"/>
  <c r="K190" i="5"/>
  <c r="I190" i="5"/>
  <c r="G190" i="5"/>
  <c r="E190" i="5"/>
  <c r="C190" i="5"/>
  <c r="AE189" i="5"/>
  <c r="AC189" i="5"/>
  <c r="AA189" i="5"/>
  <c r="Y189" i="5"/>
  <c r="W189" i="5"/>
  <c r="U189" i="5"/>
  <c r="S189" i="5"/>
  <c r="Q189" i="5"/>
  <c r="O189" i="5"/>
  <c r="M189" i="5"/>
  <c r="K189" i="5"/>
  <c r="I189" i="5"/>
  <c r="G189" i="5"/>
  <c r="E189" i="5"/>
  <c r="C189" i="5"/>
  <c r="AE188" i="5"/>
  <c r="AC188" i="5"/>
  <c r="AA188" i="5"/>
  <c r="Y188" i="5"/>
  <c r="W188" i="5"/>
  <c r="U188" i="5"/>
  <c r="S188" i="5"/>
  <c r="Q188" i="5"/>
  <c r="O188" i="5"/>
  <c r="M188" i="5"/>
  <c r="K188" i="5"/>
  <c r="I188" i="5"/>
  <c r="G188" i="5"/>
  <c r="E188" i="5"/>
  <c r="C188" i="5"/>
  <c r="AE187" i="5"/>
  <c r="AC187" i="5"/>
  <c r="AA187" i="5"/>
  <c r="Y187" i="5"/>
  <c r="W187" i="5"/>
  <c r="U187" i="5"/>
  <c r="S187" i="5"/>
  <c r="Q187" i="5"/>
  <c r="O187" i="5"/>
  <c r="M187" i="5"/>
  <c r="K187" i="5"/>
  <c r="I187" i="5"/>
  <c r="G187" i="5"/>
  <c r="E187" i="5"/>
  <c r="C187" i="5"/>
  <c r="AE186" i="5"/>
  <c r="AC186" i="5"/>
  <c r="AA186" i="5"/>
  <c r="Y186" i="5"/>
  <c r="W186" i="5"/>
  <c r="U186" i="5"/>
  <c r="S186" i="5"/>
  <c r="Q186" i="5"/>
  <c r="O186" i="5"/>
  <c r="M186" i="5"/>
  <c r="K186" i="5"/>
  <c r="I186" i="5"/>
  <c r="G186" i="5"/>
  <c r="E186" i="5"/>
  <c r="C186" i="5"/>
  <c r="AE185" i="5"/>
  <c r="AC185" i="5"/>
  <c r="AA185" i="5"/>
  <c r="Y185" i="5"/>
  <c r="W185" i="5"/>
  <c r="U185" i="5"/>
  <c r="S185" i="5"/>
  <c r="Q185" i="5"/>
  <c r="O185" i="5"/>
  <c r="M185" i="5"/>
  <c r="K185" i="5"/>
  <c r="I185" i="5"/>
  <c r="G185" i="5"/>
  <c r="E185" i="5"/>
  <c r="C185" i="5"/>
  <c r="AE184" i="5"/>
  <c r="AC184" i="5"/>
  <c r="AA184" i="5"/>
  <c r="Y184" i="5"/>
  <c r="W184" i="5"/>
  <c r="U184" i="5"/>
  <c r="S184" i="5"/>
  <c r="Q184" i="5"/>
  <c r="O184" i="5"/>
  <c r="M184" i="5"/>
  <c r="K184" i="5"/>
  <c r="I184" i="5"/>
  <c r="G184" i="5"/>
  <c r="E184" i="5"/>
  <c r="C184" i="5"/>
  <c r="AE183" i="5"/>
  <c r="AC183" i="5"/>
  <c r="AA183" i="5"/>
  <c r="Y183" i="5"/>
  <c r="W183" i="5"/>
  <c r="U183" i="5"/>
  <c r="S183" i="5"/>
  <c r="Q183" i="5"/>
  <c r="O183" i="5"/>
  <c r="M183" i="5"/>
  <c r="K183" i="5"/>
  <c r="I183" i="5"/>
  <c r="G183" i="5"/>
  <c r="E183" i="5"/>
  <c r="C183" i="5"/>
  <c r="AE182" i="5"/>
  <c r="AC182" i="5"/>
  <c r="AA182" i="5"/>
  <c r="Y182" i="5"/>
  <c r="W182" i="5"/>
  <c r="U182" i="5"/>
  <c r="S182" i="5"/>
  <c r="Q182" i="5"/>
  <c r="O182" i="5"/>
  <c r="M182" i="5"/>
  <c r="K182" i="5"/>
  <c r="I182" i="5"/>
  <c r="G182" i="5"/>
  <c r="E182" i="5"/>
  <c r="C182" i="5"/>
  <c r="AE181" i="5"/>
  <c r="AC181" i="5"/>
  <c r="AA181" i="5"/>
  <c r="Y181" i="5"/>
  <c r="W181" i="5"/>
  <c r="U181" i="5"/>
  <c r="S181" i="5"/>
  <c r="Q181" i="5"/>
  <c r="O181" i="5"/>
  <c r="M181" i="5"/>
  <c r="K181" i="5"/>
  <c r="I181" i="5"/>
  <c r="G181" i="5"/>
  <c r="E181" i="5"/>
  <c r="C181" i="5"/>
  <c r="AE180" i="5"/>
  <c r="AC180" i="5"/>
  <c r="AA180" i="5"/>
  <c r="Y180" i="5"/>
  <c r="W180" i="5"/>
  <c r="U180" i="5"/>
  <c r="S180" i="5"/>
  <c r="Q180" i="5"/>
  <c r="O180" i="5"/>
  <c r="M180" i="5"/>
  <c r="K180" i="5"/>
  <c r="I180" i="5"/>
  <c r="G180" i="5"/>
  <c r="E180" i="5"/>
  <c r="C180" i="5"/>
  <c r="AE179" i="5"/>
  <c r="AC179" i="5"/>
  <c r="AA179" i="5"/>
  <c r="Y179" i="5"/>
  <c r="W179" i="5"/>
  <c r="U179" i="5"/>
  <c r="S179" i="5"/>
  <c r="Q179" i="5"/>
  <c r="O179" i="5"/>
  <c r="M179" i="5"/>
  <c r="K179" i="5"/>
  <c r="I179" i="5"/>
  <c r="G179" i="5"/>
  <c r="E179" i="5"/>
  <c r="C179" i="5"/>
  <c r="AE178" i="5"/>
  <c r="AC178" i="5"/>
  <c r="AA178" i="5"/>
  <c r="Y178" i="5"/>
  <c r="W178" i="5"/>
  <c r="U178" i="5"/>
  <c r="S178" i="5"/>
  <c r="Q178" i="5"/>
  <c r="O178" i="5"/>
  <c r="M178" i="5"/>
  <c r="K178" i="5"/>
  <c r="I178" i="5"/>
  <c r="G178" i="5"/>
  <c r="E178" i="5"/>
  <c r="C178" i="5"/>
  <c r="AE177" i="5"/>
  <c r="AC177" i="5"/>
  <c r="AA177" i="5"/>
  <c r="Y177" i="5"/>
  <c r="W177" i="5"/>
  <c r="U177" i="5"/>
  <c r="S177" i="5"/>
  <c r="Q177" i="5"/>
  <c r="O177" i="5"/>
  <c r="M177" i="5"/>
  <c r="K177" i="5"/>
  <c r="I177" i="5"/>
  <c r="G177" i="5"/>
  <c r="E177" i="5"/>
  <c r="C177" i="5"/>
  <c r="AE176" i="5"/>
  <c r="AC176" i="5"/>
  <c r="AA176" i="5"/>
  <c r="Y176" i="5"/>
  <c r="W176" i="5"/>
  <c r="U176" i="5"/>
  <c r="S176" i="5"/>
  <c r="Q176" i="5"/>
  <c r="O176" i="5"/>
  <c r="M176" i="5"/>
  <c r="K176" i="5"/>
  <c r="I176" i="5"/>
  <c r="G176" i="5"/>
  <c r="E176" i="5"/>
  <c r="C176" i="5"/>
  <c r="AE175" i="5"/>
  <c r="AC175" i="5"/>
  <c r="AA175" i="5"/>
  <c r="Y175" i="5"/>
  <c r="W175" i="5"/>
  <c r="U175" i="5"/>
  <c r="S175" i="5"/>
  <c r="Q175" i="5"/>
  <c r="O175" i="5"/>
  <c r="M175" i="5"/>
  <c r="K175" i="5"/>
  <c r="I175" i="5"/>
  <c r="G175" i="5"/>
  <c r="E175" i="5"/>
  <c r="C175" i="5"/>
  <c r="AE174" i="5"/>
  <c r="AC174" i="5"/>
  <c r="AA174" i="5"/>
  <c r="Y174" i="5"/>
  <c r="W174" i="5"/>
  <c r="U174" i="5"/>
  <c r="S174" i="5"/>
  <c r="Q174" i="5"/>
  <c r="O174" i="5"/>
  <c r="M174" i="5"/>
  <c r="K174" i="5"/>
  <c r="I174" i="5"/>
  <c r="G174" i="5"/>
  <c r="E174" i="5"/>
  <c r="C174" i="5"/>
  <c r="AE173" i="5"/>
  <c r="AC173" i="5"/>
  <c r="AA173" i="5"/>
  <c r="Y173" i="5"/>
  <c r="W173" i="5"/>
  <c r="U173" i="5"/>
  <c r="S173" i="5"/>
  <c r="Q173" i="5"/>
  <c r="O173" i="5"/>
  <c r="M173" i="5"/>
  <c r="K173" i="5"/>
  <c r="I173" i="5"/>
  <c r="G173" i="5"/>
  <c r="E173" i="5"/>
  <c r="C173" i="5"/>
  <c r="AE172" i="5"/>
  <c r="AC172" i="5"/>
  <c r="AA172" i="5"/>
  <c r="Y172" i="5"/>
  <c r="W172" i="5"/>
  <c r="U172" i="5"/>
  <c r="S172" i="5"/>
  <c r="Q172" i="5"/>
  <c r="O172" i="5"/>
  <c r="M172" i="5"/>
  <c r="K172" i="5"/>
  <c r="I172" i="5"/>
  <c r="G172" i="5"/>
  <c r="E172" i="5"/>
  <c r="C172" i="5"/>
  <c r="AE171" i="5"/>
  <c r="AC171" i="5"/>
  <c r="AA171" i="5"/>
  <c r="Y171" i="5"/>
  <c r="W171" i="5"/>
  <c r="U171" i="5"/>
  <c r="S171" i="5"/>
  <c r="Q171" i="5"/>
  <c r="O171" i="5"/>
  <c r="M171" i="5"/>
  <c r="K171" i="5"/>
  <c r="I171" i="5"/>
  <c r="G171" i="5"/>
  <c r="E171" i="5"/>
  <c r="C171" i="5"/>
  <c r="AE170" i="5"/>
  <c r="AC170" i="5"/>
  <c r="AA170" i="5"/>
  <c r="Y170" i="5"/>
  <c r="W170" i="5"/>
  <c r="U170" i="5"/>
  <c r="S170" i="5"/>
  <c r="Q170" i="5"/>
  <c r="O170" i="5"/>
  <c r="M170" i="5"/>
  <c r="K170" i="5"/>
  <c r="I170" i="5"/>
  <c r="G170" i="5"/>
  <c r="E170" i="5"/>
  <c r="C170" i="5"/>
  <c r="AE169" i="5"/>
  <c r="AC169" i="5"/>
  <c r="AA169" i="5"/>
  <c r="Y169" i="5"/>
  <c r="W169" i="5"/>
  <c r="U169" i="5"/>
  <c r="S169" i="5"/>
  <c r="Q169" i="5"/>
  <c r="O169" i="5"/>
  <c r="M169" i="5"/>
  <c r="K169" i="5"/>
  <c r="I169" i="5"/>
  <c r="G169" i="5"/>
  <c r="E169" i="5"/>
  <c r="C169" i="5"/>
  <c r="AE168" i="5"/>
  <c r="AC168" i="5"/>
  <c r="AA168" i="5"/>
  <c r="Y168" i="5"/>
  <c r="W168" i="5"/>
  <c r="U168" i="5"/>
  <c r="S168" i="5"/>
  <c r="Q168" i="5"/>
  <c r="O168" i="5"/>
  <c r="M168" i="5"/>
  <c r="K168" i="5"/>
  <c r="I168" i="5"/>
  <c r="G168" i="5"/>
  <c r="E168" i="5"/>
  <c r="C168" i="5"/>
  <c r="AE167" i="5"/>
  <c r="AC167" i="5"/>
  <c r="AA167" i="5"/>
  <c r="Y167" i="5"/>
  <c r="W167" i="5"/>
  <c r="U167" i="5"/>
  <c r="S167" i="5"/>
  <c r="Q167" i="5"/>
  <c r="O167" i="5"/>
  <c r="M167" i="5"/>
  <c r="K167" i="5"/>
  <c r="I167" i="5"/>
  <c r="G167" i="5"/>
  <c r="E167" i="5"/>
  <c r="C167" i="5"/>
  <c r="AE166" i="5"/>
  <c r="AC166" i="5"/>
  <c r="AA166" i="5"/>
  <c r="Y166" i="5"/>
  <c r="W166" i="5"/>
  <c r="U166" i="5"/>
  <c r="S166" i="5"/>
  <c r="Q166" i="5"/>
  <c r="O166" i="5"/>
  <c r="M166" i="5"/>
  <c r="K166" i="5"/>
  <c r="I166" i="5"/>
  <c r="G166" i="5"/>
  <c r="E166" i="5"/>
  <c r="C166" i="5"/>
  <c r="AE165" i="5"/>
  <c r="AC165" i="5"/>
  <c r="AA165" i="5"/>
  <c r="Y165" i="5"/>
  <c r="W165" i="5"/>
  <c r="U165" i="5"/>
  <c r="S165" i="5"/>
  <c r="Q165" i="5"/>
  <c r="O165" i="5"/>
  <c r="M165" i="5"/>
  <c r="K165" i="5"/>
  <c r="I165" i="5"/>
  <c r="G165" i="5"/>
  <c r="E165" i="5"/>
  <c r="C165" i="5"/>
  <c r="AE164" i="5"/>
  <c r="AC164" i="5"/>
  <c r="AA164" i="5"/>
  <c r="Y164" i="5"/>
  <c r="W164" i="5"/>
  <c r="U164" i="5"/>
  <c r="S164" i="5"/>
  <c r="Q164" i="5"/>
  <c r="O164" i="5"/>
  <c r="M164" i="5"/>
  <c r="K164" i="5"/>
  <c r="I164" i="5"/>
  <c r="G164" i="5"/>
  <c r="E164" i="5"/>
  <c r="C164" i="5"/>
  <c r="AE163" i="5"/>
  <c r="AC163" i="5"/>
  <c r="AA163" i="5"/>
  <c r="Y163" i="5"/>
  <c r="W163" i="5"/>
  <c r="U163" i="5"/>
  <c r="S163" i="5"/>
  <c r="Q163" i="5"/>
  <c r="O163" i="5"/>
  <c r="M163" i="5"/>
  <c r="K163" i="5"/>
  <c r="I163" i="5"/>
  <c r="G163" i="5"/>
  <c r="E163" i="5"/>
  <c r="C163" i="5"/>
  <c r="AE162" i="5"/>
  <c r="AC162" i="5"/>
  <c r="AA162" i="5"/>
  <c r="Y162" i="5"/>
  <c r="W162" i="5"/>
  <c r="U162" i="5"/>
  <c r="S162" i="5"/>
  <c r="Q162" i="5"/>
  <c r="O162" i="5"/>
  <c r="M162" i="5"/>
  <c r="K162" i="5"/>
  <c r="I162" i="5"/>
  <c r="G162" i="5"/>
  <c r="E162" i="5"/>
  <c r="C162" i="5"/>
  <c r="AE161" i="5"/>
  <c r="AC161" i="5"/>
  <c r="AA161" i="5"/>
  <c r="Y161" i="5"/>
  <c r="W161" i="5"/>
  <c r="U161" i="5"/>
  <c r="S161" i="5"/>
  <c r="Q161" i="5"/>
  <c r="O161" i="5"/>
  <c r="M161" i="5"/>
  <c r="K161" i="5"/>
  <c r="I161" i="5"/>
  <c r="G161" i="5"/>
  <c r="E161" i="5"/>
  <c r="C161" i="5"/>
  <c r="AE160" i="5"/>
  <c r="AC160" i="5"/>
  <c r="AA160" i="5"/>
  <c r="Y160" i="5"/>
  <c r="W160" i="5"/>
  <c r="U160" i="5"/>
  <c r="S160" i="5"/>
  <c r="Q160" i="5"/>
  <c r="O160" i="5"/>
  <c r="M160" i="5"/>
  <c r="K160" i="5"/>
  <c r="I160" i="5"/>
  <c r="G160" i="5"/>
  <c r="E160" i="5"/>
  <c r="C160" i="5"/>
  <c r="AE159" i="5"/>
  <c r="AC159" i="5"/>
  <c r="AA159" i="5"/>
  <c r="Y159" i="5"/>
  <c r="W159" i="5"/>
  <c r="U159" i="5"/>
  <c r="S159" i="5"/>
  <c r="Q159" i="5"/>
  <c r="O159" i="5"/>
  <c r="M159" i="5"/>
  <c r="K159" i="5"/>
  <c r="I159" i="5"/>
  <c r="G159" i="5"/>
  <c r="E159" i="5"/>
  <c r="C159" i="5"/>
  <c r="AE158" i="5"/>
  <c r="AC158" i="5"/>
  <c r="AA158" i="5"/>
  <c r="Y158" i="5"/>
  <c r="W158" i="5"/>
  <c r="U158" i="5"/>
  <c r="S158" i="5"/>
  <c r="Q158" i="5"/>
  <c r="O158" i="5"/>
  <c r="M158" i="5"/>
  <c r="K158" i="5"/>
  <c r="I158" i="5"/>
  <c r="G158" i="5"/>
  <c r="E158" i="5"/>
  <c r="C158" i="5"/>
  <c r="AE157" i="5"/>
  <c r="AC157" i="5"/>
  <c r="AA157" i="5"/>
  <c r="Y157" i="5"/>
  <c r="W157" i="5"/>
  <c r="U157" i="5"/>
  <c r="S157" i="5"/>
  <c r="Q157" i="5"/>
  <c r="O157" i="5"/>
  <c r="M157" i="5"/>
  <c r="K157" i="5"/>
  <c r="I157" i="5"/>
  <c r="G157" i="5"/>
  <c r="E157" i="5"/>
  <c r="C157" i="5"/>
  <c r="AE156" i="5"/>
  <c r="AC156" i="5"/>
  <c r="AA156" i="5"/>
  <c r="Y156" i="5"/>
  <c r="W156" i="5"/>
  <c r="U156" i="5"/>
  <c r="S156" i="5"/>
  <c r="Q156" i="5"/>
  <c r="O156" i="5"/>
  <c r="M156" i="5"/>
  <c r="K156" i="5"/>
  <c r="I156" i="5"/>
  <c r="G156" i="5"/>
  <c r="E156" i="5"/>
  <c r="C156" i="5"/>
  <c r="AE155" i="5"/>
  <c r="AC155" i="5"/>
  <c r="AA155" i="5"/>
  <c r="Y155" i="5"/>
  <c r="W155" i="5"/>
  <c r="U155" i="5"/>
  <c r="S155" i="5"/>
  <c r="Q155" i="5"/>
  <c r="O155" i="5"/>
  <c r="M155" i="5"/>
  <c r="K155" i="5"/>
  <c r="I155" i="5"/>
  <c r="G155" i="5"/>
  <c r="E155" i="5"/>
  <c r="C155" i="5"/>
  <c r="AE154" i="5"/>
  <c r="AC154" i="5"/>
  <c r="AA154" i="5"/>
  <c r="Y154" i="5"/>
  <c r="W154" i="5"/>
  <c r="U154" i="5"/>
  <c r="S154" i="5"/>
  <c r="Q154" i="5"/>
  <c r="O154" i="5"/>
  <c r="M154" i="5"/>
  <c r="K154" i="5"/>
  <c r="I154" i="5"/>
  <c r="G154" i="5"/>
  <c r="E154" i="5"/>
  <c r="C154" i="5"/>
  <c r="AE153" i="5"/>
  <c r="AC153" i="5"/>
  <c r="AA153" i="5"/>
  <c r="Y153" i="5"/>
  <c r="W153" i="5"/>
  <c r="U153" i="5"/>
  <c r="S153" i="5"/>
  <c r="Q153" i="5"/>
  <c r="O153" i="5"/>
  <c r="M153" i="5"/>
  <c r="K153" i="5"/>
  <c r="I153" i="5"/>
  <c r="G153" i="5"/>
  <c r="E153" i="5"/>
  <c r="C153" i="5"/>
  <c r="AE152" i="5"/>
  <c r="AC152" i="5"/>
  <c r="AA152" i="5"/>
  <c r="Y152" i="5"/>
  <c r="W152" i="5"/>
  <c r="U152" i="5"/>
  <c r="S152" i="5"/>
  <c r="Q152" i="5"/>
  <c r="O152" i="5"/>
  <c r="M152" i="5"/>
  <c r="K152" i="5"/>
  <c r="I152" i="5"/>
  <c r="G152" i="5"/>
  <c r="E152" i="5"/>
  <c r="C152" i="5"/>
  <c r="AE151" i="5"/>
  <c r="AC151" i="5"/>
  <c r="AA151" i="5"/>
  <c r="Y151" i="5"/>
  <c r="W151" i="5"/>
  <c r="U151" i="5"/>
  <c r="S151" i="5"/>
  <c r="Q151" i="5"/>
  <c r="O151" i="5"/>
  <c r="M151" i="5"/>
  <c r="K151" i="5"/>
  <c r="I151" i="5"/>
  <c r="G151" i="5"/>
  <c r="E151" i="5"/>
  <c r="C151" i="5"/>
  <c r="AE150" i="5"/>
  <c r="AC150" i="5"/>
  <c r="AA150" i="5"/>
  <c r="Y150" i="5"/>
  <c r="W150" i="5"/>
  <c r="U150" i="5"/>
  <c r="S150" i="5"/>
  <c r="Q150" i="5"/>
  <c r="O150" i="5"/>
  <c r="M150" i="5"/>
  <c r="K150" i="5"/>
  <c r="I150" i="5"/>
  <c r="G150" i="5"/>
  <c r="E150" i="5"/>
  <c r="C150" i="5"/>
  <c r="AE149" i="5"/>
  <c r="AC149" i="5"/>
  <c r="AA149" i="5"/>
  <c r="Y149" i="5"/>
  <c r="W149" i="5"/>
  <c r="U149" i="5"/>
  <c r="S149" i="5"/>
  <c r="Q149" i="5"/>
  <c r="O149" i="5"/>
  <c r="M149" i="5"/>
  <c r="K149" i="5"/>
  <c r="I149" i="5"/>
  <c r="G149" i="5"/>
  <c r="E149" i="5"/>
  <c r="C149" i="5"/>
  <c r="AE148" i="5"/>
  <c r="AC148" i="5"/>
  <c r="AA148" i="5"/>
  <c r="Y148" i="5"/>
  <c r="W148" i="5"/>
  <c r="U148" i="5"/>
  <c r="S148" i="5"/>
  <c r="Q148" i="5"/>
  <c r="O148" i="5"/>
  <c r="M148" i="5"/>
  <c r="K148" i="5"/>
  <c r="I148" i="5"/>
  <c r="G148" i="5"/>
  <c r="E148" i="5"/>
  <c r="C148" i="5"/>
  <c r="AE147" i="5"/>
  <c r="AC147" i="5"/>
  <c r="AA147" i="5"/>
  <c r="Y147" i="5"/>
  <c r="W147" i="5"/>
  <c r="U147" i="5"/>
  <c r="S147" i="5"/>
  <c r="Q147" i="5"/>
  <c r="O147" i="5"/>
  <c r="M147" i="5"/>
  <c r="K147" i="5"/>
  <c r="I147" i="5"/>
  <c r="G147" i="5"/>
  <c r="E147" i="5"/>
  <c r="C147" i="5"/>
  <c r="AE146" i="5"/>
  <c r="AC146" i="5"/>
  <c r="AA146" i="5"/>
  <c r="Y146" i="5"/>
  <c r="W146" i="5"/>
  <c r="U146" i="5"/>
  <c r="S146" i="5"/>
  <c r="Q146" i="5"/>
  <c r="O146" i="5"/>
  <c r="M146" i="5"/>
  <c r="K146" i="5"/>
  <c r="I146" i="5"/>
  <c r="G146" i="5"/>
  <c r="E146" i="5"/>
  <c r="C146" i="5"/>
  <c r="AE145" i="5"/>
  <c r="AC145" i="5"/>
  <c r="AA145" i="5"/>
  <c r="Y145" i="5"/>
  <c r="W145" i="5"/>
  <c r="U145" i="5"/>
  <c r="S145" i="5"/>
  <c r="Q145" i="5"/>
  <c r="O145" i="5"/>
  <c r="M145" i="5"/>
  <c r="K145" i="5"/>
  <c r="I145" i="5"/>
  <c r="G145" i="5"/>
  <c r="E145" i="5"/>
  <c r="C145" i="5"/>
  <c r="AE144" i="5"/>
  <c r="AC144" i="5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AE143" i="5"/>
  <c r="AC143" i="5"/>
  <c r="AA143" i="5"/>
  <c r="Y143" i="5"/>
  <c r="W143" i="5"/>
  <c r="U143" i="5"/>
  <c r="S143" i="5"/>
  <c r="Q143" i="5"/>
  <c r="O143" i="5"/>
  <c r="M143" i="5"/>
  <c r="K143" i="5"/>
  <c r="I143" i="5"/>
  <c r="G143" i="5"/>
  <c r="E143" i="5"/>
  <c r="C143" i="5"/>
  <c r="AE142" i="5"/>
  <c r="AC142" i="5"/>
  <c r="AA142" i="5"/>
  <c r="Y142" i="5"/>
  <c r="W142" i="5"/>
  <c r="U142" i="5"/>
  <c r="S142" i="5"/>
  <c r="Q142" i="5"/>
  <c r="O142" i="5"/>
  <c r="M142" i="5"/>
  <c r="K142" i="5"/>
  <c r="I142" i="5"/>
  <c r="G142" i="5"/>
  <c r="E142" i="5"/>
  <c r="C142" i="5"/>
  <c r="AE141" i="5"/>
  <c r="AC141" i="5"/>
  <c r="AA141" i="5"/>
  <c r="Y141" i="5"/>
  <c r="W141" i="5"/>
  <c r="U141" i="5"/>
  <c r="S141" i="5"/>
  <c r="Q141" i="5"/>
  <c r="O141" i="5"/>
  <c r="M141" i="5"/>
  <c r="K141" i="5"/>
  <c r="I141" i="5"/>
  <c r="G141" i="5"/>
  <c r="E141" i="5"/>
  <c r="C141" i="5"/>
  <c r="AE140" i="5"/>
  <c r="AC140" i="5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AE139" i="5"/>
  <c r="AC139" i="5"/>
  <c r="AA139" i="5"/>
  <c r="Y139" i="5"/>
  <c r="W139" i="5"/>
  <c r="U139" i="5"/>
  <c r="S139" i="5"/>
  <c r="Q139" i="5"/>
  <c r="O139" i="5"/>
  <c r="M139" i="5"/>
  <c r="K139" i="5"/>
  <c r="I139" i="5"/>
  <c r="G139" i="5"/>
  <c r="E139" i="5"/>
  <c r="C139" i="5"/>
  <c r="AE138" i="5"/>
  <c r="AC138" i="5"/>
  <c r="AA138" i="5"/>
  <c r="Y138" i="5"/>
  <c r="W138" i="5"/>
  <c r="U138" i="5"/>
  <c r="S138" i="5"/>
  <c r="Q138" i="5"/>
  <c r="O138" i="5"/>
  <c r="M138" i="5"/>
  <c r="K138" i="5"/>
  <c r="I138" i="5"/>
  <c r="G138" i="5"/>
  <c r="E138" i="5"/>
  <c r="C138" i="5"/>
  <c r="AE137" i="5"/>
  <c r="AC137" i="5"/>
  <c r="AA137" i="5"/>
  <c r="Y137" i="5"/>
  <c r="W137" i="5"/>
  <c r="U137" i="5"/>
  <c r="S137" i="5"/>
  <c r="Q137" i="5"/>
  <c r="O137" i="5"/>
  <c r="M137" i="5"/>
  <c r="K137" i="5"/>
  <c r="I137" i="5"/>
  <c r="G137" i="5"/>
  <c r="E137" i="5"/>
  <c r="C137" i="5"/>
  <c r="AE136" i="5"/>
  <c r="AC136" i="5"/>
  <c r="AA136" i="5"/>
  <c r="Y136" i="5"/>
  <c r="W136" i="5"/>
  <c r="U136" i="5"/>
  <c r="S136" i="5"/>
  <c r="Q136" i="5"/>
  <c r="O136" i="5"/>
  <c r="M136" i="5"/>
  <c r="K136" i="5"/>
  <c r="I136" i="5"/>
  <c r="G136" i="5"/>
  <c r="E136" i="5"/>
  <c r="C136" i="5"/>
  <c r="AE135" i="5"/>
  <c r="AC135" i="5"/>
  <c r="AA135" i="5"/>
  <c r="Y135" i="5"/>
  <c r="W135" i="5"/>
  <c r="U135" i="5"/>
  <c r="S135" i="5"/>
  <c r="Q135" i="5"/>
  <c r="O135" i="5"/>
  <c r="M135" i="5"/>
  <c r="K135" i="5"/>
  <c r="I135" i="5"/>
  <c r="G135" i="5"/>
  <c r="E135" i="5"/>
  <c r="C135" i="5"/>
  <c r="AE134" i="5"/>
  <c r="AC134" i="5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E133" i="5"/>
  <c r="AC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E132" i="5"/>
  <c r="AC132" i="5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E131" i="5"/>
  <c r="AC131" i="5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E130" i="5"/>
  <c r="AC130" i="5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E129" i="5"/>
  <c r="AC129" i="5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E128" i="5"/>
  <c r="AC128" i="5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E127" i="5"/>
  <c r="AC127" i="5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E126" i="5"/>
  <c r="AC126" i="5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E125" i="5"/>
  <c r="AC125" i="5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E124" i="5"/>
  <c r="AC124" i="5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E123" i="5"/>
  <c r="AC123" i="5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E122" i="5"/>
  <c r="AC122" i="5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E121" i="5"/>
  <c r="AC121" i="5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E120" i="5"/>
  <c r="AC120" i="5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E119" i="5"/>
  <c r="AC119" i="5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E118" i="5"/>
  <c r="AC118" i="5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E117" i="5"/>
  <c r="AC117" i="5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E116" i="5"/>
  <c r="AC116" i="5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E115" i="5"/>
  <c r="AC115" i="5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E114" i="5"/>
  <c r="AC114" i="5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E113" i="5"/>
  <c r="AC113" i="5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E112" i="5"/>
  <c r="AC112" i="5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E111" i="5"/>
  <c r="AC111" i="5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E110" i="5"/>
  <c r="AC110" i="5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AE109" i="5"/>
  <c r="AC109" i="5"/>
  <c r="AA109" i="5"/>
  <c r="Y109" i="5"/>
  <c r="W109" i="5"/>
  <c r="U109" i="5"/>
  <c r="S109" i="5"/>
  <c r="Q109" i="5"/>
  <c r="O109" i="5"/>
  <c r="M109" i="5"/>
  <c r="K109" i="5"/>
  <c r="I109" i="5"/>
  <c r="G109" i="5"/>
  <c r="E109" i="5"/>
  <c r="C109" i="5"/>
  <c r="AE108" i="5"/>
  <c r="AC108" i="5"/>
  <c r="AA108" i="5"/>
  <c r="Y108" i="5"/>
  <c r="W108" i="5"/>
  <c r="U108" i="5"/>
  <c r="S108" i="5"/>
  <c r="Q108" i="5"/>
  <c r="O108" i="5"/>
  <c r="M108" i="5"/>
  <c r="K108" i="5"/>
  <c r="I108" i="5"/>
  <c r="G108" i="5"/>
  <c r="E108" i="5"/>
  <c r="C108" i="5"/>
  <c r="AE107" i="5"/>
  <c r="AC107" i="5"/>
  <c r="AA107" i="5"/>
  <c r="Y107" i="5"/>
  <c r="W107" i="5"/>
  <c r="U107" i="5"/>
  <c r="S107" i="5"/>
  <c r="Q107" i="5"/>
  <c r="O107" i="5"/>
  <c r="M107" i="5"/>
  <c r="K107" i="5"/>
  <c r="I107" i="5"/>
  <c r="G107" i="5"/>
  <c r="E107" i="5"/>
  <c r="C107" i="5"/>
  <c r="AE106" i="5"/>
  <c r="AC106" i="5"/>
  <c r="AA106" i="5"/>
  <c r="Y106" i="5"/>
  <c r="W106" i="5"/>
  <c r="U106" i="5"/>
  <c r="S106" i="5"/>
  <c r="Q106" i="5"/>
  <c r="O106" i="5"/>
  <c r="M106" i="5"/>
  <c r="K106" i="5"/>
  <c r="I106" i="5"/>
  <c r="G106" i="5"/>
  <c r="E106" i="5"/>
  <c r="C106" i="5"/>
  <c r="AE105" i="5"/>
  <c r="AC105" i="5"/>
  <c r="AA105" i="5"/>
  <c r="Y105" i="5"/>
  <c r="W105" i="5"/>
  <c r="U105" i="5"/>
  <c r="S105" i="5"/>
  <c r="Q105" i="5"/>
  <c r="O105" i="5"/>
  <c r="M105" i="5"/>
  <c r="K105" i="5"/>
  <c r="I105" i="5"/>
  <c r="G105" i="5"/>
  <c r="E105" i="5"/>
  <c r="C105" i="5"/>
  <c r="AE104" i="5"/>
  <c r="AC104" i="5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AE103" i="5"/>
  <c r="AC103" i="5"/>
  <c r="AA103" i="5"/>
  <c r="Y103" i="5"/>
  <c r="W103" i="5"/>
  <c r="U103" i="5"/>
  <c r="S103" i="5"/>
  <c r="Q103" i="5"/>
  <c r="O103" i="5"/>
  <c r="M103" i="5"/>
  <c r="K103" i="5"/>
  <c r="I103" i="5"/>
  <c r="G103" i="5"/>
  <c r="E103" i="5"/>
  <c r="C103" i="5"/>
  <c r="AE102" i="5"/>
  <c r="AC102" i="5"/>
  <c r="AA102" i="5"/>
  <c r="Y102" i="5"/>
  <c r="W102" i="5"/>
  <c r="U102" i="5"/>
  <c r="S102" i="5"/>
  <c r="Q102" i="5"/>
  <c r="O102" i="5"/>
  <c r="M102" i="5"/>
  <c r="K102" i="5"/>
  <c r="I102" i="5"/>
  <c r="G102" i="5"/>
  <c r="E102" i="5"/>
  <c r="C102" i="5"/>
  <c r="AE101" i="5"/>
  <c r="AC101" i="5"/>
  <c r="AA101" i="5"/>
  <c r="Y101" i="5"/>
  <c r="W101" i="5"/>
  <c r="U101" i="5"/>
  <c r="S101" i="5"/>
  <c r="Q101" i="5"/>
  <c r="O101" i="5"/>
  <c r="M101" i="5"/>
  <c r="K101" i="5"/>
  <c r="I101" i="5"/>
  <c r="G101" i="5"/>
  <c r="E101" i="5"/>
  <c r="C101" i="5"/>
  <c r="AE100" i="5"/>
  <c r="AC100" i="5"/>
  <c r="AA100" i="5"/>
  <c r="Y100" i="5"/>
  <c r="W100" i="5"/>
  <c r="U100" i="5"/>
  <c r="S100" i="5"/>
  <c r="Q100" i="5"/>
  <c r="O100" i="5"/>
  <c r="M100" i="5"/>
  <c r="K100" i="5"/>
  <c r="I100" i="5"/>
  <c r="G100" i="5"/>
  <c r="E100" i="5"/>
  <c r="C100" i="5"/>
  <c r="AE99" i="5"/>
  <c r="AC99" i="5"/>
  <c r="AA99" i="5"/>
  <c r="Y99" i="5"/>
  <c r="W99" i="5"/>
  <c r="U99" i="5"/>
  <c r="S99" i="5"/>
  <c r="Q99" i="5"/>
  <c r="O99" i="5"/>
  <c r="M99" i="5"/>
  <c r="K99" i="5"/>
  <c r="I99" i="5"/>
  <c r="G99" i="5"/>
  <c r="E99" i="5"/>
  <c r="C99" i="5"/>
  <c r="AE98" i="5"/>
  <c r="AC98" i="5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E97" i="5"/>
  <c r="AC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E96" i="5"/>
  <c r="AC96" i="5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E95" i="5"/>
  <c r="AC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E94" i="5"/>
  <c r="AC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E93" i="5"/>
  <c r="AC93" i="5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E92" i="5"/>
  <c r="AC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E91" i="5"/>
  <c r="AC91" i="5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E90" i="5"/>
  <c r="AC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AE89" i="5"/>
  <c r="AC89" i="5"/>
  <c r="AA89" i="5"/>
  <c r="Y89" i="5"/>
  <c r="W89" i="5"/>
  <c r="U89" i="5"/>
  <c r="S89" i="5"/>
  <c r="Q89" i="5"/>
  <c r="O89" i="5"/>
  <c r="M89" i="5"/>
  <c r="K89" i="5"/>
  <c r="I89" i="5"/>
  <c r="G89" i="5"/>
  <c r="E89" i="5"/>
  <c r="C89" i="5"/>
  <c r="AE88" i="5"/>
  <c r="AC88" i="5"/>
  <c r="AA88" i="5"/>
  <c r="Y88" i="5"/>
  <c r="W88" i="5"/>
  <c r="U88" i="5"/>
  <c r="S88" i="5"/>
  <c r="Q88" i="5"/>
  <c r="O88" i="5"/>
  <c r="M88" i="5"/>
  <c r="K88" i="5"/>
  <c r="I88" i="5"/>
  <c r="G88" i="5"/>
  <c r="E88" i="5"/>
  <c r="C88" i="5"/>
  <c r="AE87" i="5"/>
  <c r="AC87" i="5"/>
  <c r="AA87" i="5"/>
  <c r="Y87" i="5"/>
  <c r="W87" i="5"/>
  <c r="U87" i="5"/>
  <c r="S87" i="5"/>
  <c r="Q87" i="5"/>
  <c r="O87" i="5"/>
  <c r="M87" i="5"/>
  <c r="K87" i="5"/>
  <c r="I87" i="5"/>
  <c r="G87" i="5"/>
  <c r="E87" i="5"/>
  <c r="C87" i="5"/>
  <c r="AE86" i="5"/>
  <c r="AC86" i="5"/>
  <c r="AA86" i="5"/>
  <c r="Y86" i="5"/>
  <c r="W86" i="5"/>
  <c r="U86" i="5"/>
  <c r="S86" i="5"/>
  <c r="Q86" i="5"/>
  <c r="O86" i="5"/>
  <c r="M86" i="5"/>
  <c r="K86" i="5"/>
  <c r="I86" i="5"/>
  <c r="G86" i="5"/>
  <c r="E86" i="5"/>
  <c r="C86" i="5"/>
  <c r="AE85" i="5"/>
  <c r="AC85" i="5"/>
  <c r="AA85" i="5"/>
  <c r="Y85" i="5"/>
  <c r="W85" i="5"/>
  <c r="U85" i="5"/>
  <c r="S85" i="5"/>
  <c r="Q85" i="5"/>
  <c r="O85" i="5"/>
  <c r="M85" i="5"/>
  <c r="K85" i="5"/>
  <c r="I85" i="5"/>
  <c r="G85" i="5"/>
  <c r="E85" i="5"/>
  <c r="C85" i="5"/>
  <c r="AE84" i="5"/>
  <c r="AC84" i="5"/>
  <c r="AA84" i="5"/>
  <c r="Y84" i="5"/>
  <c r="W84" i="5"/>
  <c r="U84" i="5"/>
  <c r="S84" i="5"/>
  <c r="Q84" i="5"/>
  <c r="O84" i="5"/>
  <c r="M84" i="5"/>
  <c r="K84" i="5"/>
  <c r="I84" i="5"/>
  <c r="G84" i="5"/>
  <c r="E84" i="5"/>
  <c r="C84" i="5"/>
  <c r="AE83" i="5"/>
  <c r="AC83" i="5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E82" i="5"/>
  <c r="AC82" i="5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AE81" i="5"/>
  <c r="AC81" i="5"/>
  <c r="AA81" i="5"/>
  <c r="Y81" i="5"/>
  <c r="W81" i="5"/>
  <c r="U81" i="5"/>
  <c r="S81" i="5"/>
  <c r="Q81" i="5"/>
  <c r="O81" i="5"/>
  <c r="M81" i="5"/>
  <c r="K81" i="5"/>
  <c r="I81" i="5"/>
  <c r="G81" i="5"/>
  <c r="E81" i="5"/>
  <c r="C81" i="5"/>
  <c r="AE80" i="5"/>
  <c r="AC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E79" i="5"/>
  <c r="AC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E78" i="5"/>
  <c r="AC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E77" i="5"/>
  <c r="AC77" i="5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E76" i="5"/>
  <c r="AC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E75" i="5"/>
  <c r="AC75" i="5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E74" i="5"/>
  <c r="AC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E73" i="5"/>
  <c r="AC73" i="5"/>
  <c r="AA73" i="5"/>
  <c r="Y73" i="5"/>
  <c r="W73" i="5"/>
  <c r="U73" i="5"/>
  <c r="S73" i="5"/>
  <c r="Q73" i="5"/>
  <c r="O73" i="5"/>
  <c r="M73" i="5"/>
  <c r="K73" i="5"/>
  <c r="I73" i="5"/>
  <c r="G73" i="5"/>
  <c r="E73" i="5"/>
  <c r="C73" i="5"/>
  <c r="AE72" i="5"/>
  <c r="AC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E71" i="5"/>
  <c r="AC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AE70" i="5"/>
  <c r="AC70" i="5"/>
  <c r="AA70" i="5"/>
  <c r="Y70" i="5"/>
  <c r="W70" i="5"/>
  <c r="U70" i="5"/>
  <c r="S70" i="5"/>
  <c r="Q70" i="5"/>
  <c r="O70" i="5"/>
  <c r="M70" i="5"/>
  <c r="K70" i="5"/>
  <c r="I70" i="5"/>
  <c r="G70" i="5"/>
  <c r="E70" i="5"/>
  <c r="C70" i="5"/>
  <c r="AE69" i="5"/>
  <c r="AC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E68" i="5"/>
  <c r="AC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E67" i="5"/>
  <c r="AC67" i="5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E66" i="5"/>
  <c r="AC66" i="5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E65" i="5"/>
  <c r="AC65" i="5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E64" i="5"/>
  <c r="AC64" i="5"/>
  <c r="AA64" i="5"/>
  <c r="Y64" i="5"/>
  <c r="W64" i="5"/>
  <c r="U64" i="5"/>
  <c r="S64" i="5"/>
  <c r="Q64" i="5"/>
  <c r="O64" i="5"/>
  <c r="M64" i="5"/>
  <c r="K64" i="5"/>
  <c r="I64" i="5"/>
  <c r="G64" i="5"/>
  <c r="E64" i="5"/>
  <c r="C64" i="5"/>
  <c r="AE63" i="5"/>
  <c r="AC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AE62" i="5"/>
  <c r="AC62" i="5"/>
  <c r="AA62" i="5"/>
  <c r="Y62" i="5"/>
  <c r="W62" i="5"/>
  <c r="U62" i="5"/>
  <c r="S62" i="5"/>
  <c r="Q62" i="5"/>
  <c r="O62" i="5"/>
  <c r="M62" i="5"/>
  <c r="K62" i="5"/>
  <c r="I62" i="5"/>
  <c r="G62" i="5"/>
  <c r="E62" i="5"/>
  <c r="C62" i="5"/>
  <c r="AE61" i="5"/>
  <c r="AC61" i="5"/>
  <c r="AA61" i="5"/>
  <c r="Y61" i="5"/>
  <c r="W61" i="5"/>
  <c r="U61" i="5"/>
  <c r="S61" i="5"/>
  <c r="Q61" i="5"/>
  <c r="O61" i="5"/>
  <c r="M61" i="5"/>
  <c r="K61" i="5"/>
  <c r="I61" i="5"/>
  <c r="G61" i="5"/>
  <c r="E61" i="5"/>
  <c r="C61" i="5"/>
  <c r="AE60" i="5"/>
  <c r="AC60" i="5"/>
  <c r="AA60" i="5"/>
  <c r="Y60" i="5"/>
  <c r="W60" i="5"/>
  <c r="U60" i="5"/>
  <c r="S60" i="5"/>
  <c r="Q60" i="5"/>
  <c r="O60" i="5"/>
  <c r="M60" i="5"/>
  <c r="K60" i="5"/>
  <c r="I60" i="5"/>
  <c r="G60" i="5"/>
  <c r="E60" i="5"/>
  <c r="C60" i="5"/>
  <c r="AE59" i="5"/>
  <c r="AC59" i="5"/>
  <c r="AA59" i="5"/>
  <c r="Y59" i="5"/>
  <c r="W59" i="5"/>
  <c r="U59" i="5"/>
  <c r="S59" i="5"/>
  <c r="Q59" i="5"/>
  <c r="O59" i="5"/>
  <c r="M59" i="5"/>
  <c r="K59" i="5"/>
  <c r="I59" i="5"/>
  <c r="G59" i="5"/>
  <c r="E59" i="5"/>
  <c r="C59" i="5"/>
  <c r="AE58" i="5"/>
  <c r="AC58" i="5"/>
  <c r="AA58" i="5"/>
  <c r="Y58" i="5"/>
  <c r="W58" i="5"/>
  <c r="U58" i="5"/>
  <c r="S58" i="5"/>
  <c r="Q58" i="5"/>
  <c r="O58" i="5"/>
  <c r="M58" i="5"/>
  <c r="K58" i="5"/>
  <c r="I58" i="5"/>
  <c r="G58" i="5"/>
  <c r="E58" i="5"/>
  <c r="C58" i="5"/>
  <c r="AE57" i="5"/>
  <c r="AC57" i="5"/>
  <c r="AA57" i="5"/>
  <c r="Y57" i="5"/>
  <c r="W57" i="5"/>
  <c r="U57" i="5"/>
  <c r="S57" i="5"/>
  <c r="Q57" i="5"/>
  <c r="O57" i="5"/>
  <c r="M57" i="5"/>
  <c r="K57" i="5"/>
  <c r="I57" i="5"/>
  <c r="G57" i="5"/>
  <c r="E57" i="5"/>
  <c r="C57" i="5"/>
  <c r="AE56" i="5"/>
  <c r="AC56" i="5"/>
  <c r="AA56" i="5"/>
  <c r="Y56" i="5"/>
  <c r="W56" i="5"/>
  <c r="U56" i="5"/>
  <c r="S56" i="5"/>
  <c r="Q56" i="5"/>
  <c r="O56" i="5"/>
  <c r="M56" i="5"/>
  <c r="K56" i="5"/>
  <c r="I56" i="5"/>
  <c r="G56" i="5"/>
  <c r="E56" i="5"/>
  <c r="C56" i="5"/>
  <c r="AE55" i="5"/>
  <c r="AC55" i="5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E54" i="5"/>
  <c r="AC54" i="5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E53" i="5"/>
  <c r="AC53" i="5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AE52" i="5"/>
  <c r="AC52" i="5"/>
  <c r="AA52" i="5"/>
  <c r="Y52" i="5"/>
  <c r="W52" i="5"/>
  <c r="U52" i="5"/>
  <c r="S52" i="5"/>
  <c r="Q52" i="5"/>
  <c r="O52" i="5"/>
  <c r="M52" i="5"/>
  <c r="K52" i="5"/>
  <c r="I52" i="5"/>
  <c r="G52" i="5"/>
  <c r="E52" i="5"/>
  <c r="C52" i="5"/>
  <c r="AE51" i="5"/>
  <c r="AC51" i="5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E50" i="5"/>
  <c r="AC50" i="5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E49" i="5"/>
  <c r="AC49" i="5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E48" i="5"/>
  <c r="AC48" i="5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E47" i="5"/>
  <c r="AC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E46" i="5"/>
  <c r="AC46" i="5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AE45" i="5"/>
  <c r="AC45" i="5"/>
  <c r="AA45" i="5"/>
  <c r="Y45" i="5"/>
  <c r="W45" i="5"/>
  <c r="U45" i="5"/>
  <c r="S45" i="5"/>
  <c r="Q45" i="5"/>
  <c r="O45" i="5"/>
  <c r="M45" i="5"/>
  <c r="K45" i="5"/>
  <c r="I45" i="5"/>
  <c r="G45" i="5"/>
  <c r="E45" i="5"/>
  <c r="C45" i="5"/>
  <c r="AE44" i="5"/>
  <c r="AC44" i="5"/>
  <c r="AA44" i="5"/>
  <c r="Y44" i="5"/>
  <c r="W44" i="5"/>
  <c r="U44" i="5"/>
  <c r="S44" i="5"/>
  <c r="Q44" i="5"/>
  <c r="O44" i="5"/>
  <c r="M44" i="5"/>
  <c r="K44" i="5"/>
  <c r="I44" i="5"/>
  <c r="G44" i="5"/>
  <c r="E44" i="5"/>
  <c r="C44" i="5"/>
  <c r="AE43" i="5"/>
  <c r="AC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E42" i="5"/>
  <c r="AC42" i="5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E41" i="5"/>
  <c r="AC41" i="5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E40" i="5"/>
  <c r="AC40" i="5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E39" i="5"/>
  <c r="AC39" i="5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E38" i="5"/>
  <c r="AC38" i="5"/>
  <c r="AA38" i="5"/>
  <c r="Y38" i="5"/>
  <c r="W38" i="5"/>
  <c r="U38" i="5"/>
  <c r="S38" i="5"/>
  <c r="Q38" i="5"/>
  <c r="O38" i="5"/>
  <c r="M38" i="5"/>
  <c r="K38" i="5"/>
  <c r="I38" i="5"/>
  <c r="G38" i="5"/>
  <c r="E38" i="5"/>
  <c r="C38" i="5"/>
  <c r="AE37" i="5"/>
  <c r="AC37" i="5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AE36" i="5"/>
  <c r="AC36" i="5"/>
  <c r="AA36" i="5"/>
  <c r="Y36" i="5"/>
  <c r="W36" i="5"/>
  <c r="U36" i="5"/>
  <c r="S36" i="5"/>
  <c r="Q36" i="5"/>
  <c r="O36" i="5"/>
  <c r="M36" i="5"/>
  <c r="K36" i="5"/>
  <c r="I36" i="5"/>
  <c r="G36" i="5"/>
  <c r="E36" i="5"/>
  <c r="C36" i="5"/>
  <c r="AE35" i="5"/>
  <c r="AC35" i="5"/>
  <c r="AA35" i="5"/>
  <c r="Y35" i="5"/>
  <c r="W35" i="5"/>
  <c r="U35" i="5"/>
  <c r="S35" i="5"/>
  <c r="Q35" i="5"/>
  <c r="O35" i="5"/>
  <c r="M35" i="5"/>
  <c r="K35" i="5"/>
  <c r="I35" i="5"/>
  <c r="G35" i="5"/>
  <c r="E35" i="5"/>
  <c r="C35" i="5"/>
  <c r="AE34" i="5"/>
  <c r="AC34" i="5"/>
  <c r="AA34" i="5"/>
  <c r="Y34" i="5"/>
  <c r="W34" i="5"/>
  <c r="U34" i="5"/>
  <c r="S34" i="5"/>
  <c r="Q34" i="5"/>
  <c r="O34" i="5"/>
  <c r="M34" i="5"/>
  <c r="K34" i="5"/>
  <c r="I34" i="5"/>
  <c r="G34" i="5"/>
  <c r="E34" i="5"/>
  <c r="C34" i="5"/>
  <c r="AE33" i="5"/>
  <c r="AC33" i="5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E32" i="5"/>
  <c r="AC32" i="5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E31" i="5"/>
  <c r="AC31" i="5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E30" i="5"/>
  <c r="AC30" i="5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E29" i="5"/>
  <c r="AC29" i="5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AE28" i="5"/>
  <c r="AC28" i="5"/>
  <c r="AA28" i="5"/>
  <c r="Y28" i="5"/>
  <c r="W28" i="5"/>
  <c r="U28" i="5"/>
  <c r="S28" i="5"/>
  <c r="Q28" i="5"/>
  <c r="O28" i="5"/>
  <c r="M28" i="5"/>
  <c r="K28" i="5"/>
  <c r="I28" i="5"/>
  <c r="G28" i="5"/>
  <c r="E28" i="5"/>
  <c r="C28" i="5"/>
  <c r="AE27" i="5"/>
  <c r="AC27" i="5"/>
  <c r="AA27" i="5"/>
  <c r="Y27" i="5"/>
  <c r="W27" i="5"/>
  <c r="U27" i="5"/>
  <c r="S27" i="5"/>
  <c r="Q27" i="5"/>
  <c r="O27" i="5"/>
  <c r="M27" i="5"/>
  <c r="K27" i="5"/>
  <c r="I27" i="5"/>
  <c r="G27" i="5"/>
  <c r="E27" i="5"/>
  <c r="C27" i="5"/>
  <c r="AE26" i="5"/>
  <c r="AC26" i="5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E25" i="5"/>
  <c r="AC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E24" i="5"/>
  <c r="AC24" i="5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E23" i="5"/>
  <c r="AC23" i="5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E22" i="5"/>
  <c r="AC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E21" i="5"/>
  <c r="AC21" i="5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E20" i="5"/>
  <c r="AC20" i="5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E19" i="5"/>
  <c r="AC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E18" i="5"/>
  <c r="AC18" i="5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E17" i="5"/>
  <c r="AC17" i="5"/>
  <c r="AA17" i="5"/>
  <c r="Y17" i="5"/>
  <c r="W17" i="5"/>
  <c r="U17" i="5"/>
  <c r="S17" i="5"/>
  <c r="Q17" i="5"/>
  <c r="O17" i="5"/>
  <c r="M17" i="5"/>
  <c r="AM14" i="5" s="1"/>
  <c r="K17" i="5"/>
  <c r="I17" i="5"/>
  <c r="G17" i="5"/>
  <c r="E17" i="5"/>
  <c r="C17" i="5"/>
  <c r="AE16" i="5"/>
  <c r="AC16" i="5"/>
  <c r="AA16" i="5"/>
  <c r="Y16" i="5"/>
  <c r="W16" i="5"/>
  <c r="U16" i="5"/>
  <c r="S16" i="5"/>
  <c r="Q16" i="5"/>
  <c r="AO14" i="5" s="1"/>
  <c r="O16" i="5"/>
  <c r="AN14" i="5" s="1"/>
  <c r="M16" i="5"/>
  <c r="K16" i="5"/>
  <c r="I16" i="5"/>
  <c r="G16" i="5"/>
  <c r="E16" i="5"/>
  <c r="C16" i="5"/>
  <c r="AE15" i="5"/>
  <c r="AC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E14" i="5"/>
  <c r="AC14" i="5"/>
  <c r="AA14" i="5"/>
  <c r="Y14" i="5"/>
  <c r="W14" i="5"/>
  <c r="U14" i="5"/>
  <c r="S14" i="5"/>
  <c r="Q14" i="5"/>
  <c r="O14" i="5"/>
  <c r="M14" i="5"/>
  <c r="K14" i="5"/>
  <c r="I14" i="5"/>
  <c r="G14" i="5"/>
  <c r="E14" i="5"/>
  <c r="C14" i="5"/>
  <c r="AE13" i="5"/>
  <c r="AC13" i="5"/>
  <c r="AA13" i="5"/>
  <c r="Y13" i="5"/>
  <c r="Y251" i="5" s="1"/>
  <c r="Y253" i="5" s="1"/>
  <c r="W13" i="5"/>
  <c r="U13" i="5"/>
  <c r="S13" i="5"/>
  <c r="Q13" i="5"/>
  <c r="O13" i="5"/>
  <c r="M13" i="5"/>
  <c r="K13" i="5"/>
  <c r="I13" i="5"/>
  <c r="G13" i="5"/>
  <c r="E13" i="5"/>
  <c r="C13" i="5"/>
  <c r="AE12" i="5"/>
  <c r="AC12" i="5"/>
  <c r="AA12" i="5"/>
  <c r="Y12" i="5"/>
  <c r="W12" i="5"/>
  <c r="U12" i="5"/>
  <c r="S12" i="5"/>
  <c r="Q12" i="5"/>
  <c r="O12" i="5"/>
  <c r="M12" i="5"/>
  <c r="K12" i="5"/>
  <c r="I12" i="5"/>
  <c r="G12" i="5"/>
  <c r="E12" i="5"/>
  <c r="C12" i="5"/>
  <c r="AE11" i="5"/>
  <c r="AC11" i="5"/>
  <c r="AA11" i="5"/>
  <c r="Y11" i="5"/>
  <c r="W11" i="5"/>
  <c r="U11" i="5"/>
  <c r="S11" i="5"/>
  <c r="Q11" i="5"/>
  <c r="O11" i="5"/>
  <c r="M11" i="5"/>
  <c r="K11" i="5"/>
  <c r="I11" i="5"/>
  <c r="G11" i="5"/>
  <c r="E11" i="5"/>
  <c r="C11" i="5"/>
  <c r="AE10" i="5"/>
  <c r="AC10" i="5"/>
  <c r="AA10" i="5"/>
  <c r="Y10" i="5"/>
  <c r="W10" i="5"/>
  <c r="U10" i="5"/>
  <c r="S10" i="5"/>
  <c r="Q10" i="5"/>
  <c r="O10" i="5"/>
  <c r="M10" i="5"/>
  <c r="K10" i="5"/>
  <c r="I10" i="5"/>
  <c r="G10" i="5"/>
  <c r="E10" i="5"/>
  <c r="C10" i="5"/>
  <c r="AE9" i="5"/>
  <c r="AC9" i="5"/>
  <c r="AA9" i="5"/>
  <c r="Y9" i="5"/>
  <c r="W9" i="5"/>
  <c r="U9" i="5"/>
  <c r="S9" i="5"/>
  <c r="Q9" i="5"/>
  <c r="O9" i="5"/>
  <c r="M9" i="5"/>
  <c r="K9" i="5"/>
  <c r="I9" i="5"/>
  <c r="G9" i="5"/>
  <c r="E9" i="5"/>
  <c r="C9" i="5"/>
  <c r="AK8" i="5"/>
  <c r="AE8" i="5"/>
  <c r="AC8" i="5"/>
  <c r="AA8" i="5"/>
  <c r="AA251" i="5" s="1"/>
  <c r="AA253" i="5" s="1"/>
  <c r="Y8" i="5"/>
  <c r="W8" i="5"/>
  <c r="U8" i="5"/>
  <c r="S8" i="5"/>
  <c r="Q8" i="5"/>
  <c r="O8" i="5"/>
  <c r="M8" i="5"/>
  <c r="K8" i="5"/>
  <c r="I8" i="5"/>
  <c r="G8" i="5"/>
  <c r="E8" i="5"/>
  <c r="C8" i="5"/>
  <c r="AE7" i="5"/>
  <c r="AC7" i="5"/>
  <c r="AC251" i="5" s="1"/>
  <c r="AC253" i="5" s="1"/>
  <c r="AA7" i="5"/>
  <c r="Y7" i="5"/>
  <c r="W7" i="5"/>
  <c r="U7" i="5"/>
  <c r="S7" i="5"/>
  <c r="Q7" i="5"/>
  <c r="O7" i="5"/>
  <c r="M7" i="5"/>
  <c r="K7" i="5"/>
  <c r="I7" i="5"/>
  <c r="G7" i="5"/>
  <c r="E7" i="5"/>
  <c r="C7" i="5"/>
  <c r="AE6" i="5"/>
  <c r="AE251" i="5" s="1"/>
  <c r="AE253" i="5" s="1"/>
  <c r="AC6" i="5"/>
  <c r="AA6" i="5"/>
  <c r="Y6" i="5"/>
  <c r="W6" i="5"/>
  <c r="U6" i="5"/>
  <c r="S6" i="5"/>
  <c r="Q6" i="5"/>
  <c r="O6" i="5"/>
  <c r="M6" i="5"/>
  <c r="K6" i="5"/>
  <c r="I6" i="5"/>
  <c r="G6" i="5"/>
  <c r="E6" i="5"/>
  <c r="C6" i="5"/>
  <c r="AE5" i="5"/>
  <c r="AC5" i="5"/>
  <c r="AA5" i="5"/>
  <c r="Y5" i="5"/>
  <c r="W5" i="5"/>
  <c r="U5" i="5"/>
  <c r="S5" i="5"/>
  <c r="Q5" i="5"/>
  <c r="O5" i="5"/>
  <c r="M5" i="5"/>
  <c r="K5" i="5"/>
  <c r="I5" i="5"/>
  <c r="G5" i="5"/>
  <c r="E5" i="5"/>
  <c r="C5" i="5"/>
  <c r="AE4" i="5"/>
  <c r="AC4" i="5"/>
  <c r="AA4" i="5"/>
  <c r="Y4" i="5"/>
  <c r="W4" i="5"/>
  <c r="U4" i="5"/>
  <c r="S4" i="5"/>
  <c r="S251" i="5" s="1"/>
  <c r="S253" i="5" s="1"/>
  <c r="Q4" i="5"/>
  <c r="Q251" i="5" s="1"/>
  <c r="Q253" i="5" s="1"/>
  <c r="O4" i="5"/>
  <c r="AN16" i="5" s="1"/>
  <c r="M4" i="5"/>
  <c r="AM15" i="5" s="1"/>
  <c r="K4" i="5"/>
  <c r="I4" i="5"/>
  <c r="G4" i="5"/>
  <c r="E4" i="5"/>
  <c r="C4" i="5"/>
  <c r="AE3" i="5"/>
  <c r="AC3" i="5"/>
  <c r="AA3" i="5"/>
  <c r="Y3" i="5"/>
  <c r="W3" i="5"/>
  <c r="W251" i="5" s="1"/>
  <c r="W253" i="5" s="1"/>
  <c r="U3" i="5"/>
  <c r="AP17" i="5" s="1"/>
  <c r="AH27" i="5" s="1"/>
  <c r="AH28" i="5" s="1"/>
  <c r="S3" i="5"/>
  <c r="Q3" i="5"/>
  <c r="AO16" i="5" s="1"/>
  <c r="AH25" i="5" s="1"/>
  <c r="AH26" i="5" s="1"/>
  <c r="O3" i="5"/>
  <c r="O251" i="5" s="1"/>
  <c r="O253" i="5" s="1"/>
  <c r="M3" i="5"/>
  <c r="M251" i="5" s="1"/>
  <c r="M253" i="5" s="1"/>
  <c r="K3" i="5"/>
  <c r="K251" i="5" s="1"/>
  <c r="K253" i="5" s="1"/>
  <c r="I3" i="5"/>
  <c r="I251" i="5" s="1"/>
  <c r="I253" i="5" s="1"/>
  <c r="G3" i="5"/>
  <c r="G251" i="5" s="1"/>
  <c r="G253" i="5" s="1"/>
  <c r="E3" i="5"/>
  <c r="E251" i="5" s="1"/>
  <c r="E253" i="5" s="1"/>
  <c r="C3" i="5"/>
  <c r="C251" i="5" s="1"/>
  <c r="C253" i="5" s="1"/>
  <c r="I247" i="3"/>
  <c r="E247" i="3"/>
  <c r="C247" i="3"/>
  <c r="I246" i="3"/>
  <c r="G246" i="3"/>
  <c r="E246" i="3"/>
  <c r="C246" i="3"/>
  <c r="I245" i="3"/>
  <c r="G245" i="3"/>
  <c r="E245" i="3"/>
  <c r="C245" i="3"/>
  <c r="I244" i="3"/>
  <c r="G244" i="3"/>
  <c r="E244" i="3"/>
  <c r="C244" i="3"/>
  <c r="I243" i="3"/>
  <c r="G243" i="3"/>
  <c r="E243" i="3"/>
  <c r="C243" i="3"/>
  <c r="I242" i="3"/>
  <c r="G242" i="3"/>
  <c r="E242" i="3"/>
  <c r="C242" i="3"/>
  <c r="I241" i="3"/>
  <c r="G241" i="3"/>
  <c r="E241" i="3"/>
  <c r="C241" i="3"/>
  <c r="I240" i="3"/>
  <c r="G240" i="3"/>
  <c r="E240" i="3"/>
  <c r="C240" i="3"/>
  <c r="I239" i="3"/>
  <c r="G239" i="3"/>
  <c r="E239" i="3"/>
  <c r="C239" i="3"/>
  <c r="I238" i="3"/>
  <c r="G238" i="3"/>
  <c r="E238" i="3"/>
  <c r="C238" i="3"/>
  <c r="I237" i="3"/>
  <c r="G237" i="3"/>
  <c r="E237" i="3"/>
  <c r="C237" i="3"/>
  <c r="I236" i="3"/>
  <c r="G236" i="3"/>
  <c r="E236" i="3"/>
  <c r="C236" i="3"/>
  <c r="I235" i="3"/>
  <c r="G235" i="3"/>
  <c r="E235" i="3"/>
  <c r="C235" i="3"/>
  <c r="I234" i="3"/>
  <c r="G234" i="3"/>
  <c r="E234" i="3"/>
  <c r="C234" i="3"/>
  <c r="I233" i="3"/>
  <c r="G233" i="3"/>
  <c r="E233" i="3"/>
  <c r="C233" i="3"/>
  <c r="I232" i="3"/>
  <c r="G232" i="3"/>
  <c r="E232" i="3"/>
  <c r="C232" i="3"/>
  <c r="I231" i="3"/>
  <c r="G231" i="3"/>
  <c r="E231" i="3"/>
  <c r="C231" i="3"/>
  <c r="I230" i="3"/>
  <c r="G230" i="3"/>
  <c r="E230" i="3"/>
  <c r="C230" i="3"/>
  <c r="I229" i="3"/>
  <c r="G229" i="3"/>
  <c r="E229" i="3"/>
  <c r="C229" i="3"/>
  <c r="I228" i="3"/>
  <c r="G228" i="3"/>
  <c r="E228" i="3"/>
  <c r="C228" i="3"/>
  <c r="I227" i="3"/>
  <c r="G227" i="3"/>
  <c r="E227" i="3"/>
  <c r="C227" i="3"/>
  <c r="I226" i="3"/>
  <c r="G226" i="3"/>
  <c r="E226" i="3"/>
  <c r="C226" i="3"/>
  <c r="I225" i="3"/>
  <c r="G225" i="3"/>
  <c r="E225" i="3"/>
  <c r="C225" i="3"/>
  <c r="I224" i="3"/>
  <c r="G224" i="3"/>
  <c r="E224" i="3"/>
  <c r="C224" i="3"/>
  <c r="I223" i="3"/>
  <c r="G223" i="3"/>
  <c r="E223" i="3"/>
  <c r="C223" i="3"/>
  <c r="I222" i="3"/>
  <c r="G222" i="3"/>
  <c r="E222" i="3"/>
  <c r="C222" i="3"/>
  <c r="I221" i="3"/>
  <c r="G221" i="3"/>
  <c r="E221" i="3"/>
  <c r="C221" i="3"/>
  <c r="I220" i="3"/>
  <c r="G220" i="3"/>
  <c r="E220" i="3"/>
  <c r="C220" i="3"/>
  <c r="I219" i="3"/>
  <c r="G219" i="3"/>
  <c r="E219" i="3"/>
  <c r="C219" i="3"/>
  <c r="I218" i="3"/>
  <c r="G218" i="3"/>
  <c r="E218" i="3"/>
  <c r="C218" i="3"/>
  <c r="I217" i="3"/>
  <c r="G217" i="3"/>
  <c r="E217" i="3"/>
  <c r="C217" i="3"/>
  <c r="I216" i="3"/>
  <c r="G216" i="3"/>
  <c r="E216" i="3"/>
  <c r="C216" i="3"/>
  <c r="I215" i="3"/>
  <c r="G215" i="3"/>
  <c r="E215" i="3"/>
  <c r="C215" i="3"/>
  <c r="I214" i="3"/>
  <c r="G214" i="3"/>
  <c r="E214" i="3"/>
  <c r="C214" i="3"/>
  <c r="I213" i="3"/>
  <c r="G213" i="3"/>
  <c r="E213" i="3"/>
  <c r="C213" i="3"/>
  <c r="I212" i="3"/>
  <c r="G212" i="3"/>
  <c r="E212" i="3"/>
  <c r="C212" i="3"/>
  <c r="I211" i="3"/>
  <c r="G211" i="3"/>
  <c r="E211" i="3"/>
  <c r="C211" i="3"/>
  <c r="I210" i="3"/>
  <c r="G210" i="3"/>
  <c r="E210" i="3"/>
  <c r="C210" i="3"/>
  <c r="I209" i="3"/>
  <c r="G209" i="3"/>
  <c r="E209" i="3"/>
  <c r="C209" i="3"/>
  <c r="I208" i="3"/>
  <c r="G208" i="3"/>
  <c r="E208" i="3"/>
  <c r="C208" i="3"/>
  <c r="I207" i="3"/>
  <c r="G207" i="3"/>
  <c r="E207" i="3"/>
  <c r="C207" i="3"/>
  <c r="I206" i="3"/>
  <c r="G206" i="3"/>
  <c r="E206" i="3"/>
  <c r="C206" i="3"/>
  <c r="I205" i="3"/>
  <c r="G205" i="3"/>
  <c r="E205" i="3"/>
  <c r="C205" i="3"/>
  <c r="I204" i="3"/>
  <c r="G204" i="3"/>
  <c r="E204" i="3"/>
  <c r="C204" i="3"/>
  <c r="I203" i="3"/>
  <c r="G203" i="3"/>
  <c r="E203" i="3"/>
  <c r="C203" i="3"/>
  <c r="I202" i="3"/>
  <c r="G202" i="3"/>
  <c r="E202" i="3"/>
  <c r="C202" i="3"/>
  <c r="I201" i="3"/>
  <c r="G201" i="3"/>
  <c r="E201" i="3"/>
  <c r="C201" i="3"/>
  <c r="I200" i="3"/>
  <c r="G200" i="3"/>
  <c r="E200" i="3"/>
  <c r="C200" i="3"/>
  <c r="I199" i="3"/>
  <c r="G199" i="3"/>
  <c r="E199" i="3"/>
  <c r="C199" i="3"/>
  <c r="I198" i="3"/>
  <c r="G198" i="3"/>
  <c r="E198" i="3"/>
  <c r="C198" i="3"/>
  <c r="I197" i="3"/>
  <c r="G197" i="3"/>
  <c r="E197" i="3"/>
  <c r="C197" i="3"/>
  <c r="I196" i="3"/>
  <c r="G196" i="3"/>
  <c r="E196" i="3"/>
  <c r="C196" i="3"/>
  <c r="I195" i="3"/>
  <c r="G195" i="3"/>
  <c r="E195" i="3"/>
  <c r="C195" i="3"/>
  <c r="I194" i="3"/>
  <c r="G194" i="3"/>
  <c r="E194" i="3"/>
  <c r="C194" i="3"/>
  <c r="I193" i="3"/>
  <c r="G193" i="3"/>
  <c r="E193" i="3"/>
  <c r="C193" i="3"/>
  <c r="I192" i="3"/>
  <c r="G192" i="3"/>
  <c r="E192" i="3"/>
  <c r="C192" i="3"/>
  <c r="I191" i="3"/>
  <c r="G191" i="3"/>
  <c r="E191" i="3"/>
  <c r="C191" i="3"/>
  <c r="I190" i="3"/>
  <c r="G190" i="3"/>
  <c r="E190" i="3"/>
  <c r="C190" i="3"/>
  <c r="I189" i="3"/>
  <c r="G189" i="3"/>
  <c r="E189" i="3"/>
  <c r="C189" i="3"/>
  <c r="I188" i="3"/>
  <c r="G188" i="3"/>
  <c r="E188" i="3"/>
  <c r="C188" i="3"/>
  <c r="I187" i="3"/>
  <c r="G187" i="3"/>
  <c r="E187" i="3"/>
  <c r="C187" i="3"/>
  <c r="I186" i="3"/>
  <c r="G186" i="3"/>
  <c r="E186" i="3"/>
  <c r="C186" i="3"/>
  <c r="I185" i="3"/>
  <c r="G185" i="3"/>
  <c r="E185" i="3"/>
  <c r="C185" i="3"/>
  <c r="I184" i="3"/>
  <c r="G184" i="3"/>
  <c r="E184" i="3"/>
  <c r="C184" i="3"/>
  <c r="I183" i="3"/>
  <c r="G183" i="3"/>
  <c r="E183" i="3"/>
  <c r="C183" i="3"/>
  <c r="I182" i="3"/>
  <c r="G182" i="3"/>
  <c r="E182" i="3"/>
  <c r="C182" i="3"/>
  <c r="I181" i="3"/>
  <c r="G181" i="3"/>
  <c r="E181" i="3"/>
  <c r="C181" i="3"/>
  <c r="I180" i="3"/>
  <c r="G180" i="3"/>
  <c r="E180" i="3"/>
  <c r="C180" i="3"/>
  <c r="I179" i="3"/>
  <c r="G179" i="3"/>
  <c r="E179" i="3"/>
  <c r="C179" i="3"/>
  <c r="I178" i="3"/>
  <c r="G178" i="3"/>
  <c r="E178" i="3"/>
  <c r="C178" i="3"/>
  <c r="I177" i="3"/>
  <c r="G177" i="3"/>
  <c r="E177" i="3"/>
  <c r="C177" i="3"/>
  <c r="I176" i="3"/>
  <c r="G176" i="3"/>
  <c r="E176" i="3"/>
  <c r="C176" i="3"/>
  <c r="I175" i="3"/>
  <c r="G175" i="3"/>
  <c r="E175" i="3"/>
  <c r="C175" i="3"/>
  <c r="I174" i="3"/>
  <c r="G174" i="3"/>
  <c r="E174" i="3"/>
  <c r="C174" i="3"/>
  <c r="I173" i="3"/>
  <c r="G173" i="3"/>
  <c r="E173" i="3"/>
  <c r="C173" i="3"/>
  <c r="I172" i="3"/>
  <c r="G172" i="3"/>
  <c r="E172" i="3"/>
  <c r="C172" i="3"/>
  <c r="I171" i="3"/>
  <c r="G171" i="3"/>
  <c r="E171" i="3"/>
  <c r="C171" i="3"/>
  <c r="I170" i="3"/>
  <c r="G170" i="3"/>
  <c r="E170" i="3"/>
  <c r="C170" i="3"/>
  <c r="I169" i="3"/>
  <c r="G169" i="3"/>
  <c r="E169" i="3"/>
  <c r="C169" i="3"/>
  <c r="I168" i="3"/>
  <c r="G168" i="3"/>
  <c r="E168" i="3"/>
  <c r="C168" i="3"/>
  <c r="I167" i="3"/>
  <c r="G167" i="3"/>
  <c r="E167" i="3"/>
  <c r="C167" i="3"/>
  <c r="I166" i="3"/>
  <c r="G166" i="3"/>
  <c r="E166" i="3"/>
  <c r="C166" i="3"/>
  <c r="I165" i="3"/>
  <c r="G165" i="3"/>
  <c r="E165" i="3"/>
  <c r="C165" i="3"/>
  <c r="I164" i="3"/>
  <c r="G164" i="3"/>
  <c r="E164" i="3"/>
  <c r="C164" i="3"/>
  <c r="I163" i="3"/>
  <c r="G163" i="3"/>
  <c r="E163" i="3"/>
  <c r="C163" i="3"/>
  <c r="I162" i="3"/>
  <c r="G162" i="3"/>
  <c r="E162" i="3"/>
  <c r="C162" i="3"/>
  <c r="I161" i="3"/>
  <c r="G161" i="3"/>
  <c r="E161" i="3"/>
  <c r="C161" i="3"/>
  <c r="I160" i="3"/>
  <c r="G160" i="3"/>
  <c r="E160" i="3"/>
  <c r="C160" i="3"/>
  <c r="I159" i="3"/>
  <c r="G159" i="3"/>
  <c r="E159" i="3"/>
  <c r="C159" i="3"/>
  <c r="I158" i="3"/>
  <c r="G158" i="3"/>
  <c r="E158" i="3"/>
  <c r="C158" i="3"/>
  <c r="I157" i="3"/>
  <c r="G157" i="3"/>
  <c r="E157" i="3"/>
  <c r="C157" i="3"/>
  <c r="I156" i="3"/>
  <c r="G156" i="3"/>
  <c r="E156" i="3"/>
  <c r="C156" i="3"/>
  <c r="I155" i="3"/>
  <c r="G155" i="3"/>
  <c r="E155" i="3"/>
  <c r="C155" i="3"/>
  <c r="I154" i="3"/>
  <c r="G154" i="3"/>
  <c r="E154" i="3"/>
  <c r="C154" i="3"/>
  <c r="I153" i="3"/>
  <c r="G153" i="3"/>
  <c r="E153" i="3"/>
  <c r="C153" i="3"/>
  <c r="I152" i="3"/>
  <c r="G152" i="3"/>
  <c r="E152" i="3"/>
  <c r="C152" i="3"/>
  <c r="I151" i="3"/>
  <c r="G151" i="3"/>
  <c r="E151" i="3"/>
  <c r="C151" i="3"/>
  <c r="I150" i="3"/>
  <c r="G150" i="3"/>
  <c r="E150" i="3"/>
  <c r="C150" i="3"/>
  <c r="I149" i="3"/>
  <c r="G149" i="3"/>
  <c r="E149" i="3"/>
  <c r="C149" i="3"/>
  <c r="I148" i="3"/>
  <c r="G148" i="3"/>
  <c r="E148" i="3"/>
  <c r="C148" i="3"/>
  <c r="I147" i="3"/>
  <c r="G147" i="3"/>
  <c r="E147" i="3"/>
  <c r="C147" i="3"/>
  <c r="I146" i="3"/>
  <c r="G146" i="3"/>
  <c r="E146" i="3"/>
  <c r="C146" i="3"/>
  <c r="I145" i="3"/>
  <c r="G145" i="3"/>
  <c r="E145" i="3"/>
  <c r="C145" i="3"/>
  <c r="I144" i="3"/>
  <c r="G144" i="3"/>
  <c r="E144" i="3"/>
  <c r="C144" i="3"/>
  <c r="I143" i="3"/>
  <c r="G143" i="3"/>
  <c r="E143" i="3"/>
  <c r="C143" i="3"/>
  <c r="I142" i="3"/>
  <c r="G142" i="3"/>
  <c r="E142" i="3"/>
  <c r="C142" i="3"/>
  <c r="I141" i="3"/>
  <c r="G141" i="3"/>
  <c r="E141" i="3"/>
  <c r="C141" i="3"/>
  <c r="I140" i="3"/>
  <c r="G140" i="3"/>
  <c r="E140" i="3"/>
  <c r="C140" i="3"/>
  <c r="I139" i="3"/>
  <c r="G139" i="3"/>
  <c r="E139" i="3"/>
  <c r="C139" i="3"/>
  <c r="I138" i="3"/>
  <c r="G138" i="3"/>
  <c r="E138" i="3"/>
  <c r="C138" i="3"/>
  <c r="I137" i="3"/>
  <c r="G137" i="3"/>
  <c r="E137" i="3"/>
  <c r="C137" i="3"/>
  <c r="I136" i="3"/>
  <c r="G136" i="3"/>
  <c r="E136" i="3"/>
  <c r="C136" i="3"/>
  <c r="I135" i="3"/>
  <c r="G135" i="3"/>
  <c r="E135" i="3"/>
  <c r="C135" i="3"/>
  <c r="I134" i="3"/>
  <c r="G134" i="3"/>
  <c r="E134" i="3"/>
  <c r="C134" i="3"/>
  <c r="I133" i="3"/>
  <c r="G133" i="3"/>
  <c r="E133" i="3"/>
  <c r="C133" i="3"/>
  <c r="I132" i="3"/>
  <c r="G132" i="3"/>
  <c r="E132" i="3"/>
  <c r="C132" i="3"/>
  <c r="I131" i="3"/>
  <c r="G131" i="3"/>
  <c r="E131" i="3"/>
  <c r="C131" i="3"/>
  <c r="I130" i="3"/>
  <c r="G130" i="3"/>
  <c r="E130" i="3"/>
  <c r="C130" i="3"/>
  <c r="I129" i="3"/>
  <c r="G129" i="3"/>
  <c r="E129" i="3"/>
  <c r="C129" i="3"/>
  <c r="I128" i="3"/>
  <c r="G128" i="3"/>
  <c r="E128" i="3"/>
  <c r="C128" i="3"/>
  <c r="I127" i="3"/>
  <c r="G127" i="3"/>
  <c r="E127" i="3"/>
  <c r="C127" i="3"/>
  <c r="I126" i="3"/>
  <c r="G126" i="3"/>
  <c r="E126" i="3"/>
  <c r="C126" i="3"/>
  <c r="I125" i="3"/>
  <c r="G125" i="3"/>
  <c r="E125" i="3"/>
  <c r="C125" i="3"/>
  <c r="I124" i="3"/>
  <c r="G124" i="3"/>
  <c r="E124" i="3"/>
  <c r="C124" i="3"/>
  <c r="I123" i="3"/>
  <c r="G123" i="3"/>
  <c r="E123" i="3"/>
  <c r="C123" i="3"/>
  <c r="I122" i="3"/>
  <c r="G122" i="3"/>
  <c r="E122" i="3"/>
  <c r="C122" i="3"/>
  <c r="I121" i="3"/>
  <c r="G121" i="3"/>
  <c r="E121" i="3"/>
  <c r="C121" i="3"/>
  <c r="I120" i="3"/>
  <c r="G120" i="3"/>
  <c r="E120" i="3"/>
  <c r="C120" i="3"/>
  <c r="I119" i="3"/>
  <c r="G119" i="3"/>
  <c r="E119" i="3"/>
  <c r="C119" i="3"/>
  <c r="I118" i="3"/>
  <c r="G118" i="3"/>
  <c r="E118" i="3"/>
  <c r="C118" i="3"/>
  <c r="I117" i="3"/>
  <c r="G117" i="3"/>
  <c r="E117" i="3"/>
  <c r="C117" i="3"/>
  <c r="I116" i="3"/>
  <c r="G116" i="3"/>
  <c r="E116" i="3"/>
  <c r="C116" i="3"/>
  <c r="I115" i="3"/>
  <c r="G115" i="3"/>
  <c r="E115" i="3"/>
  <c r="C115" i="3"/>
  <c r="I114" i="3"/>
  <c r="G114" i="3"/>
  <c r="E114" i="3"/>
  <c r="C114" i="3"/>
  <c r="I113" i="3"/>
  <c r="G113" i="3"/>
  <c r="E113" i="3"/>
  <c r="C113" i="3"/>
  <c r="I112" i="3"/>
  <c r="G112" i="3"/>
  <c r="E112" i="3"/>
  <c r="C112" i="3"/>
  <c r="I111" i="3"/>
  <c r="G111" i="3"/>
  <c r="E111" i="3"/>
  <c r="C111" i="3"/>
  <c r="I110" i="3"/>
  <c r="G110" i="3"/>
  <c r="E110" i="3"/>
  <c r="C110" i="3"/>
  <c r="I109" i="3"/>
  <c r="G109" i="3"/>
  <c r="E109" i="3"/>
  <c r="C109" i="3"/>
  <c r="I108" i="3"/>
  <c r="G108" i="3"/>
  <c r="E108" i="3"/>
  <c r="C108" i="3"/>
  <c r="I107" i="3"/>
  <c r="G107" i="3"/>
  <c r="E107" i="3"/>
  <c r="C107" i="3"/>
  <c r="I106" i="3"/>
  <c r="G106" i="3"/>
  <c r="E106" i="3"/>
  <c r="C106" i="3"/>
  <c r="I105" i="3"/>
  <c r="G105" i="3"/>
  <c r="E105" i="3"/>
  <c r="C105" i="3"/>
  <c r="I104" i="3"/>
  <c r="G104" i="3"/>
  <c r="E104" i="3"/>
  <c r="C104" i="3"/>
  <c r="I103" i="3"/>
  <c r="G103" i="3"/>
  <c r="E103" i="3"/>
  <c r="C103" i="3"/>
  <c r="I102" i="3"/>
  <c r="G102" i="3"/>
  <c r="E102" i="3"/>
  <c r="C102" i="3"/>
  <c r="I101" i="3"/>
  <c r="G101" i="3"/>
  <c r="E101" i="3"/>
  <c r="C101" i="3"/>
  <c r="I100" i="3"/>
  <c r="G100" i="3"/>
  <c r="E100" i="3"/>
  <c r="C100" i="3"/>
  <c r="I99" i="3"/>
  <c r="G99" i="3"/>
  <c r="E99" i="3"/>
  <c r="C99" i="3"/>
  <c r="I98" i="3"/>
  <c r="G98" i="3"/>
  <c r="E98" i="3"/>
  <c r="C98" i="3"/>
  <c r="I97" i="3"/>
  <c r="G97" i="3"/>
  <c r="E97" i="3"/>
  <c r="C97" i="3"/>
  <c r="I96" i="3"/>
  <c r="G96" i="3"/>
  <c r="E96" i="3"/>
  <c r="C96" i="3"/>
  <c r="I95" i="3"/>
  <c r="G95" i="3"/>
  <c r="E95" i="3"/>
  <c r="C95" i="3"/>
  <c r="I94" i="3"/>
  <c r="G94" i="3"/>
  <c r="E94" i="3"/>
  <c r="C94" i="3"/>
  <c r="I93" i="3"/>
  <c r="G93" i="3"/>
  <c r="E93" i="3"/>
  <c r="C93" i="3"/>
  <c r="I92" i="3"/>
  <c r="G92" i="3"/>
  <c r="E92" i="3"/>
  <c r="C92" i="3"/>
  <c r="I91" i="3"/>
  <c r="G91" i="3"/>
  <c r="E91" i="3"/>
  <c r="C91" i="3"/>
  <c r="I90" i="3"/>
  <c r="G90" i="3"/>
  <c r="E90" i="3"/>
  <c r="C90" i="3"/>
  <c r="I89" i="3"/>
  <c r="G89" i="3"/>
  <c r="E89" i="3"/>
  <c r="C89" i="3"/>
  <c r="I88" i="3"/>
  <c r="G88" i="3"/>
  <c r="E88" i="3"/>
  <c r="C88" i="3"/>
  <c r="I87" i="3"/>
  <c r="G87" i="3"/>
  <c r="E87" i="3"/>
  <c r="C87" i="3"/>
  <c r="I86" i="3"/>
  <c r="G86" i="3"/>
  <c r="E86" i="3"/>
  <c r="C86" i="3"/>
  <c r="I85" i="3"/>
  <c r="G85" i="3"/>
  <c r="E85" i="3"/>
  <c r="C85" i="3"/>
  <c r="I84" i="3"/>
  <c r="G84" i="3"/>
  <c r="E84" i="3"/>
  <c r="C84" i="3"/>
  <c r="I83" i="3"/>
  <c r="G83" i="3"/>
  <c r="E83" i="3"/>
  <c r="C83" i="3"/>
  <c r="I82" i="3"/>
  <c r="G82" i="3"/>
  <c r="E82" i="3"/>
  <c r="C82" i="3"/>
  <c r="I81" i="3"/>
  <c r="G81" i="3"/>
  <c r="E81" i="3"/>
  <c r="C81" i="3"/>
  <c r="I80" i="3"/>
  <c r="G80" i="3"/>
  <c r="E80" i="3"/>
  <c r="C80" i="3"/>
  <c r="I79" i="3"/>
  <c r="G79" i="3"/>
  <c r="E79" i="3"/>
  <c r="C79" i="3"/>
  <c r="I78" i="3"/>
  <c r="G78" i="3"/>
  <c r="E78" i="3"/>
  <c r="C78" i="3"/>
  <c r="I77" i="3"/>
  <c r="G77" i="3"/>
  <c r="E77" i="3"/>
  <c r="C77" i="3"/>
  <c r="I76" i="3"/>
  <c r="G76" i="3"/>
  <c r="E76" i="3"/>
  <c r="C76" i="3"/>
  <c r="I75" i="3"/>
  <c r="G75" i="3"/>
  <c r="E75" i="3"/>
  <c r="C75" i="3"/>
  <c r="I74" i="3"/>
  <c r="G74" i="3"/>
  <c r="E74" i="3"/>
  <c r="C74" i="3"/>
  <c r="I73" i="3"/>
  <c r="G73" i="3"/>
  <c r="E73" i="3"/>
  <c r="C73" i="3"/>
  <c r="I72" i="3"/>
  <c r="G72" i="3"/>
  <c r="E72" i="3"/>
  <c r="C72" i="3"/>
  <c r="I71" i="3"/>
  <c r="G71" i="3"/>
  <c r="E71" i="3"/>
  <c r="C71" i="3"/>
  <c r="I70" i="3"/>
  <c r="G70" i="3"/>
  <c r="E70" i="3"/>
  <c r="C70" i="3"/>
  <c r="I69" i="3"/>
  <c r="G69" i="3"/>
  <c r="E69" i="3"/>
  <c r="C69" i="3"/>
  <c r="I68" i="3"/>
  <c r="G68" i="3"/>
  <c r="E68" i="3"/>
  <c r="C68" i="3"/>
  <c r="I67" i="3"/>
  <c r="G67" i="3"/>
  <c r="E67" i="3"/>
  <c r="C67" i="3"/>
  <c r="I66" i="3"/>
  <c r="G66" i="3"/>
  <c r="E66" i="3"/>
  <c r="C66" i="3"/>
  <c r="I65" i="3"/>
  <c r="G65" i="3"/>
  <c r="E65" i="3"/>
  <c r="C65" i="3"/>
  <c r="I64" i="3"/>
  <c r="G64" i="3"/>
  <c r="E64" i="3"/>
  <c r="C64" i="3"/>
  <c r="I63" i="3"/>
  <c r="G63" i="3"/>
  <c r="E63" i="3"/>
  <c r="C63" i="3"/>
  <c r="I62" i="3"/>
  <c r="G62" i="3"/>
  <c r="E62" i="3"/>
  <c r="C62" i="3"/>
  <c r="I61" i="3"/>
  <c r="G61" i="3"/>
  <c r="E61" i="3"/>
  <c r="C61" i="3"/>
  <c r="I60" i="3"/>
  <c r="G60" i="3"/>
  <c r="E60" i="3"/>
  <c r="C60" i="3"/>
  <c r="I59" i="3"/>
  <c r="G59" i="3"/>
  <c r="E59" i="3"/>
  <c r="C59" i="3"/>
  <c r="I58" i="3"/>
  <c r="G58" i="3"/>
  <c r="E58" i="3"/>
  <c r="C58" i="3"/>
  <c r="I57" i="3"/>
  <c r="G57" i="3"/>
  <c r="E57" i="3"/>
  <c r="C57" i="3"/>
  <c r="I56" i="3"/>
  <c r="G56" i="3"/>
  <c r="E56" i="3"/>
  <c r="C56" i="3"/>
  <c r="I55" i="3"/>
  <c r="G55" i="3"/>
  <c r="E55" i="3"/>
  <c r="C55" i="3"/>
  <c r="I54" i="3"/>
  <c r="G54" i="3"/>
  <c r="E54" i="3"/>
  <c r="C54" i="3"/>
  <c r="I53" i="3"/>
  <c r="G53" i="3"/>
  <c r="E53" i="3"/>
  <c r="C53" i="3"/>
  <c r="I52" i="3"/>
  <c r="G52" i="3"/>
  <c r="E52" i="3"/>
  <c r="C52" i="3"/>
  <c r="I51" i="3"/>
  <c r="G51" i="3"/>
  <c r="E51" i="3"/>
  <c r="C51" i="3"/>
  <c r="I50" i="3"/>
  <c r="G50" i="3"/>
  <c r="E50" i="3"/>
  <c r="C50" i="3"/>
  <c r="I49" i="3"/>
  <c r="G49" i="3"/>
  <c r="E49" i="3"/>
  <c r="C49" i="3"/>
  <c r="I48" i="3"/>
  <c r="G48" i="3"/>
  <c r="E48" i="3"/>
  <c r="C48" i="3"/>
  <c r="I47" i="3"/>
  <c r="G47" i="3"/>
  <c r="E47" i="3"/>
  <c r="C47" i="3"/>
  <c r="I46" i="3"/>
  <c r="G46" i="3"/>
  <c r="E46" i="3"/>
  <c r="C46" i="3"/>
  <c r="I45" i="3"/>
  <c r="G45" i="3"/>
  <c r="E45" i="3"/>
  <c r="C45" i="3"/>
  <c r="I44" i="3"/>
  <c r="G44" i="3"/>
  <c r="E44" i="3"/>
  <c r="C44" i="3"/>
  <c r="I43" i="3"/>
  <c r="G43" i="3"/>
  <c r="E43" i="3"/>
  <c r="C43" i="3"/>
  <c r="I42" i="3"/>
  <c r="G42" i="3"/>
  <c r="E42" i="3"/>
  <c r="C42" i="3"/>
  <c r="I41" i="3"/>
  <c r="G41" i="3"/>
  <c r="E41" i="3"/>
  <c r="C41" i="3"/>
  <c r="I40" i="3"/>
  <c r="G40" i="3"/>
  <c r="E40" i="3"/>
  <c r="C40" i="3"/>
  <c r="I39" i="3"/>
  <c r="G39" i="3"/>
  <c r="E39" i="3"/>
  <c r="C39" i="3"/>
  <c r="I38" i="3"/>
  <c r="G38" i="3"/>
  <c r="E38" i="3"/>
  <c r="C38" i="3"/>
  <c r="I37" i="3"/>
  <c r="G37" i="3"/>
  <c r="E37" i="3"/>
  <c r="C37" i="3"/>
  <c r="I36" i="3"/>
  <c r="G36" i="3"/>
  <c r="E36" i="3"/>
  <c r="C36" i="3"/>
  <c r="I35" i="3"/>
  <c r="G35" i="3"/>
  <c r="E35" i="3"/>
  <c r="C35" i="3"/>
  <c r="I34" i="3"/>
  <c r="G34" i="3"/>
  <c r="E34" i="3"/>
  <c r="C34" i="3"/>
  <c r="I33" i="3"/>
  <c r="G33" i="3"/>
  <c r="E33" i="3"/>
  <c r="C33" i="3"/>
  <c r="I32" i="3"/>
  <c r="G32" i="3"/>
  <c r="E32" i="3"/>
  <c r="C32" i="3"/>
  <c r="I31" i="3"/>
  <c r="G31" i="3"/>
  <c r="E31" i="3"/>
  <c r="C31" i="3"/>
  <c r="I30" i="3"/>
  <c r="G30" i="3"/>
  <c r="E30" i="3"/>
  <c r="C30" i="3"/>
  <c r="I29" i="3"/>
  <c r="G29" i="3"/>
  <c r="E29" i="3"/>
  <c r="C29" i="3"/>
  <c r="I28" i="3"/>
  <c r="G28" i="3"/>
  <c r="E28" i="3"/>
  <c r="C28" i="3"/>
  <c r="I27" i="3"/>
  <c r="G27" i="3"/>
  <c r="E27" i="3"/>
  <c r="C27" i="3"/>
  <c r="I26" i="3"/>
  <c r="G26" i="3"/>
  <c r="E26" i="3"/>
  <c r="C26" i="3"/>
  <c r="I25" i="3"/>
  <c r="G25" i="3"/>
  <c r="E25" i="3"/>
  <c r="C25" i="3"/>
  <c r="I24" i="3"/>
  <c r="G24" i="3"/>
  <c r="E24" i="3"/>
  <c r="C24" i="3"/>
  <c r="I23" i="3"/>
  <c r="G23" i="3"/>
  <c r="E23" i="3"/>
  <c r="C23" i="3"/>
  <c r="I22" i="3"/>
  <c r="G22" i="3"/>
  <c r="E22" i="3"/>
  <c r="C22" i="3"/>
  <c r="I21" i="3"/>
  <c r="G21" i="3"/>
  <c r="E21" i="3"/>
  <c r="C21" i="3"/>
  <c r="I20" i="3"/>
  <c r="G20" i="3"/>
  <c r="E20" i="3"/>
  <c r="C20" i="3"/>
  <c r="I19" i="3"/>
  <c r="G19" i="3"/>
  <c r="E19" i="3"/>
  <c r="C19" i="3"/>
  <c r="I18" i="3"/>
  <c r="G18" i="3"/>
  <c r="E18" i="3"/>
  <c r="C18" i="3"/>
  <c r="I17" i="3"/>
  <c r="G17" i="3"/>
  <c r="E17" i="3"/>
  <c r="C17" i="3"/>
  <c r="I16" i="3"/>
  <c r="G16" i="3"/>
  <c r="E16" i="3"/>
  <c r="C16" i="3"/>
  <c r="I15" i="3"/>
  <c r="G15" i="3"/>
  <c r="E15" i="3"/>
  <c r="C15" i="3"/>
  <c r="I14" i="3"/>
  <c r="G14" i="3"/>
  <c r="E14" i="3"/>
  <c r="C14" i="3"/>
  <c r="I13" i="3"/>
  <c r="G13" i="3"/>
  <c r="E13" i="3"/>
  <c r="C13" i="3"/>
  <c r="I12" i="3"/>
  <c r="G12" i="3"/>
  <c r="E12" i="3"/>
  <c r="C12" i="3"/>
  <c r="I11" i="3"/>
  <c r="G11" i="3"/>
  <c r="E11" i="3"/>
  <c r="C11" i="3"/>
  <c r="I10" i="3"/>
  <c r="G10" i="3"/>
  <c r="E10" i="3"/>
  <c r="C10" i="3"/>
  <c r="I9" i="3"/>
  <c r="G9" i="3"/>
  <c r="E9" i="3"/>
  <c r="C9" i="3"/>
  <c r="I8" i="3"/>
  <c r="G8" i="3"/>
  <c r="E8" i="3"/>
  <c r="C8" i="3"/>
  <c r="I7" i="3"/>
  <c r="G7" i="3"/>
  <c r="E7" i="3"/>
  <c r="C7" i="3"/>
  <c r="I6" i="3"/>
  <c r="G6" i="3"/>
  <c r="E6" i="3"/>
  <c r="C6" i="3"/>
  <c r="I5" i="3"/>
  <c r="G5" i="3"/>
  <c r="E5" i="3"/>
  <c r="C5" i="3"/>
  <c r="I4" i="3"/>
  <c r="G4" i="3"/>
  <c r="E4" i="3"/>
  <c r="C4" i="3"/>
  <c r="I3" i="3"/>
  <c r="G3" i="3"/>
  <c r="E3" i="3"/>
  <c r="C3" i="3"/>
  <c r="AE249" i="1"/>
  <c r="AC249" i="1"/>
  <c r="AA249" i="1"/>
  <c r="Y249" i="1"/>
  <c r="W249" i="1"/>
  <c r="U249" i="1"/>
  <c r="S249" i="1"/>
  <c r="Q249" i="1"/>
  <c r="O249" i="1"/>
  <c r="M249" i="1"/>
  <c r="K249" i="1"/>
  <c r="I249" i="1"/>
  <c r="G249" i="1"/>
  <c r="E249" i="1"/>
  <c r="C249" i="1"/>
  <c r="AE248" i="1"/>
  <c r="AC248" i="1"/>
  <c r="AA248" i="1"/>
  <c r="Y248" i="1"/>
  <c r="W248" i="1"/>
  <c r="U248" i="1"/>
  <c r="S248" i="1"/>
  <c r="Q248" i="1"/>
  <c r="O248" i="1"/>
  <c r="M248" i="1"/>
  <c r="K248" i="1"/>
  <c r="I248" i="1"/>
  <c r="G248" i="1"/>
  <c r="E248" i="1"/>
  <c r="C248" i="1"/>
  <c r="AE247" i="1"/>
  <c r="AC247" i="1"/>
  <c r="AA247" i="1"/>
  <c r="Y247" i="1"/>
  <c r="W247" i="1"/>
  <c r="U247" i="1"/>
  <c r="S247" i="1"/>
  <c r="Q247" i="1"/>
  <c r="O247" i="1"/>
  <c r="M247" i="1"/>
  <c r="K247" i="1"/>
  <c r="I247" i="1"/>
  <c r="G247" i="1"/>
  <c r="E247" i="1"/>
  <c r="C247" i="1"/>
  <c r="AE246" i="1"/>
  <c r="AC246" i="1"/>
  <c r="AA246" i="1"/>
  <c r="Y246" i="1"/>
  <c r="W246" i="1"/>
  <c r="U246" i="1"/>
  <c r="S246" i="1"/>
  <c r="Q246" i="1"/>
  <c r="O246" i="1"/>
  <c r="M246" i="1"/>
  <c r="K246" i="1"/>
  <c r="I246" i="1"/>
  <c r="G246" i="1"/>
  <c r="E246" i="1"/>
  <c r="C246" i="1"/>
  <c r="AE245" i="1"/>
  <c r="AC245" i="1"/>
  <c r="AA245" i="1"/>
  <c r="Y245" i="1"/>
  <c r="W245" i="1"/>
  <c r="U245" i="1"/>
  <c r="S245" i="1"/>
  <c r="Q245" i="1"/>
  <c r="O245" i="1"/>
  <c r="M245" i="1"/>
  <c r="K245" i="1"/>
  <c r="I245" i="1"/>
  <c r="G245" i="1"/>
  <c r="E245" i="1"/>
  <c r="C245" i="1"/>
  <c r="AE244" i="1"/>
  <c r="AC244" i="1"/>
  <c r="AA244" i="1"/>
  <c r="Y244" i="1"/>
  <c r="W244" i="1"/>
  <c r="U244" i="1"/>
  <c r="S244" i="1"/>
  <c r="Q244" i="1"/>
  <c r="O244" i="1"/>
  <c r="M244" i="1"/>
  <c r="K244" i="1"/>
  <c r="I244" i="1"/>
  <c r="G244" i="1"/>
  <c r="E244" i="1"/>
  <c r="C244" i="1"/>
  <c r="AE243" i="1"/>
  <c r="AC243" i="1"/>
  <c r="AA243" i="1"/>
  <c r="Y243" i="1"/>
  <c r="W243" i="1"/>
  <c r="U243" i="1"/>
  <c r="S243" i="1"/>
  <c r="Q243" i="1"/>
  <c r="O243" i="1"/>
  <c r="M243" i="1"/>
  <c r="K243" i="1"/>
  <c r="I243" i="1"/>
  <c r="G243" i="1"/>
  <c r="E243" i="1"/>
  <c r="C243" i="1"/>
  <c r="AE242" i="1"/>
  <c r="AC242" i="1"/>
  <c r="AA242" i="1"/>
  <c r="Y242" i="1"/>
  <c r="W242" i="1"/>
  <c r="U242" i="1"/>
  <c r="S242" i="1"/>
  <c r="Q242" i="1"/>
  <c r="O242" i="1"/>
  <c r="M242" i="1"/>
  <c r="K242" i="1"/>
  <c r="I242" i="1"/>
  <c r="G242" i="1"/>
  <c r="E242" i="1"/>
  <c r="C242" i="1"/>
  <c r="AE241" i="1"/>
  <c r="AC241" i="1"/>
  <c r="AA241" i="1"/>
  <c r="Y241" i="1"/>
  <c r="W241" i="1"/>
  <c r="U241" i="1"/>
  <c r="S241" i="1"/>
  <c r="Q241" i="1"/>
  <c r="O241" i="1"/>
  <c r="M241" i="1"/>
  <c r="K241" i="1"/>
  <c r="I241" i="1"/>
  <c r="G241" i="1"/>
  <c r="E241" i="1"/>
  <c r="C241" i="1"/>
  <c r="AE240" i="1"/>
  <c r="AC240" i="1"/>
  <c r="AA240" i="1"/>
  <c r="Y240" i="1"/>
  <c r="W240" i="1"/>
  <c r="U240" i="1"/>
  <c r="S240" i="1"/>
  <c r="Q240" i="1"/>
  <c r="O240" i="1"/>
  <c r="M240" i="1"/>
  <c r="K240" i="1"/>
  <c r="I240" i="1"/>
  <c r="G240" i="1"/>
  <c r="E240" i="1"/>
  <c r="C240" i="1"/>
  <c r="AE239" i="1"/>
  <c r="AC239" i="1"/>
  <c r="AA239" i="1"/>
  <c r="Y239" i="1"/>
  <c r="W239" i="1"/>
  <c r="U239" i="1"/>
  <c r="S239" i="1"/>
  <c r="Q239" i="1"/>
  <c r="O239" i="1"/>
  <c r="M239" i="1"/>
  <c r="K239" i="1"/>
  <c r="I239" i="1"/>
  <c r="G239" i="1"/>
  <c r="E239" i="1"/>
  <c r="C239" i="1"/>
  <c r="AE238" i="1"/>
  <c r="AC238" i="1"/>
  <c r="AA238" i="1"/>
  <c r="Y238" i="1"/>
  <c r="W238" i="1"/>
  <c r="U238" i="1"/>
  <c r="S238" i="1"/>
  <c r="Q238" i="1"/>
  <c r="O238" i="1"/>
  <c r="M238" i="1"/>
  <c r="K238" i="1"/>
  <c r="I238" i="1"/>
  <c r="G238" i="1"/>
  <c r="E238" i="1"/>
  <c r="C238" i="1"/>
  <c r="AE237" i="1"/>
  <c r="AC237" i="1"/>
  <c r="AA237" i="1"/>
  <c r="Y237" i="1"/>
  <c r="W237" i="1"/>
  <c r="U237" i="1"/>
  <c r="S237" i="1"/>
  <c r="Q237" i="1"/>
  <c r="O237" i="1"/>
  <c r="M237" i="1"/>
  <c r="K237" i="1"/>
  <c r="I237" i="1"/>
  <c r="G237" i="1"/>
  <c r="E237" i="1"/>
  <c r="C237" i="1"/>
  <c r="AE236" i="1"/>
  <c r="AC236" i="1"/>
  <c r="AA236" i="1"/>
  <c r="Y236" i="1"/>
  <c r="W236" i="1"/>
  <c r="U236" i="1"/>
  <c r="S236" i="1"/>
  <c r="Q236" i="1"/>
  <c r="O236" i="1"/>
  <c r="M236" i="1"/>
  <c r="K236" i="1"/>
  <c r="I236" i="1"/>
  <c r="G236" i="1"/>
  <c r="E236" i="1"/>
  <c r="C236" i="1"/>
  <c r="AE235" i="1"/>
  <c r="AC235" i="1"/>
  <c r="AA235" i="1"/>
  <c r="Y235" i="1"/>
  <c r="W235" i="1"/>
  <c r="U235" i="1"/>
  <c r="S235" i="1"/>
  <c r="Q235" i="1"/>
  <c r="O235" i="1"/>
  <c r="M235" i="1"/>
  <c r="K235" i="1"/>
  <c r="I235" i="1"/>
  <c r="G235" i="1"/>
  <c r="E235" i="1"/>
  <c r="C235" i="1"/>
  <c r="AE234" i="1"/>
  <c r="AC234" i="1"/>
  <c r="AA234" i="1"/>
  <c r="Y234" i="1"/>
  <c r="W234" i="1"/>
  <c r="U234" i="1"/>
  <c r="S234" i="1"/>
  <c r="Q234" i="1"/>
  <c r="O234" i="1"/>
  <c r="M234" i="1"/>
  <c r="K234" i="1"/>
  <c r="I234" i="1"/>
  <c r="G234" i="1"/>
  <c r="E234" i="1"/>
  <c r="C234" i="1"/>
  <c r="AE233" i="1"/>
  <c r="AC233" i="1"/>
  <c r="AA233" i="1"/>
  <c r="Y233" i="1"/>
  <c r="W233" i="1"/>
  <c r="U233" i="1"/>
  <c r="S233" i="1"/>
  <c r="Q233" i="1"/>
  <c r="O233" i="1"/>
  <c r="M233" i="1"/>
  <c r="K233" i="1"/>
  <c r="I233" i="1"/>
  <c r="G233" i="1"/>
  <c r="E233" i="1"/>
  <c r="C233" i="1"/>
  <c r="AE232" i="1"/>
  <c r="AC232" i="1"/>
  <c r="AA232" i="1"/>
  <c r="Y232" i="1"/>
  <c r="W232" i="1"/>
  <c r="U232" i="1"/>
  <c r="S232" i="1"/>
  <c r="Q232" i="1"/>
  <c r="O232" i="1"/>
  <c r="M232" i="1"/>
  <c r="K232" i="1"/>
  <c r="I232" i="1"/>
  <c r="G232" i="1"/>
  <c r="E232" i="1"/>
  <c r="C232" i="1"/>
  <c r="AE231" i="1"/>
  <c r="AC231" i="1"/>
  <c r="AA231" i="1"/>
  <c r="Y231" i="1"/>
  <c r="W231" i="1"/>
  <c r="U231" i="1"/>
  <c r="S231" i="1"/>
  <c r="Q231" i="1"/>
  <c r="O231" i="1"/>
  <c r="M231" i="1"/>
  <c r="K231" i="1"/>
  <c r="I231" i="1"/>
  <c r="G231" i="1"/>
  <c r="E231" i="1"/>
  <c r="C231" i="1"/>
  <c r="AE230" i="1"/>
  <c r="AC230" i="1"/>
  <c r="AA230" i="1"/>
  <c r="Y230" i="1"/>
  <c r="W230" i="1"/>
  <c r="U230" i="1"/>
  <c r="S230" i="1"/>
  <c r="Q230" i="1"/>
  <c r="O230" i="1"/>
  <c r="M230" i="1"/>
  <c r="K230" i="1"/>
  <c r="I230" i="1"/>
  <c r="G230" i="1"/>
  <c r="E230" i="1"/>
  <c r="C230" i="1"/>
  <c r="AE229" i="1"/>
  <c r="AC229" i="1"/>
  <c r="AA229" i="1"/>
  <c r="Y229" i="1"/>
  <c r="W229" i="1"/>
  <c r="U229" i="1"/>
  <c r="S229" i="1"/>
  <c r="Q229" i="1"/>
  <c r="O229" i="1"/>
  <c r="M229" i="1"/>
  <c r="K229" i="1"/>
  <c r="I229" i="1"/>
  <c r="G229" i="1"/>
  <c r="E229" i="1"/>
  <c r="C229" i="1"/>
  <c r="AE228" i="1"/>
  <c r="AC228" i="1"/>
  <c r="AA228" i="1"/>
  <c r="Y228" i="1"/>
  <c r="W228" i="1"/>
  <c r="U228" i="1"/>
  <c r="S228" i="1"/>
  <c r="Q228" i="1"/>
  <c r="O228" i="1"/>
  <c r="M228" i="1"/>
  <c r="K228" i="1"/>
  <c r="I228" i="1"/>
  <c r="G228" i="1"/>
  <c r="E228" i="1"/>
  <c r="C228" i="1"/>
  <c r="AE227" i="1"/>
  <c r="AC227" i="1"/>
  <c r="AA227" i="1"/>
  <c r="Y227" i="1"/>
  <c r="W227" i="1"/>
  <c r="U227" i="1"/>
  <c r="S227" i="1"/>
  <c r="Q227" i="1"/>
  <c r="O227" i="1"/>
  <c r="M227" i="1"/>
  <c r="K227" i="1"/>
  <c r="I227" i="1"/>
  <c r="G227" i="1"/>
  <c r="E227" i="1"/>
  <c r="C227" i="1"/>
  <c r="AE226" i="1"/>
  <c r="AC226" i="1"/>
  <c r="AA226" i="1"/>
  <c r="Y226" i="1"/>
  <c r="W226" i="1"/>
  <c r="U226" i="1"/>
  <c r="S226" i="1"/>
  <c r="Q226" i="1"/>
  <c r="O226" i="1"/>
  <c r="M226" i="1"/>
  <c r="K226" i="1"/>
  <c r="I226" i="1"/>
  <c r="G226" i="1"/>
  <c r="E226" i="1"/>
  <c r="C226" i="1"/>
  <c r="AE225" i="1"/>
  <c r="AC225" i="1"/>
  <c r="AA225" i="1"/>
  <c r="Y225" i="1"/>
  <c r="W225" i="1"/>
  <c r="U225" i="1"/>
  <c r="S225" i="1"/>
  <c r="Q225" i="1"/>
  <c r="O225" i="1"/>
  <c r="M225" i="1"/>
  <c r="K225" i="1"/>
  <c r="I225" i="1"/>
  <c r="G225" i="1"/>
  <c r="E225" i="1"/>
  <c r="C225" i="1"/>
  <c r="AE224" i="1"/>
  <c r="AC224" i="1"/>
  <c r="AA224" i="1"/>
  <c r="Y224" i="1"/>
  <c r="W224" i="1"/>
  <c r="U224" i="1"/>
  <c r="S224" i="1"/>
  <c r="Q224" i="1"/>
  <c r="O224" i="1"/>
  <c r="M224" i="1"/>
  <c r="K224" i="1"/>
  <c r="I224" i="1"/>
  <c r="G224" i="1"/>
  <c r="E224" i="1"/>
  <c r="C224" i="1"/>
  <c r="AE223" i="1"/>
  <c r="AC223" i="1"/>
  <c r="AA223" i="1"/>
  <c r="Y223" i="1"/>
  <c r="W223" i="1"/>
  <c r="U223" i="1"/>
  <c r="S223" i="1"/>
  <c r="Q223" i="1"/>
  <c r="O223" i="1"/>
  <c r="M223" i="1"/>
  <c r="K223" i="1"/>
  <c r="I223" i="1"/>
  <c r="G223" i="1"/>
  <c r="E223" i="1"/>
  <c r="C223" i="1"/>
  <c r="AE222" i="1"/>
  <c r="AC222" i="1"/>
  <c r="AA222" i="1"/>
  <c r="Y222" i="1"/>
  <c r="W222" i="1"/>
  <c r="U222" i="1"/>
  <c r="S222" i="1"/>
  <c r="Q222" i="1"/>
  <c r="O222" i="1"/>
  <c r="M222" i="1"/>
  <c r="K222" i="1"/>
  <c r="I222" i="1"/>
  <c r="G222" i="1"/>
  <c r="E222" i="1"/>
  <c r="C222" i="1"/>
  <c r="AE221" i="1"/>
  <c r="AC221" i="1"/>
  <c r="AA221" i="1"/>
  <c r="Y221" i="1"/>
  <c r="W221" i="1"/>
  <c r="U221" i="1"/>
  <c r="S221" i="1"/>
  <c r="Q221" i="1"/>
  <c r="O221" i="1"/>
  <c r="M221" i="1"/>
  <c r="K221" i="1"/>
  <c r="I221" i="1"/>
  <c r="G221" i="1"/>
  <c r="E221" i="1"/>
  <c r="C221" i="1"/>
  <c r="AE220" i="1"/>
  <c r="AC220" i="1"/>
  <c r="AA220" i="1"/>
  <c r="Y220" i="1"/>
  <c r="W220" i="1"/>
  <c r="U220" i="1"/>
  <c r="S220" i="1"/>
  <c r="Q220" i="1"/>
  <c r="O220" i="1"/>
  <c r="M220" i="1"/>
  <c r="K220" i="1"/>
  <c r="I220" i="1"/>
  <c r="G220" i="1"/>
  <c r="E220" i="1"/>
  <c r="C220" i="1"/>
  <c r="AE219" i="1"/>
  <c r="AC219" i="1"/>
  <c r="AA219" i="1"/>
  <c r="Y219" i="1"/>
  <c r="W219" i="1"/>
  <c r="U219" i="1"/>
  <c r="S219" i="1"/>
  <c r="Q219" i="1"/>
  <c r="O219" i="1"/>
  <c r="M219" i="1"/>
  <c r="K219" i="1"/>
  <c r="I219" i="1"/>
  <c r="G219" i="1"/>
  <c r="E219" i="1"/>
  <c r="C219" i="1"/>
  <c r="AE218" i="1"/>
  <c r="AC218" i="1"/>
  <c r="AA218" i="1"/>
  <c r="Y218" i="1"/>
  <c r="W218" i="1"/>
  <c r="U218" i="1"/>
  <c r="S218" i="1"/>
  <c r="Q218" i="1"/>
  <c r="O218" i="1"/>
  <c r="M218" i="1"/>
  <c r="K218" i="1"/>
  <c r="I218" i="1"/>
  <c r="G218" i="1"/>
  <c r="E218" i="1"/>
  <c r="C218" i="1"/>
  <c r="AE217" i="1"/>
  <c r="AC217" i="1"/>
  <c r="AA217" i="1"/>
  <c r="Y217" i="1"/>
  <c r="W217" i="1"/>
  <c r="U217" i="1"/>
  <c r="S217" i="1"/>
  <c r="Q217" i="1"/>
  <c r="O217" i="1"/>
  <c r="M217" i="1"/>
  <c r="K217" i="1"/>
  <c r="I217" i="1"/>
  <c r="G217" i="1"/>
  <c r="E217" i="1"/>
  <c r="C217" i="1"/>
  <c r="AE216" i="1"/>
  <c r="AC216" i="1"/>
  <c r="AA216" i="1"/>
  <c r="Y216" i="1"/>
  <c r="W216" i="1"/>
  <c r="U216" i="1"/>
  <c r="S216" i="1"/>
  <c r="Q216" i="1"/>
  <c r="O216" i="1"/>
  <c r="M216" i="1"/>
  <c r="K216" i="1"/>
  <c r="I216" i="1"/>
  <c r="G216" i="1"/>
  <c r="E216" i="1"/>
  <c r="C216" i="1"/>
  <c r="AE215" i="1"/>
  <c r="AC215" i="1"/>
  <c r="AA215" i="1"/>
  <c r="Y215" i="1"/>
  <c r="W215" i="1"/>
  <c r="U215" i="1"/>
  <c r="S215" i="1"/>
  <c r="Q215" i="1"/>
  <c r="O215" i="1"/>
  <c r="M215" i="1"/>
  <c r="K215" i="1"/>
  <c r="I215" i="1"/>
  <c r="G215" i="1"/>
  <c r="E215" i="1"/>
  <c r="C215" i="1"/>
  <c r="AE214" i="1"/>
  <c r="AC214" i="1"/>
  <c r="AA214" i="1"/>
  <c r="Y214" i="1"/>
  <c r="W214" i="1"/>
  <c r="U214" i="1"/>
  <c r="S214" i="1"/>
  <c r="Q214" i="1"/>
  <c r="O214" i="1"/>
  <c r="M214" i="1"/>
  <c r="K214" i="1"/>
  <c r="I214" i="1"/>
  <c r="G214" i="1"/>
  <c r="E214" i="1"/>
  <c r="C214" i="1"/>
  <c r="AE213" i="1"/>
  <c r="AC213" i="1"/>
  <c r="AA213" i="1"/>
  <c r="Y213" i="1"/>
  <c r="W213" i="1"/>
  <c r="U213" i="1"/>
  <c r="S213" i="1"/>
  <c r="Q213" i="1"/>
  <c r="O213" i="1"/>
  <c r="M213" i="1"/>
  <c r="K213" i="1"/>
  <c r="I213" i="1"/>
  <c r="G213" i="1"/>
  <c r="E213" i="1"/>
  <c r="C213" i="1"/>
  <c r="AE212" i="1"/>
  <c r="AC212" i="1"/>
  <c r="AA212" i="1"/>
  <c r="Y212" i="1"/>
  <c r="W212" i="1"/>
  <c r="U212" i="1"/>
  <c r="S212" i="1"/>
  <c r="Q212" i="1"/>
  <c r="O212" i="1"/>
  <c r="M212" i="1"/>
  <c r="K212" i="1"/>
  <c r="I212" i="1"/>
  <c r="G212" i="1"/>
  <c r="E212" i="1"/>
  <c r="C212" i="1"/>
  <c r="AE211" i="1"/>
  <c r="AC211" i="1"/>
  <c r="AA211" i="1"/>
  <c r="Y211" i="1"/>
  <c r="W211" i="1"/>
  <c r="U211" i="1"/>
  <c r="S211" i="1"/>
  <c r="Q211" i="1"/>
  <c r="O211" i="1"/>
  <c r="M211" i="1"/>
  <c r="K211" i="1"/>
  <c r="I211" i="1"/>
  <c r="G211" i="1"/>
  <c r="E211" i="1"/>
  <c r="C211" i="1"/>
  <c r="AE210" i="1"/>
  <c r="AC210" i="1"/>
  <c r="AA210" i="1"/>
  <c r="Y210" i="1"/>
  <c r="W210" i="1"/>
  <c r="U210" i="1"/>
  <c r="S210" i="1"/>
  <c r="Q210" i="1"/>
  <c r="O210" i="1"/>
  <c r="M210" i="1"/>
  <c r="K210" i="1"/>
  <c r="I210" i="1"/>
  <c r="G210" i="1"/>
  <c r="E210" i="1"/>
  <c r="C210" i="1"/>
  <c r="AE209" i="1"/>
  <c r="AC209" i="1"/>
  <c r="AA209" i="1"/>
  <c r="Y209" i="1"/>
  <c r="W209" i="1"/>
  <c r="U209" i="1"/>
  <c r="S209" i="1"/>
  <c r="Q209" i="1"/>
  <c r="O209" i="1"/>
  <c r="M209" i="1"/>
  <c r="K209" i="1"/>
  <c r="I209" i="1"/>
  <c r="G209" i="1"/>
  <c r="E209" i="1"/>
  <c r="C209" i="1"/>
  <c r="AE208" i="1"/>
  <c r="AC208" i="1"/>
  <c r="AA208" i="1"/>
  <c r="Y208" i="1"/>
  <c r="W208" i="1"/>
  <c r="U208" i="1"/>
  <c r="S208" i="1"/>
  <c r="Q208" i="1"/>
  <c r="O208" i="1"/>
  <c r="M208" i="1"/>
  <c r="K208" i="1"/>
  <c r="I208" i="1"/>
  <c r="G208" i="1"/>
  <c r="E208" i="1"/>
  <c r="C208" i="1"/>
  <c r="AE207" i="1"/>
  <c r="AC207" i="1"/>
  <c r="AA207" i="1"/>
  <c r="Y207" i="1"/>
  <c r="W207" i="1"/>
  <c r="U207" i="1"/>
  <c r="S207" i="1"/>
  <c r="Q207" i="1"/>
  <c r="O207" i="1"/>
  <c r="M207" i="1"/>
  <c r="K207" i="1"/>
  <c r="I207" i="1"/>
  <c r="G207" i="1"/>
  <c r="E207" i="1"/>
  <c r="C207" i="1"/>
  <c r="AE206" i="1"/>
  <c r="AC206" i="1"/>
  <c r="AA206" i="1"/>
  <c r="Y206" i="1"/>
  <c r="W206" i="1"/>
  <c r="U206" i="1"/>
  <c r="S206" i="1"/>
  <c r="Q206" i="1"/>
  <c r="O206" i="1"/>
  <c r="M206" i="1"/>
  <c r="K206" i="1"/>
  <c r="I206" i="1"/>
  <c r="G206" i="1"/>
  <c r="E206" i="1"/>
  <c r="C206" i="1"/>
  <c r="AE205" i="1"/>
  <c r="AC205" i="1"/>
  <c r="AA205" i="1"/>
  <c r="Y205" i="1"/>
  <c r="W205" i="1"/>
  <c r="U205" i="1"/>
  <c r="S205" i="1"/>
  <c r="Q205" i="1"/>
  <c r="O205" i="1"/>
  <c r="M205" i="1"/>
  <c r="K205" i="1"/>
  <c r="I205" i="1"/>
  <c r="G205" i="1"/>
  <c r="E205" i="1"/>
  <c r="C205" i="1"/>
  <c r="AE204" i="1"/>
  <c r="AC204" i="1"/>
  <c r="AA204" i="1"/>
  <c r="Y204" i="1"/>
  <c r="W204" i="1"/>
  <c r="U204" i="1"/>
  <c r="S204" i="1"/>
  <c r="Q204" i="1"/>
  <c r="O204" i="1"/>
  <c r="M204" i="1"/>
  <c r="K204" i="1"/>
  <c r="I204" i="1"/>
  <c r="G204" i="1"/>
  <c r="E204" i="1"/>
  <c r="C204" i="1"/>
  <c r="AE203" i="1"/>
  <c r="AC203" i="1"/>
  <c r="AA203" i="1"/>
  <c r="Y203" i="1"/>
  <c r="W203" i="1"/>
  <c r="U203" i="1"/>
  <c r="S203" i="1"/>
  <c r="Q203" i="1"/>
  <c r="O203" i="1"/>
  <c r="M203" i="1"/>
  <c r="K203" i="1"/>
  <c r="I203" i="1"/>
  <c r="G203" i="1"/>
  <c r="E203" i="1"/>
  <c r="C203" i="1"/>
  <c r="AE202" i="1"/>
  <c r="AC202" i="1"/>
  <c r="AA202" i="1"/>
  <c r="Y202" i="1"/>
  <c r="W202" i="1"/>
  <c r="U202" i="1"/>
  <c r="S202" i="1"/>
  <c r="Q202" i="1"/>
  <c r="O202" i="1"/>
  <c r="M202" i="1"/>
  <c r="K202" i="1"/>
  <c r="I202" i="1"/>
  <c r="G202" i="1"/>
  <c r="E202" i="1"/>
  <c r="C202" i="1"/>
  <c r="AE201" i="1"/>
  <c r="AC201" i="1"/>
  <c r="AA201" i="1"/>
  <c r="Y201" i="1"/>
  <c r="W201" i="1"/>
  <c r="U201" i="1"/>
  <c r="S201" i="1"/>
  <c r="Q201" i="1"/>
  <c r="O201" i="1"/>
  <c r="M201" i="1"/>
  <c r="K201" i="1"/>
  <c r="I201" i="1"/>
  <c r="G201" i="1"/>
  <c r="E201" i="1"/>
  <c r="C201" i="1"/>
  <c r="AE200" i="1"/>
  <c r="AC200" i="1"/>
  <c r="AA200" i="1"/>
  <c r="Y200" i="1"/>
  <c r="W200" i="1"/>
  <c r="U200" i="1"/>
  <c r="S200" i="1"/>
  <c r="Q200" i="1"/>
  <c r="O200" i="1"/>
  <c r="M200" i="1"/>
  <c r="K200" i="1"/>
  <c r="I200" i="1"/>
  <c r="G200" i="1"/>
  <c r="E200" i="1"/>
  <c r="C200" i="1"/>
  <c r="AE199" i="1"/>
  <c r="AC199" i="1"/>
  <c r="AA199" i="1"/>
  <c r="Y199" i="1"/>
  <c r="W199" i="1"/>
  <c r="U199" i="1"/>
  <c r="S199" i="1"/>
  <c r="Q199" i="1"/>
  <c r="O199" i="1"/>
  <c r="M199" i="1"/>
  <c r="K199" i="1"/>
  <c r="I199" i="1"/>
  <c r="G199" i="1"/>
  <c r="E199" i="1"/>
  <c r="C199" i="1"/>
  <c r="AE198" i="1"/>
  <c r="AC198" i="1"/>
  <c r="AA198" i="1"/>
  <c r="Y198" i="1"/>
  <c r="W198" i="1"/>
  <c r="U198" i="1"/>
  <c r="S198" i="1"/>
  <c r="Q198" i="1"/>
  <c r="O198" i="1"/>
  <c r="M198" i="1"/>
  <c r="K198" i="1"/>
  <c r="I198" i="1"/>
  <c r="G198" i="1"/>
  <c r="E198" i="1"/>
  <c r="C198" i="1"/>
  <c r="AE197" i="1"/>
  <c r="AC197" i="1"/>
  <c r="AA197" i="1"/>
  <c r="Y197" i="1"/>
  <c r="W197" i="1"/>
  <c r="U197" i="1"/>
  <c r="S197" i="1"/>
  <c r="Q197" i="1"/>
  <c r="O197" i="1"/>
  <c r="M197" i="1"/>
  <c r="K197" i="1"/>
  <c r="I197" i="1"/>
  <c r="G197" i="1"/>
  <c r="E197" i="1"/>
  <c r="C197" i="1"/>
  <c r="AE196" i="1"/>
  <c r="AC196" i="1"/>
  <c r="AA196" i="1"/>
  <c r="Y196" i="1"/>
  <c r="W196" i="1"/>
  <c r="U196" i="1"/>
  <c r="S196" i="1"/>
  <c r="Q196" i="1"/>
  <c r="O196" i="1"/>
  <c r="M196" i="1"/>
  <c r="K196" i="1"/>
  <c r="I196" i="1"/>
  <c r="G196" i="1"/>
  <c r="E196" i="1"/>
  <c r="C196" i="1"/>
  <c r="AE195" i="1"/>
  <c r="AC195" i="1"/>
  <c r="AA195" i="1"/>
  <c r="Y195" i="1"/>
  <c r="W195" i="1"/>
  <c r="U195" i="1"/>
  <c r="S195" i="1"/>
  <c r="Q195" i="1"/>
  <c r="O195" i="1"/>
  <c r="M195" i="1"/>
  <c r="K195" i="1"/>
  <c r="I195" i="1"/>
  <c r="G195" i="1"/>
  <c r="E195" i="1"/>
  <c r="C195" i="1"/>
  <c r="AE194" i="1"/>
  <c r="AC194" i="1"/>
  <c r="AA194" i="1"/>
  <c r="Y194" i="1"/>
  <c r="W194" i="1"/>
  <c r="U194" i="1"/>
  <c r="S194" i="1"/>
  <c r="Q194" i="1"/>
  <c r="O194" i="1"/>
  <c r="M194" i="1"/>
  <c r="K194" i="1"/>
  <c r="I194" i="1"/>
  <c r="G194" i="1"/>
  <c r="E194" i="1"/>
  <c r="C194" i="1"/>
  <c r="AE193" i="1"/>
  <c r="AC193" i="1"/>
  <c r="AA193" i="1"/>
  <c r="Y193" i="1"/>
  <c r="W193" i="1"/>
  <c r="U193" i="1"/>
  <c r="S193" i="1"/>
  <c r="Q193" i="1"/>
  <c r="O193" i="1"/>
  <c r="M193" i="1"/>
  <c r="K193" i="1"/>
  <c r="I193" i="1"/>
  <c r="G193" i="1"/>
  <c r="E193" i="1"/>
  <c r="C193" i="1"/>
  <c r="AE192" i="1"/>
  <c r="AC192" i="1"/>
  <c r="AA192" i="1"/>
  <c r="Y192" i="1"/>
  <c r="W192" i="1"/>
  <c r="U192" i="1"/>
  <c r="S192" i="1"/>
  <c r="Q192" i="1"/>
  <c r="O192" i="1"/>
  <c r="M192" i="1"/>
  <c r="K192" i="1"/>
  <c r="I192" i="1"/>
  <c r="G192" i="1"/>
  <c r="E192" i="1"/>
  <c r="C192" i="1"/>
  <c r="AE191" i="1"/>
  <c r="AC191" i="1"/>
  <c r="AA191" i="1"/>
  <c r="Y191" i="1"/>
  <c r="W191" i="1"/>
  <c r="U191" i="1"/>
  <c r="S191" i="1"/>
  <c r="Q191" i="1"/>
  <c r="O191" i="1"/>
  <c r="M191" i="1"/>
  <c r="K191" i="1"/>
  <c r="I191" i="1"/>
  <c r="G191" i="1"/>
  <c r="E191" i="1"/>
  <c r="C191" i="1"/>
  <c r="AE190" i="1"/>
  <c r="AC190" i="1"/>
  <c r="AA190" i="1"/>
  <c r="Y190" i="1"/>
  <c r="W190" i="1"/>
  <c r="U190" i="1"/>
  <c r="S190" i="1"/>
  <c r="Q190" i="1"/>
  <c r="O190" i="1"/>
  <c r="M190" i="1"/>
  <c r="K190" i="1"/>
  <c r="I190" i="1"/>
  <c r="G190" i="1"/>
  <c r="E190" i="1"/>
  <c r="C190" i="1"/>
  <c r="AE189" i="1"/>
  <c r="AC189" i="1"/>
  <c r="AA189" i="1"/>
  <c r="Y189" i="1"/>
  <c r="W189" i="1"/>
  <c r="U189" i="1"/>
  <c r="S189" i="1"/>
  <c r="Q189" i="1"/>
  <c r="O189" i="1"/>
  <c r="M189" i="1"/>
  <c r="K189" i="1"/>
  <c r="I189" i="1"/>
  <c r="G189" i="1"/>
  <c r="E189" i="1"/>
  <c r="C189" i="1"/>
  <c r="AE188" i="1"/>
  <c r="AC188" i="1"/>
  <c r="AA188" i="1"/>
  <c r="Y188" i="1"/>
  <c r="W188" i="1"/>
  <c r="U188" i="1"/>
  <c r="S188" i="1"/>
  <c r="Q188" i="1"/>
  <c r="O188" i="1"/>
  <c r="M188" i="1"/>
  <c r="K188" i="1"/>
  <c r="I188" i="1"/>
  <c r="G188" i="1"/>
  <c r="E188" i="1"/>
  <c r="C188" i="1"/>
  <c r="AE187" i="1"/>
  <c r="AC187" i="1"/>
  <c r="AA187" i="1"/>
  <c r="Y187" i="1"/>
  <c r="W187" i="1"/>
  <c r="U187" i="1"/>
  <c r="S187" i="1"/>
  <c r="Q187" i="1"/>
  <c r="O187" i="1"/>
  <c r="M187" i="1"/>
  <c r="K187" i="1"/>
  <c r="I187" i="1"/>
  <c r="G187" i="1"/>
  <c r="E187" i="1"/>
  <c r="C187" i="1"/>
  <c r="AE186" i="1"/>
  <c r="AC186" i="1"/>
  <c r="AA186" i="1"/>
  <c r="Y186" i="1"/>
  <c r="W186" i="1"/>
  <c r="U186" i="1"/>
  <c r="S186" i="1"/>
  <c r="Q186" i="1"/>
  <c r="O186" i="1"/>
  <c r="M186" i="1"/>
  <c r="K186" i="1"/>
  <c r="I186" i="1"/>
  <c r="G186" i="1"/>
  <c r="E186" i="1"/>
  <c r="C186" i="1"/>
  <c r="AE185" i="1"/>
  <c r="AC185" i="1"/>
  <c r="AA185" i="1"/>
  <c r="Y185" i="1"/>
  <c r="W185" i="1"/>
  <c r="U185" i="1"/>
  <c r="S185" i="1"/>
  <c r="Q185" i="1"/>
  <c r="O185" i="1"/>
  <c r="M185" i="1"/>
  <c r="K185" i="1"/>
  <c r="I185" i="1"/>
  <c r="G185" i="1"/>
  <c r="E185" i="1"/>
  <c r="C185" i="1"/>
  <c r="AE184" i="1"/>
  <c r="AC184" i="1"/>
  <c r="AA184" i="1"/>
  <c r="Y184" i="1"/>
  <c r="W184" i="1"/>
  <c r="U184" i="1"/>
  <c r="S184" i="1"/>
  <c r="Q184" i="1"/>
  <c r="O184" i="1"/>
  <c r="M184" i="1"/>
  <c r="K184" i="1"/>
  <c r="I184" i="1"/>
  <c r="G184" i="1"/>
  <c r="E184" i="1"/>
  <c r="C184" i="1"/>
  <c r="AE183" i="1"/>
  <c r="AC183" i="1"/>
  <c r="AA183" i="1"/>
  <c r="Y183" i="1"/>
  <c r="W183" i="1"/>
  <c r="U183" i="1"/>
  <c r="S183" i="1"/>
  <c r="Q183" i="1"/>
  <c r="O183" i="1"/>
  <c r="M183" i="1"/>
  <c r="K183" i="1"/>
  <c r="I183" i="1"/>
  <c r="G183" i="1"/>
  <c r="E183" i="1"/>
  <c r="C183" i="1"/>
  <c r="AE182" i="1"/>
  <c r="AC182" i="1"/>
  <c r="AA182" i="1"/>
  <c r="Y182" i="1"/>
  <c r="W182" i="1"/>
  <c r="U182" i="1"/>
  <c r="S182" i="1"/>
  <c r="Q182" i="1"/>
  <c r="O182" i="1"/>
  <c r="M182" i="1"/>
  <c r="K182" i="1"/>
  <c r="I182" i="1"/>
  <c r="G182" i="1"/>
  <c r="E182" i="1"/>
  <c r="C182" i="1"/>
  <c r="AE181" i="1"/>
  <c r="AC181" i="1"/>
  <c r="AA181" i="1"/>
  <c r="Y181" i="1"/>
  <c r="W181" i="1"/>
  <c r="U181" i="1"/>
  <c r="S181" i="1"/>
  <c r="Q181" i="1"/>
  <c r="O181" i="1"/>
  <c r="M181" i="1"/>
  <c r="K181" i="1"/>
  <c r="I181" i="1"/>
  <c r="G181" i="1"/>
  <c r="E181" i="1"/>
  <c r="C181" i="1"/>
  <c r="AE180" i="1"/>
  <c r="AC180" i="1"/>
  <c r="AA180" i="1"/>
  <c r="Y180" i="1"/>
  <c r="W180" i="1"/>
  <c r="U180" i="1"/>
  <c r="S180" i="1"/>
  <c r="Q180" i="1"/>
  <c r="O180" i="1"/>
  <c r="M180" i="1"/>
  <c r="K180" i="1"/>
  <c r="I180" i="1"/>
  <c r="G180" i="1"/>
  <c r="E180" i="1"/>
  <c r="C180" i="1"/>
  <c r="AE179" i="1"/>
  <c r="AC179" i="1"/>
  <c r="AA179" i="1"/>
  <c r="Y179" i="1"/>
  <c r="W179" i="1"/>
  <c r="U179" i="1"/>
  <c r="S179" i="1"/>
  <c r="Q179" i="1"/>
  <c r="O179" i="1"/>
  <c r="M179" i="1"/>
  <c r="K179" i="1"/>
  <c r="I179" i="1"/>
  <c r="G179" i="1"/>
  <c r="E179" i="1"/>
  <c r="C179" i="1"/>
  <c r="AE178" i="1"/>
  <c r="AC178" i="1"/>
  <c r="AA178" i="1"/>
  <c r="Y178" i="1"/>
  <c r="W178" i="1"/>
  <c r="U178" i="1"/>
  <c r="S178" i="1"/>
  <c r="Q178" i="1"/>
  <c r="O178" i="1"/>
  <c r="M178" i="1"/>
  <c r="K178" i="1"/>
  <c r="I178" i="1"/>
  <c r="G178" i="1"/>
  <c r="E178" i="1"/>
  <c r="C178" i="1"/>
  <c r="AE177" i="1"/>
  <c r="AC177" i="1"/>
  <c r="AA177" i="1"/>
  <c r="Y177" i="1"/>
  <c r="W177" i="1"/>
  <c r="U177" i="1"/>
  <c r="S177" i="1"/>
  <c r="Q177" i="1"/>
  <c r="O177" i="1"/>
  <c r="M177" i="1"/>
  <c r="K177" i="1"/>
  <c r="I177" i="1"/>
  <c r="G177" i="1"/>
  <c r="E177" i="1"/>
  <c r="C177" i="1"/>
  <c r="AE176" i="1"/>
  <c r="AC176" i="1"/>
  <c r="AA176" i="1"/>
  <c r="Y176" i="1"/>
  <c r="W176" i="1"/>
  <c r="U176" i="1"/>
  <c r="S176" i="1"/>
  <c r="Q176" i="1"/>
  <c r="O176" i="1"/>
  <c r="M176" i="1"/>
  <c r="K176" i="1"/>
  <c r="I176" i="1"/>
  <c r="G176" i="1"/>
  <c r="E176" i="1"/>
  <c r="C176" i="1"/>
  <c r="AE175" i="1"/>
  <c r="AC175" i="1"/>
  <c r="AA175" i="1"/>
  <c r="Y175" i="1"/>
  <c r="W175" i="1"/>
  <c r="U175" i="1"/>
  <c r="S175" i="1"/>
  <c r="Q175" i="1"/>
  <c r="O175" i="1"/>
  <c r="M175" i="1"/>
  <c r="K175" i="1"/>
  <c r="I175" i="1"/>
  <c r="G175" i="1"/>
  <c r="E175" i="1"/>
  <c r="C175" i="1"/>
  <c r="AE174" i="1"/>
  <c r="AC174" i="1"/>
  <c r="AA174" i="1"/>
  <c r="Y174" i="1"/>
  <c r="W174" i="1"/>
  <c r="U174" i="1"/>
  <c r="S174" i="1"/>
  <c r="Q174" i="1"/>
  <c r="O174" i="1"/>
  <c r="M174" i="1"/>
  <c r="K174" i="1"/>
  <c r="I174" i="1"/>
  <c r="G174" i="1"/>
  <c r="E174" i="1"/>
  <c r="C174" i="1"/>
  <c r="AE173" i="1"/>
  <c r="AC173" i="1"/>
  <c r="AA173" i="1"/>
  <c r="Y173" i="1"/>
  <c r="W173" i="1"/>
  <c r="U173" i="1"/>
  <c r="S173" i="1"/>
  <c r="Q173" i="1"/>
  <c r="O173" i="1"/>
  <c r="M173" i="1"/>
  <c r="K173" i="1"/>
  <c r="I173" i="1"/>
  <c r="G173" i="1"/>
  <c r="E173" i="1"/>
  <c r="C173" i="1"/>
  <c r="AE172" i="1"/>
  <c r="AC172" i="1"/>
  <c r="AA172" i="1"/>
  <c r="Y172" i="1"/>
  <c r="W172" i="1"/>
  <c r="U172" i="1"/>
  <c r="S172" i="1"/>
  <c r="Q172" i="1"/>
  <c r="O172" i="1"/>
  <c r="M172" i="1"/>
  <c r="K172" i="1"/>
  <c r="I172" i="1"/>
  <c r="G172" i="1"/>
  <c r="E172" i="1"/>
  <c r="C172" i="1"/>
  <c r="AE171" i="1"/>
  <c r="AC171" i="1"/>
  <c r="AA171" i="1"/>
  <c r="Y171" i="1"/>
  <c r="W171" i="1"/>
  <c r="U171" i="1"/>
  <c r="S171" i="1"/>
  <c r="Q171" i="1"/>
  <c r="O171" i="1"/>
  <c r="M171" i="1"/>
  <c r="K171" i="1"/>
  <c r="I171" i="1"/>
  <c r="G171" i="1"/>
  <c r="E171" i="1"/>
  <c r="C171" i="1"/>
  <c r="AE170" i="1"/>
  <c r="AC170" i="1"/>
  <c r="AA170" i="1"/>
  <c r="Y170" i="1"/>
  <c r="W170" i="1"/>
  <c r="U170" i="1"/>
  <c r="S170" i="1"/>
  <c r="Q170" i="1"/>
  <c r="O170" i="1"/>
  <c r="M170" i="1"/>
  <c r="K170" i="1"/>
  <c r="I170" i="1"/>
  <c r="G170" i="1"/>
  <c r="E170" i="1"/>
  <c r="C170" i="1"/>
  <c r="AE169" i="1"/>
  <c r="AC169" i="1"/>
  <c r="AA169" i="1"/>
  <c r="Y169" i="1"/>
  <c r="W169" i="1"/>
  <c r="U169" i="1"/>
  <c r="S169" i="1"/>
  <c r="Q169" i="1"/>
  <c r="O169" i="1"/>
  <c r="M169" i="1"/>
  <c r="K169" i="1"/>
  <c r="I169" i="1"/>
  <c r="G169" i="1"/>
  <c r="E169" i="1"/>
  <c r="C169" i="1"/>
  <c r="AE168" i="1"/>
  <c r="AC168" i="1"/>
  <c r="AA168" i="1"/>
  <c r="Y168" i="1"/>
  <c r="W168" i="1"/>
  <c r="U168" i="1"/>
  <c r="S168" i="1"/>
  <c r="Q168" i="1"/>
  <c r="O168" i="1"/>
  <c r="M168" i="1"/>
  <c r="K168" i="1"/>
  <c r="I168" i="1"/>
  <c r="G168" i="1"/>
  <c r="E168" i="1"/>
  <c r="C168" i="1"/>
  <c r="AE167" i="1"/>
  <c r="AC167" i="1"/>
  <c r="AA167" i="1"/>
  <c r="Y167" i="1"/>
  <c r="W167" i="1"/>
  <c r="U167" i="1"/>
  <c r="S167" i="1"/>
  <c r="Q167" i="1"/>
  <c r="O167" i="1"/>
  <c r="M167" i="1"/>
  <c r="K167" i="1"/>
  <c r="I167" i="1"/>
  <c r="G167" i="1"/>
  <c r="E167" i="1"/>
  <c r="C167" i="1"/>
  <c r="AE166" i="1"/>
  <c r="AC166" i="1"/>
  <c r="AA166" i="1"/>
  <c r="Y166" i="1"/>
  <c r="W166" i="1"/>
  <c r="U166" i="1"/>
  <c r="S166" i="1"/>
  <c r="Q166" i="1"/>
  <c r="O166" i="1"/>
  <c r="M166" i="1"/>
  <c r="K166" i="1"/>
  <c r="I166" i="1"/>
  <c r="G166" i="1"/>
  <c r="E166" i="1"/>
  <c r="C166" i="1"/>
  <c r="AE165" i="1"/>
  <c r="AC165" i="1"/>
  <c r="AA165" i="1"/>
  <c r="Y165" i="1"/>
  <c r="W165" i="1"/>
  <c r="U165" i="1"/>
  <c r="S165" i="1"/>
  <c r="Q165" i="1"/>
  <c r="O165" i="1"/>
  <c r="M165" i="1"/>
  <c r="K165" i="1"/>
  <c r="I165" i="1"/>
  <c r="G165" i="1"/>
  <c r="E165" i="1"/>
  <c r="C165" i="1"/>
  <c r="AE164" i="1"/>
  <c r="AC164" i="1"/>
  <c r="AA164" i="1"/>
  <c r="Y164" i="1"/>
  <c r="W164" i="1"/>
  <c r="U164" i="1"/>
  <c r="S164" i="1"/>
  <c r="Q164" i="1"/>
  <c r="O164" i="1"/>
  <c r="M164" i="1"/>
  <c r="K164" i="1"/>
  <c r="I164" i="1"/>
  <c r="G164" i="1"/>
  <c r="E164" i="1"/>
  <c r="C164" i="1"/>
  <c r="AE163" i="1"/>
  <c r="AC163" i="1"/>
  <c r="AA163" i="1"/>
  <c r="Y163" i="1"/>
  <c r="W163" i="1"/>
  <c r="U163" i="1"/>
  <c r="S163" i="1"/>
  <c r="Q163" i="1"/>
  <c r="O163" i="1"/>
  <c r="M163" i="1"/>
  <c r="K163" i="1"/>
  <c r="I163" i="1"/>
  <c r="G163" i="1"/>
  <c r="E163" i="1"/>
  <c r="C163" i="1"/>
  <c r="AE162" i="1"/>
  <c r="AC162" i="1"/>
  <c r="AA162" i="1"/>
  <c r="Y162" i="1"/>
  <c r="W162" i="1"/>
  <c r="U162" i="1"/>
  <c r="S162" i="1"/>
  <c r="Q162" i="1"/>
  <c r="O162" i="1"/>
  <c r="M162" i="1"/>
  <c r="K162" i="1"/>
  <c r="I162" i="1"/>
  <c r="G162" i="1"/>
  <c r="E162" i="1"/>
  <c r="C162" i="1"/>
  <c r="AE161" i="1"/>
  <c r="AC161" i="1"/>
  <c r="AA161" i="1"/>
  <c r="Y161" i="1"/>
  <c r="W161" i="1"/>
  <c r="U161" i="1"/>
  <c r="S161" i="1"/>
  <c r="Q161" i="1"/>
  <c r="O161" i="1"/>
  <c r="M161" i="1"/>
  <c r="K161" i="1"/>
  <c r="I161" i="1"/>
  <c r="G161" i="1"/>
  <c r="E161" i="1"/>
  <c r="C161" i="1"/>
  <c r="AE160" i="1"/>
  <c r="AC160" i="1"/>
  <c r="AA160" i="1"/>
  <c r="Y160" i="1"/>
  <c r="W160" i="1"/>
  <c r="U160" i="1"/>
  <c r="S160" i="1"/>
  <c r="Q160" i="1"/>
  <c r="O160" i="1"/>
  <c r="M160" i="1"/>
  <c r="K160" i="1"/>
  <c r="I160" i="1"/>
  <c r="G160" i="1"/>
  <c r="E160" i="1"/>
  <c r="C160" i="1"/>
  <c r="AE159" i="1"/>
  <c r="AC159" i="1"/>
  <c r="AA159" i="1"/>
  <c r="Y159" i="1"/>
  <c r="W159" i="1"/>
  <c r="U159" i="1"/>
  <c r="S159" i="1"/>
  <c r="Q159" i="1"/>
  <c r="O159" i="1"/>
  <c r="M159" i="1"/>
  <c r="K159" i="1"/>
  <c r="I159" i="1"/>
  <c r="G159" i="1"/>
  <c r="E159" i="1"/>
  <c r="C159" i="1"/>
  <c r="AE158" i="1"/>
  <c r="AC158" i="1"/>
  <c r="AA158" i="1"/>
  <c r="Y158" i="1"/>
  <c r="W158" i="1"/>
  <c r="U158" i="1"/>
  <c r="S158" i="1"/>
  <c r="Q158" i="1"/>
  <c r="O158" i="1"/>
  <c r="M158" i="1"/>
  <c r="K158" i="1"/>
  <c r="I158" i="1"/>
  <c r="G158" i="1"/>
  <c r="E158" i="1"/>
  <c r="C158" i="1"/>
  <c r="AE157" i="1"/>
  <c r="AC157" i="1"/>
  <c r="AA157" i="1"/>
  <c r="Y157" i="1"/>
  <c r="W157" i="1"/>
  <c r="U157" i="1"/>
  <c r="S157" i="1"/>
  <c r="Q157" i="1"/>
  <c r="O157" i="1"/>
  <c r="M157" i="1"/>
  <c r="K157" i="1"/>
  <c r="I157" i="1"/>
  <c r="G157" i="1"/>
  <c r="E157" i="1"/>
  <c r="C157" i="1"/>
  <c r="AE156" i="1"/>
  <c r="AC156" i="1"/>
  <c r="AA156" i="1"/>
  <c r="Y156" i="1"/>
  <c r="W156" i="1"/>
  <c r="U156" i="1"/>
  <c r="S156" i="1"/>
  <c r="Q156" i="1"/>
  <c r="O156" i="1"/>
  <c r="M156" i="1"/>
  <c r="K156" i="1"/>
  <c r="I156" i="1"/>
  <c r="G156" i="1"/>
  <c r="E156" i="1"/>
  <c r="C156" i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G155" i="1"/>
  <c r="E155" i="1"/>
  <c r="C155" i="1"/>
  <c r="AE154" i="1"/>
  <c r="AC154" i="1"/>
  <c r="AA154" i="1"/>
  <c r="Y154" i="1"/>
  <c r="W154" i="1"/>
  <c r="U154" i="1"/>
  <c r="S154" i="1"/>
  <c r="Q154" i="1"/>
  <c r="O154" i="1"/>
  <c r="M154" i="1"/>
  <c r="K154" i="1"/>
  <c r="I154" i="1"/>
  <c r="G154" i="1"/>
  <c r="E154" i="1"/>
  <c r="C154" i="1"/>
  <c r="AE153" i="1"/>
  <c r="AC153" i="1"/>
  <c r="AA153" i="1"/>
  <c r="Y153" i="1"/>
  <c r="W153" i="1"/>
  <c r="U153" i="1"/>
  <c r="S153" i="1"/>
  <c r="Q153" i="1"/>
  <c r="O153" i="1"/>
  <c r="M153" i="1"/>
  <c r="K153" i="1"/>
  <c r="I153" i="1"/>
  <c r="G153" i="1"/>
  <c r="E153" i="1"/>
  <c r="C153" i="1"/>
  <c r="AE152" i="1"/>
  <c r="AC152" i="1"/>
  <c r="AA152" i="1"/>
  <c r="Y152" i="1"/>
  <c r="W152" i="1"/>
  <c r="U152" i="1"/>
  <c r="S152" i="1"/>
  <c r="Q152" i="1"/>
  <c r="O152" i="1"/>
  <c r="M152" i="1"/>
  <c r="K152" i="1"/>
  <c r="I152" i="1"/>
  <c r="G152" i="1"/>
  <c r="E152" i="1"/>
  <c r="C152" i="1"/>
  <c r="AE151" i="1"/>
  <c r="AC151" i="1"/>
  <c r="AA151" i="1"/>
  <c r="Y151" i="1"/>
  <c r="W151" i="1"/>
  <c r="U151" i="1"/>
  <c r="S151" i="1"/>
  <c r="Q151" i="1"/>
  <c r="O151" i="1"/>
  <c r="M151" i="1"/>
  <c r="K151" i="1"/>
  <c r="I151" i="1"/>
  <c r="G151" i="1"/>
  <c r="E151" i="1"/>
  <c r="C151" i="1"/>
  <c r="AE150" i="1"/>
  <c r="AC150" i="1"/>
  <c r="AA150" i="1"/>
  <c r="Y150" i="1"/>
  <c r="W150" i="1"/>
  <c r="U150" i="1"/>
  <c r="S150" i="1"/>
  <c r="Q150" i="1"/>
  <c r="O150" i="1"/>
  <c r="M150" i="1"/>
  <c r="K150" i="1"/>
  <c r="I150" i="1"/>
  <c r="G150" i="1"/>
  <c r="E150" i="1"/>
  <c r="C150" i="1"/>
  <c r="AE149" i="1"/>
  <c r="AC149" i="1"/>
  <c r="AA149" i="1"/>
  <c r="Y149" i="1"/>
  <c r="W149" i="1"/>
  <c r="U149" i="1"/>
  <c r="S149" i="1"/>
  <c r="Q149" i="1"/>
  <c r="O149" i="1"/>
  <c r="M149" i="1"/>
  <c r="K149" i="1"/>
  <c r="I149" i="1"/>
  <c r="G149" i="1"/>
  <c r="E149" i="1"/>
  <c r="C149" i="1"/>
  <c r="AE148" i="1"/>
  <c r="AC148" i="1"/>
  <c r="AA148" i="1"/>
  <c r="Y148" i="1"/>
  <c r="W148" i="1"/>
  <c r="U148" i="1"/>
  <c r="S148" i="1"/>
  <c r="Q148" i="1"/>
  <c r="O148" i="1"/>
  <c r="M148" i="1"/>
  <c r="K148" i="1"/>
  <c r="I148" i="1"/>
  <c r="G148" i="1"/>
  <c r="E148" i="1"/>
  <c r="C148" i="1"/>
  <c r="AE147" i="1"/>
  <c r="AC147" i="1"/>
  <c r="AA147" i="1"/>
  <c r="Y147" i="1"/>
  <c r="W147" i="1"/>
  <c r="U147" i="1"/>
  <c r="S147" i="1"/>
  <c r="Q147" i="1"/>
  <c r="O147" i="1"/>
  <c r="M147" i="1"/>
  <c r="K147" i="1"/>
  <c r="I147" i="1"/>
  <c r="G147" i="1"/>
  <c r="E147" i="1"/>
  <c r="C147" i="1"/>
  <c r="AE146" i="1"/>
  <c r="AC146" i="1"/>
  <c r="AA146" i="1"/>
  <c r="Y146" i="1"/>
  <c r="W146" i="1"/>
  <c r="U146" i="1"/>
  <c r="S146" i="1"/>
  <c r="Q146" i="1"/>
  <c r="O146" i="1"/>
  <c r="M146" i="1"/>
  <c r="K146" i="1"/>
  <c r="I146" i="1"/>
  <c r="G146" i="1"/>
  <c r="E146" i="1"/>
  <c r="C146" i="1"/>
  <c r="AE145" i="1"/>
  <c r="AC145" i="1"/>
  <c r="AA145" i="1"/>
  <c r="Y145" i="1"/>
  <c r="W145" i="1"/>
  <c r="U145" i="1"/>
  <c r="S145" i="1"/>
  <c r="Q145" i="1"/>
  <c r="O145" i="1"/>
  <c r="M145" i="1"/>
  <c r="K145" i="1"/>
  <c r="I145" i="1"/>
  <c r="G145" i="1"/>
  <c r="E145" i="1"/>
  <c r="C145" i="1"/>
  <c r="AE144" i="1"/>
  <c r="AC144" i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AE143" i="1"/>
  <c r="AC143" i="1"/>
  <c r="AA143" i="1"/>
  <c r="Y143" i="1"/>
  <c r="W143" i="1"/>
  <c r="U143" i="1"/>
  <c r="S143" i="1"/>
  <c r="Q143" i="1"/>
  <c r="O143" i="1"/>
  <c r="M143" i="1"/>
  <c r="K143" i="1"/>
  <c r="I143" i="1"/>
  <c r="G143" i="1"/>
  <c r="E143" i="1"/>
  <c r="C143" i="1"/>
  <c r="AE142" i="1"/>
  <c r="AC142" i="1"/>
  <c r="AA142" i="1"/>
  <c r="Y142" i="1"/>
  <c r="W142" i="1"/>
  <c r="U142" i="1"/>
  <c r="S142" i="1"/>
  <c r="Q142" i="1"/>
  <c r="O142" i="1"/>
  <c r="M142" i="1"/>
  <c r="K142" i="1"/>
  <c r="I142" i="1"/>
  <c r="G142" i="1"/>
  <c r="E142" i="1"/>
  <c r="C142" i="1"/>
  <c r="AE141" i="1"/>
  <c r="AC141" i="1"/>
  <c r="AA141" i="1"/>
  <c r="Y141" i="1"/>
  <c r="W141" i="1"/>
  <c r="U141" i="1"/>
  <c r="S141" i="1"/>
  <c r="Q141" i="1"/>
  <c r="O141" i="1"/>
  <c r="M141" i="1"/>
  <c r="K141" i="1"/>
  <c r="I141" i="1"/>
  <c r="G141" i="1"/>
  <c r="E141" i="1"/>
  <c r="C141" i="1"/>
  <c r="AE140" i="1"/>
  <c r="AC140" i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AE139" i="1"/>
  <c r="AC139" i="1"/>
  <c r="AA139" i="1"/>
  <c r="Y139" i="1"/>
  <c r="W139" i="1"/>
  <c r="U139" i="1"/>
  <c r="S139" i="1"/>
  <c r="Q139" i="1"/>
  <c r="O139" i="1"/>
  <c r="M139" i="1"/>
  <c r="K139" i="1"/>
  <c r="I139" i="1"/>
  <c r="G139" i="1"/>
  <c r="E139" i="1"/>
  <c r="C139" i="1"/>
  <c r="AE138" i="1"/>
  <c r="AC138" i="1"/>
  <c r="AA138" i="1"/>
  <c r="Y138" i="1"/>
  <c r="W138" i="1"/>
  <c r="U138" i="1"/>
  <c r="S138" i="1"/>
  <c r="Q138" i="1"/>
  <c r="O138" i="1"/>
  <c r="M138" i="1"/>
  <c r="K138" i="1"/>
  <c r="I138" i="1"/>
  <c r="G138" i="1"/>
  <c r="E138" i="1"/>
  <c r="C138" i="1"/>
  <c r="AE137" i="1"/>
  <c r="AC137" i="1"/>
  <c r="AA137" i="1"/>
  <c r="Y137" i="1"/>
  <c r="W137" i="1"/>
  <c r="U137" i="1"/>
  <c r="S137" i="1"/>
  <c r="Q137" i="1"/>
  <c r="O137" i="1"/>
  <c r="M137" i="1"/>
  <c r="K137" i="1"/>
  <c r="I137" i="1"/>
  <c r="G137" i="1"/>
  <c r="E137" i="1"/>
  <c r="C137" i="1"/>
  <c r="AE136" i="1"/>
  <c r="AC136" i="1"/>
  <c r="AA136" i="1"/>
  <c r="Y136" i="1"/>
  <c r="W136" i="1"/>
  <c r="U136" i="1"/>
  <c r="S136" i="1"/>
  <c r="Q136" i="1"/>
  <c r="O136" i="1"/>
  <c r="M136" i="1"/>
  <c r="K136" i="1"/>
  <c r="I136" i="1"/>
  <c r="G136" i="1"/>
  <c r="E136" i="1"/>
  <c r="C136" i="1"/>
  <c r="AE135" i="1"/>
  <c r="AC135" i="1"/>
  <c r="AA135" i="1"/>
  <c r="Y135" i="1"/>
  <c r="W135" i="1"/>
  <c r="U135" i="1"/>
  <c r="S135" i="1"/>
  <c r="Q135" i="1"/>
  <c r="O135" i="1"/>
  <c r="M135" i="1"/>
  <c r="K135" i="1"/>
  <c r="I135" i="1"/>
  <c r="G135" i="1"/>
  <c r="E135" i="1"/>
  <c r="C135" i="1"/>
  <c r="AE134" i="1"/>
  <c r="AC134" i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E133" i="1"/>
  <c r="AC133" i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E132" i="1"/>
  <c r="AC132" i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E131" i="1"/>
  <c r="AC131" i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E130" i="1"/>
  <c r="AC130" i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E129" i="1"/>
  <c r="AC129" i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E128" i="1"/>
  <c r="AC128" i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E127" i="1"/>
  <c r="AC127" i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E126" i="1"/>
  <c r="AC126" i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E125" i="1"/>
  <c r="AC125" i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E124" i="1"/>
  <c r="AC124" i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E123" i="1"/>
  <c r="AC123" i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E122" i="1"/>
  <c r="AC122" i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E121" i="1"/>
  <c r="AC121" i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E120" i="1"/>
  <c r="AC120" i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E119" i="1"/>
  <c r="AC119" i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E118" i="1"/>
  <c r="AC118" i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E117" i="1"/>
  <c r="AC117" i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E116" i="1"/>
  <c r="AC116" i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E115" i="1"/>
  <c r="AC115" i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E114" i="1"/>
  <c r="AC114" i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E113" i="1"/>
  <c r="AC113" i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E112" i="1"/>
  <c r="AC112" i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E111" i="1"/>
  <c r="AC111" i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E110" i="1"/>
  <c r="AC110" i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AE109" i="1"/>
  <c r="AC109" i="1"/>
  <c r="AA109" i="1"/>
  <c r="Y109" i="1"/>
  <c r="W109" i="1"/>
  <c r="U109" i="1"/>
  <c r="S109" i="1"/>
  <c r="Q109" i="1"/>
  <c r="O109" i="1"/>
  <c r="M109" i="1"/>
  <c r="K109" i="1"/>
  <c r="I109" i="1"/>
  <c r="G109" i="1"/>
  <c r="E109" i="1"/>
  <c r="C109" i="1"/>
  <c r="AE108" i="1"/>
  <c r="AC108" i="1"/>
  <c r="AA108" i="1"/>
  <c r="Y108" i="1"/>
  <c r="W108" i="1"/>
  <c r="U108" i="1"/>
  <c r="S108" i="1"/>
  <c r="Q108" i="1"/>
  <c r="O108" i="1"/>
  <c r="M108" i="1"/>
  <c r="K108" i="1"/>
  <c r="I108" i="1"/>
  <c r="G108" i="1"/>
  <c r="E108" i="1"/>
  <c r="C108" i="1"/>
  <c r="AE107" i="1"/>
  <c r="AC107" i="1"/>
  <c r="AA107" i="1"/>
  <c r="Y107" i="1"/>
  <c r="W107" i="1"/>
  <c r="U107" i="1"/>
  <c r="S107" i="1"/>
  <c r="Q107" i="1"/>
  <c r="O107" i="1"/>
  <c r="M107" i="1"/>
  <c r="K107" i="1"/>
  <c r="I107" i="1"/>
  <c r="G107" i="1"/>
  <c r="E107" i="1"/>
  <c r="C107" i="1"/>
  <c r="AE106" i="1"/>
  <c r="AC106" i="1"/>
  <c r="AA106" i="1"/>
  <c r="Y106" i="1"/>
  <c r="W106" i="1"/>
  <c r="U106" i="1"/>
  <c r="S106" i="1"/>
  <c r="Q106" i="1"/>
  <c r="O106" i="1"/>
  <c r="M106" i="1"/>
  <c r="K106" i="1"/>
  <c r="I106" i="1"/>
  <c r="G106" i="1"/>
  <c r="E106" i="1"/>
  <c r="C106" i="1"/>
  <c r="AE105" i="1"/>
  <c r="AC105" i="1"/>
  <c r="AA105" i="1"/>
  <c r="Y105" i="1"/>
  <c r="W105" i="1"/>
  <c r="U105" i="1"/>
  <c r="S105" i="1"/>
  <c r="Q105" i="1"/>
  <c r="O105" i="1"/>
  <c r="M105" i="1"/>
  <c r="K105" i="1"/>
  <c r="I105" i="1"/>
  <c r="G105" i="1"/>
  <c r="E105" i="1"/>
  <c r="C105" i="1"/>
  <c r="AE104" i="1"/>
  <c r="AC104" i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AE103" i="1"/>
  <c r="AC103" i="1"/>
  <c r="AA103" i="1"/>
  <c r="Y103" i="1"/>
  <c r="W103" i="1"/>
  <c r="U103" i="1"/>
  <c r="S103" i="1"/>
  <c r="Q103" i="1"/>
  <c r="O103" i="1"/>
  <c r="M103" i="1"/>
  <c r="K103" i="1"/>
  <c r="I103" i="1"/>
  <c r="G103" i="1"/>
  <c r="E103" i="1"/>
  <c r="C103" i="1"/>
  <c r="AE102" i="1"/>
  <c r="AC102" i="1"/>
  <c r="AA102" i="1"/>
  <c r="Y102" i="1"/>
  <c r="W102" i="1"/>
  <c r="U102" i="1"/>
  <c r="S102" i="1"/>
  <c r="Q102" i="1"/>
  <c r="O102" i="1"/>
  <c r="M102" i="1"/>
  <c r="K102" i="1"/>
  <c r="I102" i="1"/>
  <c r="G102" i="1"/>
  <c r="E102" i="1"/>
  <c r="C102" i="1"/>
  <c r="AE101" i="1"/>
  <c r="AC101" i="1"/>
  <c r="AA101" i="1"/>
  <c r="Y101" i="1"/>
  <c r="W101" i="1"/>
  <c r="U101" i="1"/>
  <c r="S101" i="1"/>
  <c r="Q101" i="1"/>
  <c r="O101" i="1"/>
  <c r="M101" i="1"/>
  <c r="K101" i="1"/>
  <c r="I101" i="1"/>
  <c r="G101" i="1"/>
  <c r="E101" i="1"/>
  <c r="C101" i="1"/>
  <c r="AE100" i="1"/>
  <c r="AC100" i="1"/>
  <c r="AA100" i="1"/>
  <c r="Y100" i="1"/>
  <c r="W100" i="1"/>
  <c r="U100" i="1"/>
  <c r="S100" i="1"/>
  <c r="Q100" i="1"/>
  <c r="O100" i="1"/>
  <c r="M100" i="1"/>
  <c r="K100" i="1"/>
  <c r="I100" i="1"/>
  <c r="G100" i="1"/>
  <c r="E100" i="1"/>
  <c r="C100" i="1"/>
  <c r="AE99" i="1"/>
  <c r="AC99" i="1"/>
  <c r="AA99" i="1"/>
  <c r="Y99" i="1"/>
  <c r="W99" i="1"/>
  <c r="U99" i="1"/>
  <c r="S99" i="1"/>
  <c r="Q99" i="1"/>
  <c r="O99" i="1"/>
  <c r="M99" i="1"/>
  <c r="K99" i="1"/>
  <c r="I99" i="1"/>
  <c r="G99" i="1"/>
  <c r="E99" i="1"/>
  <c r="C99" i="1"/>
  <c r="AE98" i="1"/>
  <c r="AC98" i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E97" i="1"/>
  <c r="AC97" i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E96" i="1"/>
  <c r="AC96" i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E95" i="1"/>
  <c r="AC95" i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E94" i="1"/>
  <c r="AC94" i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E93" i="1"/>
  <c r="AC93" i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E92" i="1"/>
  <c r="AC92" i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E91" i="1"/>
  <c r="AC91" i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E90" i="1"/>
  <c r="AC90" i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AE89" i="1"/>
  <c r="AC89" i="1"/>
  <c r="AA89" i="1"/>
  <c r="Y89" i="1"/>
  <c r="W89" i="1"/>
  <c r="U89" i="1"/>
  <c r="S89" i="1"/>
  <c r="Q89" i="1"/>
  <c r="O89" i="1"/>
  <c r="M89" i="1"/>
  <c r="K89" i="1"/>
  <c r="I89" i="1"/>
  <c r="G89" i="1"/>
  <c r="E89" i="1"/>
  <c r="C89" i="1"/>
  <c r="AE88" i="1"/>
  <c r="AC88" i="1"/>
  <c r="AA88" i="1"/>
  <c r="Y88" i="1"/>
  <c r="W88" i="1"/>
  <c r="U88" i="1"/>
  <c r="S88" i="1"/>
  <c r="Q88" i="1"/>
  <c r="O88" i="1"/>
  <c r="M88" i="1"/>
  <c r="K88" i="1"/>
  <c r="I88" i="1"/>
  <c r="G88" i="1"/>
  <c r="E88" i="1"/>
  <c r="C88" i="1"/>
  <c r="AE87" i="1"/>
  <c r="AC87" i="1"/>
  <c r="AA87" i="1"/>
  <c r="Y87" i="1"/>
  <c r="W87" i="1"/>
  <c r="U87" i="1"/>
  <c r="S87" i="1"/>
  <c r="Q87" i="1"/>
  <c r="O87" i="1"/>
  <c r="M87" i="1"/>
  <c r="K87" i="1"/>
  <c r="I87" i="1"/>
  <c r="G87" i="1"/>
  <c r="E87" i="1"/>
  <c r="C87" i="1"/>
  <c r="AE86" i="1"/>
  <c r="AC86" i="1"/>
  <c r="AA86" i="1"/>
  <c r="Y86" i="1"/>
  <c r="W86" i="1"/>
  <c r="U86" i="1"/>
  <c r="S86" i="1"/>
  <c r="Q86" i="1"/>
  <c r="O86" i="1"/>
  <c r="M86" i="1"/>
  <c r="K86" i="1"/>
  <c r="I86" i="1"/>
  <c r="G86" i="1"/>
  <c r="E86" i="1"/>
  <c r="C86" i="1"/>
  <c r="AE85" i="1"/>
  <c r="AC85" i="1"/>
  <c r="AA85" i="1"/>
  <c r="Y85" i="1"/>
  <c r="W85" i="1"/>
  <c r="U85" i="1"/>
  <c r="S85" i="1"/>
  <c r="Q85" i="1"/>
  <c r="O85" i="1"/>
  <c r="M85" i="1"/>
  <c r="K85" i="1"/>
  <c r="I85" i="1"/>
  <c r="G85" i="1"/>
  <c r="E85" i="1"/>
  <c r="C85" i="1"/>
  <c r="AE84" i="1"/>
  <c r="AC84" i="1"/>
  <c r="AA84" i="1"/>
  <c r="Y84" i="1"/>
  <c r="W84" i="1"/>
  <c r="U84" i="1"/>
  <c r="S84" i="1"/>
  <c r="Q84" i="1"/>
  <c r="O84" i="1"/>
  <c r="M84" i="1"/>
  <c r="K84" i="1"/>
  <c r="I84" i="1"/>
  <c r="G84" i="1"/>
  <c r="E84" i="1"/>
  <c r="C84" i="1"/>
  <c r="AE83" i="1"/>
  <c r="AC83" i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E82" i="1"/>
  <c r="AC82" i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AE81" i="1"/>
  <c r="AC81" i="1"/>
  <c r="AA81" i="1"/>
  <c r="Y81" i="1"/>
  <c r="W81" i="1"/>
  <c r="U81" i="1"/>
  <c r="S81" i="1"/>
  <c r="Q81" i="1"/>
  <c r="O81" i="1"/>
  <c r="M81" i="1"/>
  <c r="K81" i="1"/>
  <c r="I81" i="1"/>
  <c r="G81" i="1"/>
  <c r="E81" i="1"/>
  <c r="C81" i="1"/>
  <c r="AE80" i="1"/>
  <c r="AC80" i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E79" i="1"/>
  <c r="AC79" i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E78" i="1"/>
  <c r="AC78" i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E77" i="1"/>
  <c r="AC77" i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E76" i="1"/>
  <c r="AC76" i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E75" i="1"/>
  <c r="AC75" i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E74" i="1"/>
  <c r="AC74" i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E73" i="1"/>
  <c r="AC73" i="1"/>
  <c r="AA73" i="1"/>
  <c r="Y73" i="1"/>
  <c r="W73" i="1"/>
  <c r="U73" i="1"/>
  <c r="S73" i="1"/>
  <c r="Q73" i="1"/>
  <c r="O73" i="1"/>
  <c r="M73" i="1"/>
  <c r="K73" i="1"/>
  <c r="I73" i="1"/>
  <c r="G73" i="1"/>
  <c r="E73" i="1"/>
  <c r="C73" i="1"/>
  <c r="AE72" i="1"/>
  <c r="AC72" i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E71" i="1"/>
  <c r="AC71" i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AE70" i="1"/>
  <c r="AC70" i="1"/>
  <c r="AA70" i="1"/>
  <c r="Y70" i="1"/>
  <c r="W70" i="1"/>
  <c r="U70" i="1"/>
  <c r="S70" i="1"/>
  <c r="Q70" i="1"/>
  <c r="O70" i="1"/>
  <c r="M70" i="1"/>
  <c r="K70" i="1"/>
  <c r="I70" i="1"/>
  <c r="G70" i="1"/>
  <c r="E70" i="1"/>
  <c r="C70" i="1"/>
  <c r="AE69" i="1"/>
  <c r="AC69" i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E68" i="1"/>
  <c r="AC68" i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E67" i="1"/>
  <c r="AC67" i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E66" i="1"/>
  <c r="AC66" i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E65" i="1"/>
  <c r="AC65" i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E64" i="1"/>
  <c r="AC64" i="1"/>
  <c r="AA64" i="1"/>
  <c r="Y64" i="1"/>
  <c r="W64" i="1"/>
  <c r="U64" i="1"/>
  <c r="S64" i="1"/>
  <c r="Q64" i="1"/>
  <c r="O64" i="1"/>
  <c r="M64" i="1"/>
  <c r="K64" i="1"/>
  <c r="I64" i="1"/>
  <c r="G64" i="1"/>
  <c r="E64" i="1"/>
  <c r="C64" i="1"/>
  <c r="AE63" i="1"/>
  <c r="AC63" i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AE62" i="1"/>
  <c r="AC62" i="1"/>
  <c r="AA62" i="1"/>
  <c r="Y62" i="1"/>
  <c r="W62" i="1"/>
  <c r="U62" i="1"/>
  <c r="S62" i="1"/>
  <c r="Q62" i="1"/>
  <c r="O62" i="1"/>
  <c r="M62" i="1"/>
  <c r="K62" i="1"/>
  <c r="I62" i="1"/>
  <c r="G62" i="1"/>
  <c r="E62" i="1"/>
  <c r="C62" i="1"/>
  <c r="AE61" i="1"/>
  <c r="AC61" i="1"/>
  <c r="AA61" i="1"/>
  <c r="Y61" i="1"/>
  <c r="W61" i="1"/>
  <c r="U61" i="1"/>
  <c r="S61" i="1"/>
  <c r="Q61" i="1"/>
  <c r="O61" i="1"/>
  <c r="M61" i="1"/>
  <c r="K61" i="1"/>
  <c r="I61" i="1"/>
  <c r="G61" i="1"/>
  <c r="E61" i="1"/>
  <c r="C61" i="1"/>
  <c r="AE60" i="1"/>
  <c r="AC60" i="1"/>
  <c r="AA60" i="1"/>
  <c r="Y60" i="1"/>
  <c r="W60" i="1"/>
  <c r="U60" i="1"/>
  <c r="S60" i="1"/>
  <c r="Q60" i="1"/>
  <c r="O60" i="1"/>
  <c r="M60" i="1"/>
  <c r="K60" i="1"/>
  <c r="I60" i="1"/>
  <c r="G60" i="1"/>
  <c r="E60" i="1"/>
  <c r="C60" i="1"/>
  <c r="AE59" i="1"/>
  <c r="AC59" i="1"/>
  <c r="AA59" i="1"/>
  <c r="Y59" i="1"/>
  <c r="W59" i="1"/>
  <c r="U59" i="1"/>
  <c r="S59" i="1"/>
  <c r="Q59" i="1"/>
  <c r="O59" i="1"/>
  <c r="M59" i="1"/>
  <c r="K59" i="1"/>
  <c r="I59" i="1"/>
  <c r="G59" i="1"/>
  <c r="E59" i="1"/>
  <c r="C59" i="1"/>
  <c r="AE58" i="1"/>
  <c r="AC58" i="1"/>
  <c r="AA58" i="1"/>
  <c r="Y58" i="1"/>
  <c r="W58" i="1"/>
  <c r="U58" i="1"/>
  <c r="S58" i="1"/>
  <c r="Q58" i="1"/>
  <c r="O58" i="1"/>
  <c r="M58" i="1"/>
  <c r="K58" i="1"/>
  <c r="I58" i="1"/>
  <c r="G58" i="1"/>
  <c r="E58" i="1"/>
  <c r="C58" i="1"/>
  <c r="AE57" i="1"/>
  <c r="AC57" i="1"/>
  <c r="AA57" i="1"/>
  <c r="Y57" i="1"/>
  <c r="W57" i="1"/>
  <c r="U57" i="1"/>
  <c r="S57" i="1"/>
  <c r="Q57" i="1"/>
  <c r="O57" i="1"/>
  <c r="M57" i="1"/>
  <c r="K57" i="1"/>
  <c r="I57" i="1"/>
  <c r="G57" i="1"/>
  <c r="E57" i="1"/>
  <c r="C57" i="1"/>
  <c r="AE56" i="1"/>
  <c r="AC56" i="1"/>
  <c r="AA56" i="1"/>
  <c r="Y56" i="1"/>
  <c r="W56" i="1"/>
  <c r="U56" i="1"/>
  <c r="S56" i="1"/>
  <c r="Q56" i="1"/>
  <c r="O56" i="1"/>
  <c r="M56" i="1"/>
  <c r="K56" i="1"/>
  <c r="I56" i="1"/>
  <c r="G56" i="1"/>
  <c r="E56" i="1"/>
  <c r="C56" i="1"/>
  <c r="AE55" i="1"/>
  <c r="AC55" i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E54" i="1"/>
  <c r="AC54" i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E53" i="1"/>
  <c r="AC53" i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AE52" i="1"/>
  <c r="AC52" i="1"/>
  <c r="AA52" i="1"/>
  <c r="Y52" i="1"/>
  <c r="W52" i="1"/>
  <c r="U52" i="1"/>
  <c r="S52" i="1"/>
  <c r="Q52" i="1"/>
  <c r="O52" i="1"/>
  <c r="M52" i="1"/>
  <c r="K52" i="1"/>
  <c r="I52" i="1"/>
  <c r="G52" i="1"/>
  <c r="E52" i="1"/>
  <c r="C52" i="1"/>
  <c r="AE51" i="1"/>
  <c r="AC51" i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E50" i="1"/>
  <c r="AC50" i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E49" i="1"/>
  <c r="AC49" i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E48" i="1"/>
  <c r="AC48" i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E47" i="1"/>
  <c r="AC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E46" i="1"/>
  <c r="AC46" i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AE45" i="1"/>
  <c r="AC45" i="1"/>
  <c r="AA45" i="1"/>
  <c r="Y45" i="1"/>
  <c r="W45" i="1"/>
  <c r="U45" i="1"/>
  <c r="S45" i="1"/>
  <c r="Q45" i="1"/>
  <c r="O45" i="1"/>
  <c r="M45" i="1"/>
  <c r="K45" i="1"/>
  <c r="I45" i="1"/>
  <c r="G45" i="1"/>
  <c r="E45" i="1"/>
  <c r="C45" i="1"/>
  <c r="AE44" i="1"/>
  <c r="AC44" i="1"/>
  <c r="AA44" i="1"/>
  <c r="Y44" i="1"/>
  <c r="W44" i="1"/>
  <c r="U44" i="1"/>
  <c r="S44" i="1"/>
  <c r="Q44" i="1"/>
  <c r="O44" i="1"/>
  <c r="M44" i="1"/>
  <c r="K44" i="1"/>
  <c r="I44" i="1"/>
  <c r="G44" i="1"/>
  <c r="E44" i="1"/>
  <c r="C44" i="1"/>
  <c r="AE43" i="1"/>
  <c r="AC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E42" i="1"/>
  <c r="AC42" i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E41" i="1"/>
  <c r="AC41" i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E40" i="1"/>
  <c r="AC40" i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E39" i="1"/>
  <c r="AC39" i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E38" i="1"/>
  <c r="AC38" i="1"/>
  <c r="AA38" i="1"/>
  <c r="Y38" i="1"/>
  <c r="W38" i="1"/>
  <c r="U38" i="1"/>
  <c r="S38" i="1"/>
  <c r="Q38" i="1"/>
  <c r="O38" i="1"/>
  <c r="M38" i="1"/>
  <c r="K38" i="1"/>
  <c r="I38" i="1"/>
  <c r="G38" i="1"/>
  <c r="E38" i="1"/>
  <c r="C38" i="1"/>
  <c r="AE37" i="1"/>
  <c r="AC37" i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AE36" i="1"/>
  <c r="AC36" i="1"/>
  <c r="AA36" i="1"/>
  <c r="Y36" i="1"/>
  <c r="W36" i="1"/>
  <c r="U36" i="1"/>
  <c r="S36" i="1"/>
  <c r="Q36" i="1"/>
  <c r="O36" i="1"/>
  <c r="M36" i="1"/>
  <c r="K36" i="1"/>
  <c r="I36" i="1"/>
  <c r="G36" i="1"/>
  <c r="E36" i="1"/>
  <c r="C36" i="1"/>
  <c r="AE35" i="1"/>
  <c r="AC35" i="1"/>
  <c r="AA35" i="1"/>
  <c r="Y35" i="1"/>
  <c r="W35" i="1"/>
  <c r="U35" i="1"/>
  <c r="S35" i="1"/>
  <c r="Q35" i="1"/>
  <c r="O35" i="1"/>
  <c r="M35" i="1"/>
  <c r="K35" i="1"/>
  <c r="I35" i="1"/>
  <c r="G35" i="1"/>
  <c r="E35" i="1"/>
  <c r="C35" i="1"/>
  <c r="AE34" i="1"/>
  <c r="AC34" i="1"/>
  <c r="AA34" i="1"/>
  <c r="Y34" i="1"/>
  <c r="W34" i="1"/>
  <c r="U34" i="1"/>
  <c r="S34" i="1"/>
  <c r="Q34" i="1"/>
  <c r="O34" i="1"/>
  <c r="M34" i="1"/>
  <c r="K34" i="1"/>
  <c r="I34" i="1"/>
  <c r="G34" i="1"/>
  <c r="E34" i="1"/>
  <c r="C34" i="1"/>
  <c r="AE33" i="1"/>
  <c r="AC33" i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E32" i="1"/>
  <c r="AC32" i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E31" i="1"/>
  <c r="AC31" i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E30" i="1"/>
  <c r="AC30" i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E29" i="1"/>
  <c r="AC29" i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AE28" i="1"/>
  <c r="AC28" i="1"/>
  <c r="AA28" i="1"/>
  <c r="Y28" i="1"/>
  <c r="W28" i="1"/>
  <c r="U28" i="1"/>
  <c r="S28" i="1"/>
  <c r="Q28" i="1"/>
  <c r="O28" i="1"/>
  <c r="M28" i="1"/>
  <c r="K28" i="1"/>
  <c r="I28" i="1"/>
  <c r="G28" i="1"/>
  <c r="E28" i="1"/>
  <c r="C28" i="1"/>
  <c r="AE27" i="1"/>
  <c r="AC27" i="1"/>
  <c r="AA27" i="1"/>
  <c r="Y27" i="1"/>
  <c r="W27" i="1"/>
  <c r="U27" i="1"/>
  <c r="S27" i="1"/>
  <c r="Q27" i="1"/>
  <c r="O27" i="1"/>
  <c r="M27" i="1"/>
  <c r="K27" i="1"/>
  <c r="I27" i="1"/>
  <c r="G27" i="1"/>
  <c r="E27" i="1"/>
  <c r="C27" i="1"/>
  <c r="AE26" i="1"/>
  <c r="AC26" i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E25" i="1"/>
  <c r="AC25" i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E24" i="1"/>
  <c r="AC24" i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E23" i="1"/>
  <c r="AC23" i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E22" i="1"/>
  <c r="AC22" i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E21" i="1"/>
  <c r="AC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E20" i="1"/>
  <c r="AC20" i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E19" i="1"/>
  <c r="AC19" i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E18" i="1"/>
  <c r="AC18" i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E17" i="1"/>
  <c r="AC17" i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E16" i="1"/>
  <c r="AC16" i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E15" i="1"/>
  <c r="AC15" i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E14" i="1"/>
  <c r="AC14" i="1"/>
  <c r="AA14" i="1"/>
  <c r="Y14" i="1"/>
  <c r="W14" i="1"/>
  <c r="U14" i="1"/>
  <c r="S14" i="1"/>
  <c r="Q14" i="1"/>
  <c r="O14" i="1"/>
  <c r="M14" i="1"/>
  <c r="K14" i="1"/>
  <c r="I14" i="1"/>
  <c r="G14" i="1"/>
  <c r="E14" i="1"/>
  <c r="C14" i="1"/>
  <c r="AE13" i="1"/>
  <c r="AC13" i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AE12" i="1"/>
  <c r="AC12" i="1"/>
  <c r="AA12" i="1"/>
  <c r="Y12" i="1"/>
  <c r="W12" i="1"/>
  <c r="U12" i="1"/>
  <c r="S12" i="1"/>
  <c r="Q12" i="1"/>
  <c r="O12" i="1"/>
  <c r="M12" i="1"/>
  <c r="K12" i="1"/>
  <c r="I12" i="1"/>
  <c r="G12" i="1"/>
  <c r="E12" i="1"/>
  <c r="C12" i="1"/>
  <c r="AE11" i="1"/>
  <c r="AC11" i="1"/>
  <c r="AA11" i="1"/>
  <c r="Y11" i="1"/>
  <c r="W11" i="1"/>
  <c r="U11" i="1"/>
  <c r="S11" i="1"/>
  <c r="Q11" i="1"/>
  <c r="O11" i="1"/>
  <c r="M11" i="1"/>
  <c r="K11" i="1"/>
  <c r="I11" i="1"/>
  <c r="G11" i="1"/>
  <c r="E11" i="1"/>
  <c r="C11" i="1"/>
  <c r="AE10" i="1"/>
  <c r="AC10" i="1"/>
  <c r="AA10" i="1"/>
  <c r="Y10" i="1"/>
  <c r="W10" i="1"/>
  <c r="U10" i="1"/>
  <c r="S10" i="1"/>
  <c r="Q10" i="1"/>
  <c r="O10" i="1"/>
  <c r="M10" i="1"/>
  <c r="K10" i="1"/>
  <c r="I10" i="1"/>
  <c r="G10" i="1"/>
  <c r="E10" i="1"/>
  <c r="C10" i="1"/>
  <c r="AE9" i="1"/>
  <c r="AC9" i="1"/>
  <c r="AA9" i="1"/>
  <c r="Y9" i="1"/>
  <c r="W9" i="1"/>
  <c r="U9" i="1"/>
  <c r="S9" i="1"/>
  <c r="Q9" i="1"/>
  <c r="O9" i="1"/>
  <c r="M9" i="1"/>
  <c r="K9" i="1"/>
  <c r="I9" i="1"/>
  <c r="G9" i="1"/>
  <c r="E9" i="1"/>
  <c r="C9" i="1"/>
  <c r="AE8" i="1"/>
  <c r="AC8" i="1"/>
  <c r="AA8" i="1"/>
  <c r="Y8" i="1"/>
  <c r="W8" i="1"/>
  <c r="W251" i="1" s="1"/>
  <c r="W253" i="1" s="1"/>
  <c r="U8" i="1"/>
  <c r="S8" i="1"/>
  <c r="Q8" i="1"/>
  <c r="O8" i="1"/>
  <c r="M8" i="1"/>
  <c r="K8" i="1"/>
  <c r="I8" i="1"/>
  <c r="G8" i="1"/>
  <c r="E8" i="1"/>
  <c r="C8" i="1"/>
  <c r="AE7" i="1"/>
  <c r="AC7" i="1"/>
  <c r="AA7" i="1"/>
  <c r="Y7" i="1"/>
  <c r="Y251" i="1" s="1"/>
  <c r="Y253" i="1" s="1"/>
  <c r="W7" i="1"/>
  <c r="U7" i="1"/>
  <c r="S7" i="1"/>
  <c r="Q7" i="1"/>
  <c r="O7" i="1"/>
  <c r="M7" i="1"/>
  <c r="K7" i="1"/>
  <c r="I7" i="1"/>
  <c r="G7" i="1"/>
  <c r="E7" i="1"/>
  <c r="C7" i="1"/>
  <c r="AE6" i="1"/>
  <c r="AC6" i="1"/>
  <c r="AA6" i="1"/>
  <c r="AA251" i="1" s="1"/>
  <c r="AA253" i="1" s="1"/>
  <c r="Y6" i="1"/>
  <c r="W6" i="1"/>
  <c r="U6" i="1"/>
  <c r="S6" i="1"/>
  <c r="Q6" i="1"/>
  <c r="O6" i="1"/>
  <c r="M6" i="1"/>
  <c r="K6" i="1"/>
  <c r="I6" i="1"/>
  <c r="G6" i="1"/>
  <c r="E6" i="1"/>
  <c r="C6" i="1"/>
  <c r="AE5" i="1"/>
  <c r="AC5" i="1"/>
  <c r="AA5" i="1"/>
  <c r="Y5" i="1"/>
  <c r="W5" i="1"/>
  <c r="U5" i="1"/>
  <c r="S5" i="1"/>
  <c r="Q5" i="1"/>
  <c r="O5" i="1"/>
  <c r="M5" i="1"/>
  <c r="K5" i="1"/>
  <c r="I5" i="1"/>
  <c r="G5" i="1"/>
  <c r="E5" i="1"/>
  <c r="C5" i="1"/>
  <c r="AE4" i="1"/>
  <c r="AC4" i="1"/>
  <c r="AA4" i="1"/>
  <c r="Y4" i="1"/>
  <c r="W4" i="1"/>
  <c r="U4" i="1"/>
  <c r="S4" i="1"/>
  <c r="Q4" i="1"/>
  <c r="O4" i="1"/>
  <c r="M4" i="1"/>
  <c r="K4" i="1"/>
  <c r="I4" i="1"/>
  <c r="G4" i="1"/>
  <c r="E4" i="1"/>
  <c r="C4" i="1"/>
  <c r="AE3" i="1"/>
  <c r="AE251" i="1" s="1"/>
  <c r="AE253" i="1" s="1"/>
  <c r="AC3" i="1"/>
  <c r="AC251" i="1" s="1"/>
  <c r="AC253" i="1" s="1"/>
  <c r="AA3" i="1"/>
  <c r="Y3" i="1"/>
  <c r="W3" i="1"/>
  <c r="U3" i="1"/>
  <c r="S3" i="1"/>
  <c r="S251" i="1" s="1"/>
  <c r="S253" i="1" s="1"/>
  <c r="Q3" i="1"/>
  <c r="O3" i="1"/>
  <c r="M3" i="1"/>
  <c r="M251" i="1" s="1"/>
  <c r="M253" i="1" s="1"/>
  <c r="K3" i="1"/>
  <c r="K251" i="1" s="1"/>
  <c r="K253" i="1" s="1"/>
  <c r="I3" i="1"/>
  <c r="I251" i="1" s="1"/>
  <c r="I253" i="1" s="1"/>
  <c r="G3" i="1"/>
  <c r="G251" i="1" s="1"/>
  <c r="G253" i="1" s="1"/>
  <c r="E3" i="1"/>
  <c r="E251" i="1" s="1"/>
  <c r="E253" i="1" s="1"/>
  <c r="C3" i="1"/>
  <c r="C251" i="1" s="1"/>
  <c r="C253" i="1" s="1"/>
  <c r="Q251" i="1" l="1"/>
  <c r="Q253" i="1" s="1"/>
  <c r="AM16" i="1"/>
  <c r="AO14" i="1"/>
  <c r="U251" i="1"/>
  <c r="U253" i="1" s="1"/>
  <c r="AP17" i="1"/>
  <c r="AH27" i="1" s="1"/>
  <c r="AH28" i="1" s="1"/>
  <c r="AP15" i="1"/>
  <c r="AO15" i="1"/>
  <c r="O251" i="1"/>
  <c r="O253" i="1" s="1"/>
  <c r="AJ5" i="1" s="1"/>
  <c r="AM5" i="1" s="1"/>
  <c r="AM15" i="1"/>
  <c r="AN15" i="1"/>
  <c r="AH23" i="1" s="1"/>
  <c r="AH24" i="1" s="1"/>
  <c r="N22" i="3"/>
  <c r="M24" i="3"/>
  <c r="N23" i="3"/>
  <c r="E249" i="3"/>
  <c r="E251" i="3" s="1"/>
  <c r="P22" i="3"/>
  <c r="N21" i="3"/>
  <c r="P23" i="3"/>
  <c r="O23" i="3"/>
  <c r="P24" i="3"/>
  <c r="O22" i="3"/>
  <c r="M22" i="3"/>
  <c r="W256" i="4"/>
  <c r="Q256" i="4"/>
  <c r="G256" i="4"/>
  <c r="S256" i="4"/>
  <c r="I256" i="4"/>
  <c r="Z8" i="4"/>
  <c r="AC8" i="4" s="1"/>
  <c r="O256" i="4"/>
  <c r="AG14" i="4"/>
  <c r="AA16" i="4" a="1"/>
  <c r="AA16" i="4" s="1"/>
  <c r="AA17" i="4" s="1"/>
  <c r="AA18" i="4" s="1"/>
  <c r="Z7" i="4"/>
  <c r="AC7" i="4" s="1"/>
  <c r="E256" i="4"/>
  <c r="Z6" i="4"/>
  <c r="AC6" i="4" s="1"/>
  <c r="C256" i="4"/>
  <c r="U256" i="4"/>
  <c r="Z9" i="4"/>
  <c r="AC9" i="4" s="1"/>
  <c r="AJ4" i="5"/>
  <c r="AM4" i="5" s="1"/>
  <c r="I256" i="8"/>
  <c r="W8" i="8"/>
  <c r="Z8" i="8" s="1"/>
  <c r="AJ5" i="5"/>
  <c r="AM5" i="5" s="1"/>
  <c r="AJ6" i="1"/>
  <c r="AM6" i="1" s="1"/>
  <c r="W9" i="8"/>
  <c r="Z9" i="8" s="1"/>
  <c r="AJ7" i="1"/>
  <c r="AM7" i="1" s="1"/>
  <c r="AL28" i="1"/>
  <c r="K7" i="3"/>
  <c r="N7" i="3" s="1"/>
  <c r="AL27" i="5"/>
  <c r="AM6" i="5"/>
  <c r="O256" i="8"/>
  <c r="AD14" i="8"/>
  <c r="AJ4" i="1"/>
  <c r="AM4" i="1" s="1"/>
  <c r="AH21" i="5"/>
  <c r="AH22" i="5" s="1"/>
  <c r="AL25" i="5" s="1"/>
  <c r="Z22" i="8"/>
  <c r="S253" i="8"/>
  <c r="S254" i="8" s="1"/>
  <c r="S255" i="8" s="1"/>
  <c r="S256" i="8" s="1"/>
  <c r="AO15" i="5"/>
  <c r="AP11" i="5" s="1" a="1"/>
  <c r="AP11" i="5" s="1"/>
  <c r="AP12" i="5" s="1"/>
  <c r="AM12" i="5" s="1"/>
  <c r="Y21" i="8"/>
  <c r="AA22" i="8"/>
  <c r="U253" i="8"/>
  <c r="U254" i="8" s="1"/>
  <c r="U255" i="8" s="1"/>
  <c r="U256" i="8" s="1"/>
  <c r="I253" i="3"/>
  <c r="I254" i="3" s="1"/>
  <c r="I255" i="3" s="1"/>
  <c r="Q249" i="8"/>
  <c r="Q251" i="8" s="1"/>
  <c r="Q256" i="8" s="1"/>
  <c r="Y23" i="8"/>
  <c r="AP14" i="5"/>
  <c r="AP14" i="1"/>
  <c r="AN15" i="5"/>
  <c r="AH23" i="5" s="1"/>
  <c r="AH24" i="5" s="1"/>
  <c r="AL26" i="5" s="1"/>
  <c r="AB23" i="8"/>
  <c r="G249" i="3"/>
  <c r="G251" i="3" s="1"/>
  <c r="C253" i="3"/>
  <c r="C254" i="3" s="1"/>
  <c r="C255" i="3" s="1"/>
  <c r="AP15" i="5"/>
  <c r="AM16" i="5"/>
  <c r="Z21" i="8"/>
  <c r="AB22" i="8"/>
  <c r="M21" i="3"/>
  <c r="AM14" i="1"/>
  <c r="AA24" i="8"/>
  <c r="Z23" i="8"/>
  <c r="E253" i="3"/>
  <c r="E254" i="3" s="1"/>
  <c r="E255" i="3" s="1"/>
  <c r="E256" i="3" s="1"/>
  <c r="AN16" i="1"/>
  <c r="S13" i="3"/>
  <c r="AB21" i="8"/>
  <c r="C249" i="8"/>
  <c r="C251" i="8" s="1"/>
  <c r="E249" i="8"/>
  <c r="E251" i="8" s="1"/>
  <c r="G249" i="8"/>
  <c r="G251" i="8" s="1"/>
  <c r="G256" i="8" s="1"/>
  <c r="O21" i="3"/>
  <c r="AB24" i="8"/>
  <c r="G253" i="3"/>
  <c r="G254" i="3" s="1"/>
  <c r="G255" i="3" s="1"/>
  <c r="AM17" i="5"/>
  <c r="AM17" i="1"/>
  <c r="N24" i="3"/>
  <c r="AN17" i="1"/>
  <c r="M23" i="3"/>
  <c r="O24" i="3"/>
  <c r="I249" i="3"/>
  <c r="I251" i="3" s="1"/>
  <c r="AO17" i="5"/>
  <c r="U251" i="5"/>
  <c r="U253" i="5" s="1"/>
  <c r="Z24" i="8"/>
  <c r="AN14" i="1"/>
  <c r="P21" i="3"/>
  <c r="C249" i="3"/>
  <c r="C251" i="3" s="1"/>
  <c r="AO16" i="1"/>
  <c r="AH25" i="1" s="1"/>
  <c r="AH26" i="1" s="1"/>
  <c r="AL27" i="1" s="1"/>
  <c r="AP16" i="5"/>
  <c r="AP16" i="1"/>
  <c r="AN17" i="5"/>
  <c r="AO17" i="1"/>
  <c r="K249" i="8"/>
  <c r="K251" i="8" s="1"/>
  <c r="K256" i="8" s="1"/>
  <c r="M249" i="8"/>
  <c r="M251" i="8" s="1"/>
  <c r="M256" i="8" s="1"/>
  <c r="AL26" i="1" l="1"/>
  <c r="AC11" i="4"/>
  <c r="AA19" i="4" s="1"/>
  <c r="AH21" i="1"/>
  <c r="AH22" i="1" s="1"/>
  <c r="AL25" i="1" s="1"/>
  <c r="AP11" i="1" a="1"/>
  <c r="AP11" i="1" s="1"/>
  <c r="AP12" i="1" s="1"/>
  <c r="AM12" i="1" s="1"/>
  <c r="L16" i="3" a="1"/>
  <c r="L16" i="3" s="1"/>
  <c r="L17" i="3" s="1"/>
  <c r="L18" i="3" s="1"/>
  <c r="AM9" i="1"/>
  <c r="I256" i="3"/>
  <c r="K9" i="3"/>
  <c r="N9" i="3" s="1"/>
  <c r="X16" i="8" a="1"/>
  <c r="X16" i="8" s="1"/>
  <c r="X17" i="8" s="1"/>
  <c r="X18" i="8" s="1"/>
  <c r="K6" i="3"/>
  <c r="N6" i="3" s="1"/>
  <c r="C256" i="3"/>
  <c r="W7" i="8"/>
  <c r="Z7" i="8" s="1"/>
  <c r="E256" i="8"/>
  <c r="W6" i="8"/>
  <c r="Z6" i="8" s="1"/>
  <c r="Z11" i="8" s="1"/>
  <c r="X19" i="8" s="1"/>
  <c r="C256" i="8"/>
  <c r="G256" i="3"/>
  <c r="K8" i="3"/>
  <c r="N8" i="3" s="1"/>
  <c r="AJ7" i="5"/>
  <c r="AM7" i="5" s="1"/>
  <c r="AM9" i="5" s="1"/>
  <c r="AM20" i="5" s="1"/>
  <c r="AL28" i="5"/>
  <c r="R14" i="3"/>
  <c r="AM20" i="1" l="1"/>
  <c r="N11" i="3"/>
  <c r="L19" i="3" s="1"/>
</calcChain>
</file>

<file path=xl/sharedStrings.xml><?xml version="1.0" encoding="utf-8"?>
<sst xmlns="http://schemas.openxmlformats.org/spreadsheetml/2006/main" count="237" uniqueCount="84">
  <si>
    <t>DATE</t>
  </si>
  <si>
    <t>INFOSYS</t>
  </si>
  <si>
    <t>RINFOSYS</t>
  </si>
  <si>
    <t>GRANULES</t>
  </si>
  <si>
    <t>RGRANULES</t>
  </si>
  <si>
    <t>MANKIND</t>
  </si>
  <si>
    <t>RMANKIND</t>
  </si>
  <si>
    <t>BHARAT DYN</t>
  </si>
  <si>
    <t>RBHARAT DYN</t>
  </si>
  <si>
    <t>TECH MAHINDRA</t>
  </si>
  <si>
    <t>R TECH MAHIN</t>
  </si>
  <si>
    <t>BAJAJ HLD</t>
  </si>
  <si>
    <t>R BAJAJ HLD</t>
  </si>
  <si>
    <t>DIXON</t>
  </si>
  <si>
    <t>RDIXON</t>
  </si>
  <si>
    <t>DIVIS LAB</t>
  </si>
  <si>
    <t>RDIVIS LAB</t>
  </si>
  <si>
    <t>HCL TECH</t>
  </si>
  <si>
    <t>RHCL TECH</t>
  </si>
  <si>
    <t>COFORGE</t>
  </si>
  <si>
    <t>RCOFORGE</t>
  </si>
  <si>
    <t>MPHASIS</t>
  </si>
  <si>
    <t>R MPHASIS</t>
  </si>
  <si>
    <t>TVS MOTOR</t>
  </si>
  <si>
    <t>R TVS MOTOR</t>
  </si>
  <si>
    <t>GODFREY</t>
  </si>
  <si>
    <t>R GODFREY</t>
  </si>
  <si>
    <t>MARICO</t>
  </si>
  <si>
    <t>HITACHI INDIA</t>
  </si>
  <si>
    <t>RETURN</t>
  </si>
  <si>
    <t>WEIGHTS</t>
  </si>
  <si>
    <t>WEIGHTED RETURN</t>
  </si>
  <si>
    <t>rf</t>
  </si>
  <si>
    <t>VARIANCE</t>
  </si>
  <si>
    <t>ANNUAL STANDARD DEVIATION</t>
  </si>
  <si>
    <t>STANDARD DEVIATION</t>
  </si>
  <si>
    <t>DIVIS</t>
  </si>
  <si>
    <t>M</t>
  </si>
  <si>
    <t>O</t>
  </si>
  <si>
    <t>Q</t>
  </si>
  <si>
    <t>U</t>
  </si>
  <si>
    <t>SHARPE RATIO</t>
  </si>
  <si>
    <t>SDM</t>
  </si>
  <si>
    <t>ASM</t>
  </si>
  <si>
    <t>SDO</t>
  </si>
  <si>
    <t>ADO</t>
  </si>
  <si>
    <t>SDQ</t>
  </si>
  <si>
    <t>SRM</t>
  </si>
  <si>
    <t>ADQ</t>
  </si>
  <si>
    <t>SRO</t>
  </si>
  <si>
    <t>SDU</t>
  </si>
  <si>
    <t>SRQ</t>
  </si>
  <si>
    <t>ADU</t>
  </si>
  <si>
    <t>SRU</t>
  </si>
  <si>
    <t>icici prud multi: 0P00005X02.BO</t>
  </si>
  <si>
    <t xml:space="preserve">r </t>
  </si>
  <si>
    <t>Motilal Oswal MidcapAdj Close_0P00012ALS.BO</t>
  </si>
  <si>
    <t>R MOTILAL</t>
  </si>
  <si>
    <t>Adj Close_0P0000XVJR.BO</t>
  </si>
  <si>
    <t>PARAG PARIKH LONG TERM EQUITY</t>
  </si>
  <si>
    <t>R PARAG</t>
  </si>
  <si>
    <t>R SBI</t>
  </si>
  <si>
    <t>Kotak Emerging Equity Dir Gr (0P0000XV5R.BO)</t>
  </si>
  <si>
    <t>r</t>
  </si>
  <si>
    <t>Adj Close_0P0000XVG3.BO</t>
  </si>
  <si>
    <t>MIRAE NIFTY 100</t>
  </si>
  <si>
    <t>R MIRAE NIFTY 100</t>
  </si>
  <si>
    <t>Adj Close_0P0001BA8J.BO</t>
  </si>
  <si>
    <t>Adj Close_0P0000YWL1.BO</t>
  </si>
  <si>
    <t>Parag Parikh Long Term Value Fund</t>
  </si>
  <si>
    <t>R</t>
  </si>
  <si>
    <t>W</t>
  </si>
  <si>
    <t>WR</t>
  </si>
  <si>
    <t>SR OF O</t>
  </si>
  <si>
    <t>PV</t>
  </si>
  <si>
    <t>PSD</t>
  </si>
  <si>
    <t>ASD</t>
  </si>
  <si>
    <t>SR</t>
  </si>
  <si>
    <t>C</t>
  </si>
  <si>
    <t>E</t>
  </si>
  <si>
    <t>I</t>
  </si>
  <si>
    <t>#ERROR!</t>
  </si>
  <si>
    <t>Adj Close_0P0001J6FU.BO</t>
  </si>
  <si>
    <t>bandhan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</si>
</sst>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-mmmm\-yyyy"/>
    <numFmt numFmtId="165" formatCode="dd\-mmm\-yyyy"/>
    <numFmt numFmtId="166" formatCode="d\-mmm\-yyyy"/>
    <numFmt numFmtId="167" formatCode="dd\-mmmm\-yyyy"/>
    <numFmt numFmtId="168" formatCode="d\-mmm\-yy"/>
    <numFmt numFmtId="169" formatCode="dd\-mmm\-yy"/>
    <numFmt numFmtId="170" formatCode="dd\-mmmm\-yy"/>
    <numFmt numFmtId="171" formatCode="d\-mmmm\-yy"/>
  </numFmts>
  <fonts count="17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Helvetica Neue"/>
    </font>
    <font>
      <sz val="8"/>
      <color theme="1"/>
      <name val="Helvetica Neue"/>
    </font>
    <font>
      <sz val="11"/>
      <color rgb="FF000000"/>
      <name val="&quot;Aptos Narrow&quot;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&quot;GT America&quot;"/>
    </font>
    <font>
      <sz val="10"/>
      <color rgb="FF000000"/>
      <name val="Arial"/>
      <family val="2"/>
    </font>
    <font>
      <sz val="8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GT America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medium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medium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medium">
        <color rgb="FF000000"/>
      </top>
      <bottom style="medium">
        <color rgb="FF000000"/>
      </bottom>
      <diagonal/>
    </border>
    <border>
      <left style="thin">
        <color rgb="FF9A9A9A"/>
      </left>
      <right style="thin">
        <color rgb="FF9A9A9A"/>
      </right>
      <top style="medium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medium">
        <color rgb="FF000000"/>
      </bottom>
      <diagonal/>
    </border>
    <border>
      <left style="thin">
        <color rgb="FF616161"/>
      </left>
      <right style="thin">
        <color rgb="FF616161"/>
      </right>
      <top/>
      <bottom style="thin">
        <color rgb="FF61616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616161"/>
      </left>
      <right style="medium">
        <color rgb="FF616161"/>
      </right>
      <top style="medium">
        <color rgb="FFCCCCCC"/>
      </top>
      <bottom style="medium">
        <color rgb="FF61616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164" fontId="4" fillId="0" borderId="1" xfId="0" applyNumberFormat="1" applyFont="1" applyBorder="1" applyAlignment="1">
      <alignment horizontal="right" vertical="top"/>
    </xf>
    <xf numFmtId="4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4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165" fontId="4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2" fillId="0" borderId="2" xfId="0" applyFont="1" applyBorder="1"/>
    <xf numFmtId="0" fontId="7" fillId="0" borderId="2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3" fillId="2" borderId="0" xfId="0" applyFont="1" applyFill="1"/>
    <xf numFmtId="0" fontId="9" fillId="0" borderId="0" xfId="0" applyFont="1"/>
    <xf numFmtId="0" fontId="9" fillId="0" borderId="0" xfId="0" applyFont="1" applyAlignment="1">
      <alignment horizontal="right"/>
    </xf>
    <xf numFmtId="167" fontId="4" fillId="0" borderId="1" xfId="0" applyNumberFormat="1" applyFont="1" applyBorder="1" applyAlignment="1">
      <alignment horizontal="right" vertical="top"/>
    </xf>
    <xf numFmtId="0" fontId="6" fillId="0" borderId="0" xfId="0" applyFont="1"/>
    <xf numFmtId="4" fontId="9" fillId="0" borderId="0" xfId="0" applyNumberFormat="1" applyFont="1"/>
    <xf numFmtId="168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71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top"/>
    </xf>
    <xf numFmtId="0" fontId="10" fillId="0" borderId="0" xfId="0" applyFont="1" applyAlignment="1">
      <alignment horizontal="right"/>
    </xf>
    <xf numFmtId="0" fontId="11" fillId="2" borderId="0" xfId="0" applyFont="1" applyFill="1"/>
    <xf numFmtId="0" fontId="9" fillId="0" borderId="9" xfId="0" applyFont="1" applyBorder="1" applyAlignment="1">
      <alignment horizontal="right" vertical="top"/>
    </xf>
    <xf numFmtId="0" fontId="12" fillId="0" borderId="9" xfId="0" applyFont="1" applyBorder="1" applyAlignment="1">
      <alignment horizontal="right" vertical="top"/>
    </xf>
    <xf numFmtId="0" fontId="0" fillId="0" borderId="3" xfId="0" applyBorder="1"/>
    <xf numFmtId="0" fontId="3" fillId="0" borderId="2" xfId="0" applyFont="1" applyBorder="1"/>
    <xf numFmtId="0" fontId="0" fillId="0" borderId="2" xfId="0" applyBorder="1" applyAlignment="1">
      <alignment horizontal="center"/>
    </xf>
    <xf numFmtId="0" fontId="13" fillId="0" borderId="3" xfId="0" applyFont="1" applyBorder="1"/>
    <xf numFmtId="0" fontId="0" fillId="0" borderId="5" xfId="0" applyBorder="1"/>
    <xf numFmtId="0" fontId="0" fillId="0" borderId="8" xfId="0" applyBorder="1"/>
    <xf numFmtId="164" fontId="9" fillId="0" borderId="0" xfId="0" applyNumberFormat="1" applyFont="1"/>
    <xf numFmtId="0" fontId="9" fillId="0" borderId="1" xfId="0" applyFont="1" applyBorder="1" applyAlignment="1">
      <alignment vertical="top"/>
    </xf>
    <xf numFmtId="0" fontId="12" fillId="0" borderId="0" xfId="0" applyFont="1"/>
    <xf numFmtId="0" fontId="9" fillId="0" borderId="9" xfId="0" applyFont="1" applyBorder="1" applyAlignment="1">
      <alignment vertical="top"/>
    </xf>
    <xf numFmtId="0" fontId="3" fillId="3" borderId="0" xfId="0" applyFont="1" applyFill="1"/>
    <xf numFmtId="0" fontId="14" fillId="0" borderId="0" xfId="0" applyFont="1" applyAlignment="1">
      <alignment horizontal="right"/>
    </xf>
    <xf numFmtId="0" fontId="14" fillId="0" borderId="0" xfId="0" applyFont="1"/>
    <xf numFmtId="0" fontId="14" fillId="0" borderId="2" xfId="0" applyFont="1" applyBorder="1"/>
    <xf numFmtId="0" fontId="9" fillId="2" borderId="0" xfId="0" applyFont="1" applyFill="1"/>
    <xf numFmtId="0" fontId="1" fillId="0" borderId="3" xfId="0" applyFont="1" applyBorder="1"/>
    <xf numFmtId="0" fontId="9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/>
    <xf numFmtId="0" fontId="1" fillId="0" borderId="8" xfId="0" applyFont="1" applyBorder="1"/>
    <xf numFmtId="0" fontId="9" fillId="3" borderId="0" xfId="0" applyFont="1" applyFill="1"/>
    <xf numFmtId="0" fontId="15" fillId="0" borderId="10" xfId="0" applyFont="1" applyBorder="1" applyAlignment="1">
      <alignment vertical="center"/>
    </xf>
    <xf numFmtId="0" fontId="15" fillId="0" borderId="10" xfId="0" applyFont="1" applyBorder="1" applyAlignment="1">
      <alignment horizontal="right" wrapText="1"/>
    </xf>
    <xf numFmtId="0" fontId="15" fillId="0" borderId="10" xfId="0" applyFont="1" applyBorder="1" applyAlignment="1">
      <alignment wrapText="1"/>
    </xf>
    <xf numFmtId="0" fontId="16" fillId="4" borderId="10" xfId="0" applyFont="1" applyFill="1" applyBorder="1" applyAlignment="1">
      <alignment vertical="center"/>
    </xf>
    <xf numFmtId="0" fontId="15" fillId="0" borderId="1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B5D04E-383E-494A-BECB-AE9402631CC2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565175165666543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01"/>
  <sheetViews>
    <sheetView topLeftCell="AD1" zoomScale="112" workbookViewId="0">
      <selection activeCell="AK9" sqref="AK9"/>
    </sheetView>
  </sheetViews>
  <sheetFormatPr defaultColWidth="12.6640625" defaultRowHeight="15.75" customHeight="1"/>
  <cols>
    <col min="3" max="3" width="16.77734375" customWidth="1"/>
    <col min="5" max="5" width="16.21875" customWidth="1"/>
    <col min="7" max="7" width="17.33203125" customWidth="1"/>
    <col min="9" max="9" width="17.77734375" customWidth="1"/>
    <col min="27" max="27" width="16.77734375" customWidth="1"/>
    <col min="29" max="29" width="16.88671875" customWidth="1"/>
    <col min="31" max="31" width="16.88671875" customWidth="1"/>
    <col min="38" max="38" width="21.77734375" customWidth="1"/>
    <col min="39" max="39" width="15.33203125" customWidth="1"/>
    <col min="41" max="41" width="20.109375" customWidth="1"/>
    <col min="42" max="42" width="16.77734375" customWidth="1"/>
  </cols>
  <sheetData>
    <row r="1" spans="1:4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7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D1" s="5" t="s">
        <v>28</v>
      </c>
    </row>
    <row r="2" spans="1:43">
      <c r="A2" s="6">
        <v>45443</v>
      </c>
      <c r="B2" s="7">
        <v>1406.9</v>
      </c>
      <c r="C2" s="4"/>
      <c r="D2" s="8">
        <v>418.5</v>
      </c>
      <c r="E2" s="4"/>
      <c r="F2" s="7">
        <v>2139.75</v>
      </c>
      <c r="G2" s="4"/>
      <c r="H2" s="7">
        <v>1557.35</v>
      </c>
      <c r="J2" s="7">
        <v>1228.45</v>
      </c>
      <c r="L2" s="7">
        <v>7953.4</v>
      </c>
      <c r="M2" s="9"/>
      <c r="N2" s="7">
        <v>1557.35</v>
      </c>
      <c r="P2" s="7">
        <v>4307.2</v>
      </c>
      <c r="R2" s="7">
        <v>1324.1</v>
      </c>
      <c r="T2" s="7">
        <v>4971</v>
      </c>
      <c r="V2" s="7">
        <v>2284.1</v>
      </c>
      <c r="X2" s="7">
        <v>2179.25</v>
      </c>
      <c r="Z2" s="7">
        <v>3882.1</v>
      </c>
      <c r="AB2" s="10">
        <v>595.54999999999995</v>
      </c>
      <c r="AD2" s="11">
        <v>10767.15</v>
      </c>
    </row>
    <row r="3" spans="1:43">
      <c r="A3" s="12">
        <v>45446</v>
      </c>
      <c r="B3" s="7">
        <v>1405.9</v>
      </c>
      <c r="C3" s="4">
        <f t="shared" ref="C3:C249" si="0">LN(B3/B2)</f>
        <v>-7.1103529730588558E-4</v>
      </c>
      <c r="D3" s="8">
        <v>441.1</v>
      </c>
      <c r="E3" s="4">
        <f t="shared" ref="E3:E249" si="1">LN(D3/D2)</f>
        <v>5.2594717181364041E-2</v>
      </c>
      <c r="F3" s="7">
        <v>2125.5</v>
      </c>
      <c r="G3" s="4">
        <f t="shared" ref="G3:G249" si="2">LN(F3/F2)</f>
        <v>-6.6819309628742465E-3</v>
      </c>
      <c r="H3" s="7">
        <v>1596.5</v>
      </c>
      <c r="I3" s="5">
        <f t="shared" ref="I3:I249" si="3">LN(H3/H2)</f>
        <v>2.4828074317355554E-2</v>
      </c>
      <c r="J3" s="7">
        <v>1245.3499999999999</v>
      </c>
      <c r="K3" s="5">
        <f t="shared" ref="K3:K249" si="4">LN(J3/J2)</f>
        <v>1.3663402796447911E-2</v>
      </c>
      <c r="L3" s="7">
        <v>8014.3</v>
      </c>
      <c r="M3" s="9">
        <f t="shared" ref="M3:M249" si="5">LN(L3/L2)</f>
        <v>7.6279358067403253E-3</v>
      </c>
      <c r="N3" s="7">
        <v>1596.5</v>
      </c>
      <c r="O3" s="5">
        <f t="shared" ref="O3:O249" si="6">LN(N3/N2)</f>
        <v>2.4828074317355554E-2</v>
      </c>
      <c r="P3" s="7">
        <v>4321.8999999999996</v>
      </c>
      <c r="Q3" s="5">
        <f t="shared" ref="Q3:Q249" si="7">LN(P3/P2)</f>
        <v>3.4070793524305794E-3</v>
      </c>
      <c r="R3" s="7">
        <v>1314.45</v>
      </c>
      <c r="S3" s="5">
        <f t="shared" ref="S3:S249" si="8">LN(R3/R2)</f>
        <v>-7.3146561757416939E-3</v>
      </c>
      <c r="T3" s="7">
        <v>5016.6000000000004</v>
      </c>
      <c r="U3" s="5">
        <f t="shared" ref="U3:U249" si="9">LN(T3/T2)</f>
        <v>9.1313862893947426E-3</v>
      </c>
      <c r="V3" s="7">
        <v>2289.9499999999998</v>
      </c>
      <c r="W3" s="5">
        <f t="shared" ref="W3:W249" si="10">LN(V3/V2)</f>
        <v>2.55790959419507E-3</v>
      </c>
      <c r="X3" s="7">
        <v>2250</v>
      </c>
      <c r="Y3" s="5">
        <f t="shared" ref="Y3:Y249" si="11">LN(X3/X2)</f>
        <v>3.1949435306780405E-2</v>
      </c>
      <c r="Z3" s="7">
        <v>3743.4</v>
      </c>
      <c r="AA3" s="5">
        <f t="shared" ref="AA3:AA249" si="12">LN(Z3/Z2)</f>
        <v>-3.638195496994711E-2</v>
      </c>
      <c r="AB3" s="10">
        <v>594.1</v>
      </c>
      <c r="AC3" s="5">
        <f t="shared" ref="AC3:AC249" si="13">LN(AB3/AB2)</f>
        <v>-2.4376929652140814E-3</v>
      </c>
      <c r="AD3" s="11">
        <v>11101.95</v>
      </c>
      <c r="AE3" s="5">
        <f t="shared" ref="AE3:AE249" si="14">LN(AD3/AD2)</f>
        <v>3.0620936371031166E-2</v>
      </c>
      <c r="AJ3" s="5" t="s">
        <v>29</v>
      </c>
      <c r="AK3" s="5" t="s">
        <v>30</v>
      </c>
      <c r="AM3" s="5" t="s">
        <v>31</v>
      </c>
    </row>
    <row r="4" spans="1:43">
      <c r="A4" s="12">
        <v>45447</v>
      </c>
      <c r="B4" s="7">
        <v>1393.65</v>
      </c>
      <c r="C4" s="4">
        <f t="shared" si="0"/>
        <v>-8.7514623304304987E-3</v>
      </c>
      <c r="D4" s="8">
        <v>412</v>
      </c>
      <c r="E4" s="4">
        <f t="shared" si="1"/>
        <v>-6.8248257761367684E-2</v>
      </c>
      <c r="F4" s="7">
        <v>2096.15</v>
      </c>
      <c r="G4" s="4">
        <f t="shared" si="2"/>
        <v>-1.3904740033060114E-2</v>
      </c>
      <c r="H4" s="7">
        <v>1436.85</v>
      </c>
      <c r="I4" s="5">
        <f t="shared" si="3"/>
        <v>-0.10536051565782641</v>
      </c>
      <c r="J4" s="7">
        <v>1239.3</v>
      </c>
      <c r="K4" s="5">
        <f t="shared" si="4"/>
        <v>-4.8699108178839228E-3</v>
      </c>
      <c r="L4" s="7">
        <v>7933.45</v>
      </c>
      <c r="M4" s="9">
        <f t="shared" si="5"/>
        <v>-1.0139448219401114E-2</v>
      </c>
      <c r="N4" s="7">
        <v>1436.85</v>
      </c>
      <c r="O4" s="5">
        <f t="shared" si="6"/>
        <v>-0.10536051565782641</v>
      </c>
      <c r="P4" s="7">
        <v>4324.1499999999996</v>
      </c>
      <c r="Q4" s="5">
        <f t="shared" si="7"/>
        <v>5.2046889638428034E-4</v>
      </c>
      <c r="R4" s="7">
        <v>1303.55</v>
      </c>
      <c r="S4" s="5">
        <f t="shared" si="8"/>
        <v>-8.3270152658661504E-3</v>
      </c>
      <c r="T4" s="7">
        <v>4966.95</v>
      </c>
      <c r="U4" s="5">
        <f t="shared" si="9"/>
        <v>-9.9464437658777893E-3</v>
      </c>
      <c r="V4" s="7">
        <v>2275.5</v>
      </c>
      <c r="W4" s="5">
        <f t="shared" si="10"/>
        <v>-6.330174792086642E-3</v>
      </c>
      <c r="X4" s="7">
        <v>2211.4499999999998</v>
      </c>
      <c r="Y4" s="5">
        <f t="shared" si="11"/>
        <v>-1.7281807234527501E-2</v>
      </c>
      <c r="Z4" s="7">
        <v>3549.95</v>
      </c>
      <c r="AA4" s="5">
        <f t="shared" si="12"/>
        <v>-5.3060770481564108E-2</v>
      </c>
      <c r="AB4" s="10">
        <v>614.54999999999995</v>
      </c>
      <c r="AC4" s="5">
        <f t="shared" si="13"/>
        <v>3.3842637299293953E-2</v>
      </c>
      <c r="AD4" s="11">
        <v>9800.35</v>
      </c>
      <c r="AE4" s="5">
        <f t="shared" si="14"/>
        <v>-0.12470266924029906</v>
      </c>
      <c r="AJ4" s="5">
        <f>M253</f>
        <v>0.70355444878533313</v>
      </c>
      <c r="AK4" s="5">
        <v>0.29338722242487331</v>
      </c>
      <c r="AM4" s="5">
        <f t="shared" ref="AM4:AM7" si="15">AK4*AJ4</f>
        <v>0.20641388555379167</v>
      </c>
    </row>
    <row r="5" spans="1:43">
      <c r="A5" s="12">
        <v>45448</v>
      </c>
      <c r="B5" s="7">
        <v>1430.1</v>
      </c>
      <c r="C5" s="4">
        <f t="shared" si="0"/>
        <v>2.5818167123458281E-2</v>
      </c>
      <c r="D5" s="8">
        <v>440.65</v>
      </c>
      <c r="E5" s="4">
        <f t="shared" si="1"/>
        <v>6.722756019614308E-2</v>
      </c>
      <c r="F5" s="7">
        <v>2155.8000000000002</v>
      </c>
      <c r="G5" s="4">
        <f t="shared" si="2"/>
        <v>2.8059555581743442E-2</v>
      </c>
      <c r="H5" s="7">
        <v>1305.25</v>
      </c>
      <c r="I5" s="5">
        <f t="shared" si="3"/>
        <v>-9.6058624206348628E-2</v>
      </c>
      <c r="J5" s="7">
        <v>1266.9000000000001</v>
      </c>
      <c r="K5" s="5">
        <f t="shared" si="4"/>
        <v>2.202626753717904E-2</v>
      </c>
      <c r="L5" s="7">
        <v>8048.9</v>
      </c>
      <c r="M5" s="9">
        <f t="shared" si="5"/>
        <v>1.4447438347287163E-2</v>
      </c>
      <c r="N5" s="7">
        <v>1305.25</v>
      </c>
      <c r="O5" s="5">
        <f t="shared" si="6"/>
        <v>-9.6058624206348628E-2</v>
      </c>
      <c r="P5" s="7">
        <v>4502.7</v>
      </c>
      <c r="Q5" s="5">
        <f t="shared" si="7"/>
        <v>4.0461627571209954E-2</v>
      </c>
      <c r="R5" s="7">
        <v>1343.7</v>
      </c>
      <c r="S5" s="5">
        <f t="shared" si="8"/>
        <v>3.0335690977260792E-2</v>
      </c>
      <c r="T5" s="7">
        <v>5129.1000000000004</v>
      </c>
      <c r="U5" s="5">
        <f t="shared" si="9"/>
        <v>3.2124235558983791E-2</v>
      </c>
      <c r="V5" s="7">
        <v>2362.1</v>
      </c>
      <c r="W5" s="5">
        <f t="shared" si="10"/>
        <v>3.7351245406965605E-2</v>
      </c>
      <c r="X5" s="7">
        <v>2351.8000000000002</v>
      </c>
      <c r="Y5" s="5">
        <f t="shared" si="11"/>
        <v>6.1532583425377124E-2</v>
      </c>
      <c r="Z5" s="7">
        <v>3661.15</v>
      </c>
      <c r="AA5" s="5">
        <f t="shared" si="12"/>
        <v>3.0843786829567635E-2</v>
      </c>
      <c r="AB5" s="10">
        <v>645.5</v>
      </c>
      <c r="AC5" s="5">
        <f t="shared" si="13"/>
        <v>4.9134917625707458E-2</v>
      </c>
      <c r="AD5" s="11">
        <v>10238.85</v>
      </c>
      <c r="AE5" s="5">
        <f t="shared" si="14"/>
        <v>4.3771209292717425E-2</v>
      </c>
      <c r="AJ5" s="5">
        <f>O253</f>
        <v>0.30078076153243183</v>
      </c>
      <c r="AK5" s="5">
        <v>3.001160642129393E-2</v>
      </c>
      <c r="AM5" s="5">
        <f t="shared" si="15"/>
        <v>9.0269138342084099E-3</v>
      </c>
    </row>
    <row r="6" spans="1:43">
      <c r="A6" s="12">
        <v>45449</v>
      </c>
      <c r="B6" s="7">
        <v>1472.25</v>
      </c>
      <c r="C6" s="4">
        <f t="shared" si="0"/>
        <v>2.9047470945790448E-2</v>
      </c>
      <c r="D6" s="8">
        <v>468.3</v>
      </c>
      <c r="E6" s="4">
        <f t="shared" si="1"/>
        <v>6.085820664382665E-2</v>
      </c>
      <c r="F6" s="7">
        <v>2156.3000000000002</v>
      </c>
      <c r="G6" s="4">
        <f t="shared" si="2"/>
        <v>2.3190556909191855E-4</v>
      </c>
      <c r="H6" s="7">
        <v>1368.8</v>
      </c>
      <c r="I6" s="5">
        <f t="shared" si="3"/>
        <v>4.7539850287321925E-2</v>
      </c>
      <c r="J6" s="7">
        <v>1317.45</v>
      </c>
      <c r="K6" s="5">
        <f t="shared" si="4"/>
        <v>3.9125078423228564E-2</v>
      </c>
      <c r="L6" s="7">
        <v>8130.3</v>
      </c>
      <c r="M6" s="9">
        <f t="shared" si="5"/>
        <v>1.006238711709226E-2</v>
      </c>
      <c r="N6" s="7">
        <v>1368.8</v>
      </c>
      <c r="O6" s="5">
        <f t="shared" si="6"/>
        <v>4.7539850287321925E-2</v>
      </c>
      <c r="P6" s="7">
        <v>4448.8999999999996</v>
      </c>
      <c r="Q6" s="5">
        <f t="shared" si="7"/>
        <v>-1.2020342238062502E-2</v>
      </c>
      <c r="R6" s="7">
        <v>1397.5</v>
      </c>
      <c r="S6" s="5">
        <f t="shared" si="8"/>
        <v>3.9257923147890006E-2</v>
      </c>
      <c r="T6" s="7">
        <v>5212.6499999999996</v>
      </c>
      <c r="U6" s="5">
        <f t="shared" si="9"/>
        <v>1.6158158494251538E-2</v>
      </c>
      <c r="V6" s="7">
        <v>2436.3000000000002</v>
      </c>
      <c r="W6" s="5">
        <f t="shared" si="10"/>
        <v>3.092944109281277E-2</v>
      </c>
      <c r="X6" s="7">
        <v>2398.1999999999998</v>
      </c>
      <c r="Y6" s="5">
        <f t="shared" si="11"/>
        <v>1.953746355601723E-2</v>
      </c>
      <c r="Z6" s="7">
        <v>3780</v>
      </c>
      <c r="AA6" s="5">
        <f t="shared" si="12"/>
        <v>3.1946703920834187E-2</v>
      </c>
      <c r="AB6" s="10">
        <v>637.85</v>
      </c>
      <c r="AC6" s="5">
        <f t="shared" si="13"/>
        <v>-1.1922064302398061E-2</v>
      </c>
      <c r="AD6" s="11">
        <v>10447.65</v>
      </c>
      <c r="AE6" s="5">
        <f t="shared" si="14"/>
        <v>2.0187764121441919E-2</v>
      </c>
      <c r="AJ6" s="5">
        <f>Q253</f>
        <v>0.54789395841034727</v>
      </c>
      <c r="AK6" s="5">
        <v>0.38183621223789305</v>
      </c>
      <c r="AM6" s="5">
        <f t="shared" si="15"/>
        <v>0.2092057537874327</v>
      </c>
    </row>
    <row r="7" spans="1:43">
      <c r="A7" s="12">
        <v>45450</v>
      </c>
      <c r="B7" s="7">
        <v>1533.6</v>
      </c>
      <c r="C7" s="4">
        <f t="shared" si="0"/>
        <v>4.0826069906754511E-2</v>
      </c>
      <c r="D7" s="8">
        <v>478.8</v>
      </c>
      <c r="E7" s="4">
        <f t="shared" si="1"/>
        <v>2.2173857494322075E-2</v>
      </c>
      <c r="F7" s="7">
        <v>2127.5</v>
      </c>
      <c r="G7" s="4">
        <f t="shared" si="2"/>
        <v>-1.3446208469090922E-2</v>
      </c>
      <c r="H7" s="7">
        <v>1430.95</v>
      </c>
      <c r="I7" s="5">
        <f t="shared" si="3"/>
        <v>4.4404115767051888E-2</v>
      </c>
      <c r="J7" s="7">
        <v>1377.6</v>
      </c>
      <c r="K7" s="5">
        <f t="shared" si="4"/>
        <v>4.4644804642230182E-2</v>
      </c>
      <c r="L7" s="7">
        <v>8377.6</v>
      </c>
      <c r="M7" s="9">
        <f t="shared" si="5"/>
        <v>2.9963654045467969E-2</v>
      </c>
      <c r="N7" s="7">
        <v>1430.95</v>
      </c>
      <c r="O7" s="5">
        <f t="shared" si="6"/>
        <v>4.4404115767051888E-2</v>
      </c>
      <c r="P7" s="7">
        <v>4524.05</v>
      </c>
      <c r="Q7" s="5">
        <f t="shared" si="7"/>
        <v>1.6750735748844781E-2</v>
      </c>
      <c r="R7" s="7">
        <v>1431.5</v>
      </c>
      <c r="S7" s="5">
        <f t="shared" si="8"/>
        <v>2.4037919508915411E-2</v>
      </c>
      <c r="T7" s="7">
        <v>5431.1</v>
      </c>
      <c r="U7" s="5">
        <f t="shared" si="9"/>
        <v>4.1053328009226231E-2</v>
      </c>
      <c r="V7" s="7">
        <v>2471.9499999999998</v>
      </c>
      <c r="W7" s="5">
        <f t="shared" si="10"/>
        <v>1.4526817879330441E-2</v>
      </c>
      <c r="X7" s="7">
        <v>2407.65</v>
      </c>
      <c r="Y7" s="5">
        <f t="shared" si="11"/>
        <v>3.9327120820038071E-3</v>
      </c>
      <c r="Z7" s="7">
        <v>3842.3</v>
      </c>
      <c r="AA7" s="5">
        <f t="shared" si="12"/>
        <v>1.6347135997523517E-2</v>
      </c>
      <c r="AB7" s="10">
        <v>653</v>
      </c>
      <c r="AC7" s="5">
        <f t="shared" si="13"/>
        <v>2.3473983292131885E-2</v>
      </c>
      <c r="AD7" s="11">
        <v>10488.6</v>
      </c>
      <c r="AE7" s="5">
        <f t="shared" si="14"/>
        <v>3.9118803243960026E-3</v>
      </c>
      <c r="AJ7" s="5">
        <f>U253</f>
        <v>0.73801076065510673</v>
      </c>
      <c r="AK7" s="5">
        <v>0.29476495891593973</v>
      </c>
      <c r="AM7" s="5">
        <f t="shared" si="15"/>
        <v>0.21753971154402396</v>
      </c>
    </row>
    <row r="8" spans="1:43">
      <c r="A8" s="13">
        <v>45453</v>
      </c>
      <c r="B8" s="7">
        <v>1499.75</v>
      </c>
      <c r="C8" s="4">
        <f t="shared" si="0"/>
        <v>-2.2319485198232198E-2</v>
      </c>
      <c r="D8" s="8">
        <v>473.35</v>
      </c>
      <c r="E8" s="4">
        <f t="shared" si="1"/>
        <v>-1.1447901108917864E-2</v>
      </c>
      <c r="F8" s="7">
        <v>2173.5500000000002</v>
      </c>
      <c r="G8" s="4">
        <f t="shared" si="2"/>
        <v>2.1414194087551557E-2</v>
      </c>
      <c r="H8" s="7">
        <v>1418.85</v>
      </c>
      <c r="I8" s="5">
        <f t="shared" si="3"/>
        <v>-8.4918750177464843E-3</v>
      </c>
      <c r="J8" s="7">
        <v>1340.35</v>
      </c>
      <c r="K8" s="5">
        <f t="shared" si="4"/>
        <v>-2.7412080803880585E-2</v>
      </c>
      <c r="L8" s="7">
        <v>8423.4</v>
      </c>
      <c r="M8" s="9">
        <f t="shared" si="5"/>
        <v>5.4520699304342734E-3</v>
      </c>
      <c r="N8" s="7">
        <v>1418.85</v>
      </c>
      <c r="O8" s="5">
        <f t="shared" si="6"/>
        <v>-8.4918750177464843E-3</v>
      </c>
      <c r="P8" s="7">
        <v>4536.25</v>
      </c>
      <c r="Q8" s="5">
        <f t="shared" si="7"/>
        <v>2.6930691861191095E-3</v>
      </c>
      <c r="R8" s="7">
        <v>1418.75</v>
      </c>
      <c r="S8" s="5">
        <f t="shared" si="8"/>
        <v>-8.9466433084568926E-3</v>
      </c>
      <c r="T8" s="7">
        <v>5220.1499999999996</v>
      </c>
      <c r="U8" s="5">
        <f t="shared" si="9"/>
        <v>-3.9615554584643137E-2</v>
      </c>
      <c r="V8" s="7">
        <v>2394.6</v>
      </c>
      <c r="W8" s="5">
        <f t="shared" si="10"/>
        <v>-3.1791110553062142E-2</v>
      </c>
      <c r="X8" s="7">
        <v>2436.85</v>
      </c>
      <c r="Y8" s="5">
        <f t="shared" si="11"/>
        <v>1.2055053616121213E-2</v>
      </c>
      <c r="Z8" s="7">
        <v>3897.65</v>
      </c>
      <c r="AA8" s="5">
        <f t="shared" si="12"/>
        <v>1.4302661789308054E-2</v>
      </c>
      <c r="AB8" s="10">
        <v>651.65</v>
      </c>
      <c r="AC8" s="5">
        <f t="shared" si="13"/>
        <v>-2.069521299702269E-3</v>
      </c>
      <c r="AD8" s="11">
        <v>10477.700000000001</v>
      </c>
      <c r="AE8" s="5">
        <f t="shared" si="14"/>
        <v>-1.0397639051246031E-3</v>
      </c>
      <c r="AK8">
        <f>SUM(AK4:AK7)</f>
        <v>1</v>
      </c>
    </row>
    <row r="9" spans="1:43">
      <c r="A9" s="13">
        <v>45454</v>
      </c>
      <c r="B9" s="7">
        <v>1495.75</v>
      </c>
      <c r="C9" s="4">
        <f t="shared" si="0"/>
        <v>-2.6706742630613432E-3</v>
      </c>
      <c r="D9" s="8">
        <v>474.4</v>
      </c>
      <c r="E9" s="4">
        <f t="shared" si="1"/>
        <v>2.2157751086154861E-3</v>
      </c>
      <c r="F9" s="7">
        <v>2167</v>
      </c>
      <c r="G9" s="4">
        <f t="shared" si="2"/>
        <v>-3.0180529987217761E-3</v>
      </c>
      <c r="H9" s="7">
        <v>1422.7</v>
      </c>
      <c r="I9" s="5">
        <f t="shared" si="3"/>
        <v>2.7097903298322202E-3</v>
      </c>
      <c r="J9" s="7">
        <v>1349.45</v>
      </c>
      <c r="K9" s="5">
        <f t="shared" si="4"/>
        <v>6.7663281425368385E-3</v>
      </c>
      <c r="L9" s="7">
        <v>8382.4</v>
      </c>
      <c r="M9" s="9">
        <f t="shared" si="5"/>
        <v>-4.8792775520052302E-3</v>
      </c>
      <c r="N9" s="7">
        <v>1422.7</v>
      </c>
      <c r="O9" s="5">
        <f t="shared" si="6"/>
        <v>2.7097903298322202E-3</v>
      </c>
      <c r="P9" s="7">
        <v>4475.45</v>
      </c>
      <c r="Q9" s="5">
        <f t="shared" si="7"/>
        <v>-1.34937742147895E-2</v>
      </c>
      <c r="R9" s="7">
        <v>1428.8</v>
      </c>
      <c r="S9" s="5">
        <f t="shared" si="8"/>
        <v>7.0587288925218006E-3</v>
      </c>
      <c r="T9" s="7">
        <v>5175.8500000000004</v>
      </c>
      <c r="U9" s="5">
        <f t="shared" si="9"/>
        <v>-8.522560242461192E-3</v>
      </c>
      <c r="V9" s="7">
        <v>2391.9</v>
      </c>
      <c r="W9" s="5">
        <f t="shared" si="10"/>
        <v>-1.1281731061837203E-3</v>
      </c>
      <c r="X9" s="7">
        <v>2442.4499999999998</v>
      </c>
      <c r="Y9" s="5">
        <f t="shared" si="11"/>
        <v>2.2954122348812179E-3</v>
      </c>
      <c r="Z9" s="7">
        <v>3876.05</v>
      </c>
      <c r="AA9" s="5">
        <f t="shared" si="12"/>
        <v>-5.557213576210124E-3</v>
      </c>
      <c r="AB9" s="10">
        <v>647.29999999999995</v>
      </c>
      <c r="AC9" s="5">
        <f t="shared" si="13"/>
        <v>-6.6977424252642774E-3</v>
      </c>
      <c r="AD9" s="11">
        <v>10368</v>
      </c>
      <c r="AE9" s="5">
        <f t="shared" si="14"/>
        <v>-1.0525049548012736E-2</v>
      </c>
      <c r="AL9" s="5" t="s">
        <v>29</v>
      </c>
      <c r="AM9" s="5">
        <f>SUM(AM4:AM7)</f>
        <v>0.64218626471945672</v>
      </c>
    </row>
    <row r="10" spans="1:43">
      <c r="A10" s="13">
        <v>45455</v>
      </c>
      <c r="B10" s="7">
        <v>1485.2</v>
      </c>
      <c r="C10" s="4">
        <f t="shared" si="0"/>
        <v>-7.0783099672161141E-3</v>
      </c>
      <c r="D10" s="8">
        <v>472.1</v>
      </c>
      <c r="E10" s="4">
        <f t="shared" si="1"/>
        <v>-4.8600201312745802E-3</v>
      </c>
      <c r="F10" s="7">
        <v>2225.0500000000002</v>
      </c>
      <c r="G10" s="4">
        <f t="shared" si="2"/>
        <v>2.6435664721604343E-2</v>
      </c>
      <c r="H10" s="7">
        <v>1421.35</v>
      </c>
      <c r="I10" s="5">
        <f t="shared" si="3"/>
        <v>-9.4935046950133013E-4</v>
      </c>
      <c r="J10" s="7">
        <v>1370.6</v>
      </c>
      <c r="K10" s="5">
        <f t="shared" si="4"/>
        <v>1.5551498139600684E-2</v>
      </c>
      <c r="L10" s="7">
        <v>8350.75</v>
      </c>
      <c r="M10" s="9">
        <f t="shared" si="5"/>
        <v>-3.7829144833795752E-3</v>
      </c>
      <c r="N10" s="7">
        <v>1421.35</v>
      </c>
      <c r="O10" s="5">
        <f t="shared" si="6"/>
        <v>-9.4935046950133013E-4</v>
      </c>
      <c r="P10" s="7">
        <v>4452.3500000000004</v>
      </c>
      <c r="Q10" s="5">
        <f t="shared" si="7"/>
        <v>-5.1748586549572075E-3</v>
      </c>
      <c r="R10" s="7">
        <v>1438.75</v>
      </c>
      <c r="S10" s="5">
        <f t="shared" si="8"/>
        <v>6.939749913857771E-3</v>
      </c>
      <c r="T10" s="7">
        <v>5179.2</v>
      </c>
      <c r="U10" s="5">
        <f t="shared" si="9"/>
        <v>6.4702731843329568E-4</v>
      </c>
      <c r="V10" s="7">
        <v>2397.9499999999998</v>
      </c>
      <c r="W10" s="5">
        <f t="shared" si="10"/>
        <v>2.5261764845969227E-3</v>
      </c>
      <c r="X10" s="7">
        <v>2420.5</v>
      </c>
      <c r="Y10" s="5">
        <f t="shared" si="11"/>
        <v>-9.0275034985898561E-3</v>
      </c>
      <c r="Z10" s="7">
        <v>3878.9</v>
      </c>
      <c r="AA10" s="5">
        <f t="shared" si="12"/>
        <v>7.350144432417226E-4</v>
      </c>
      <c r="AB10" s="10">
        <v>629.5</v>
      </c>
      <c r="AC10" s="5">
        <f t="shared" si="13"/>
        <v>-2.7884012067062616E-2</v>
      </c>
      <c r="AD10" s="11">
        <v>10489.3</v>
      </c>
      <c r="AE10" s="5">
        <f t="shared" si="14"/>
        <v>1.1631550352470344E-2</v>
      </c>
    </row>
    <row r="11" spans="1:43">
      <c r="A11" s="13">
        <v>45456</v>
      </c>
      <c r="B11" s="7">
        <v>1493.95</v>
      </c>
      <c r="C11" s="4">
        <f t="shared" si="0"/>
        <v>5.8741756276564396E-3</v>
      </c>
      <c r="D11" s="8">
        <v>462.45</v>
      </c>
      <c r="E11" s="4">
        <f t="shared" si="1"/>
        <v>-2.0652384551972099E-2</v>
      </c>
      <c r="F11" s="7">
        <v>2240.1999999999998</v>
      </c>
      <c r="G11" s="4">
        <f t="shared" si="2"/>
        <v>6.7857603196756055E-3</v>
      </c>
      <c r="H11" s="7">
        <v>1491.1</v>
      </c>
      <c r="I11" s="5">
        <f t="shared" si="3"/>
        <v>4.7906978409241671E-2</v>
      </c>
      <c r="J11" s="7">
        <v>1388.95</v>
      </c>
      <c r="K11" s="5">
        <f t="shared" si="4"/>
        <v>1.3299465834478219E-2</v>
      </c>
      <c r="L11" s="7">
        <v>8253.4500000000007</v>
      </c>
      <c r="M11" s="9">
        <f t="shared" si="5"/>
        <v>-1.1720060437314552E-2</v>
      </c>
      <c r="N11" s="7">
        <v>1491.1</v>
      </c>
      <c r="O11" s="5">
        <f t="shared" si="6"/>
        <v>4.7906978409241671E-2</v>
      </c>
      <c r="P11" s="7">
        <v>4593.5</v>
      </c>
      <c r="Q11" s="5">
        <f t="shared" si="7"/>
        <v>3.1210214053987873E-2</v>
      </c>
      <c r="R11" s="7">
        <v>1444.15</v>
      </c>
      <c r="S11" s="5">
        <f t="shared" si="8"/>
        <v>3.7462321380647722E-3</v>
      </c>
      <c r="T11" s="7">
        <v>5273.25</v>
      </c>
      <c r="U11" s="5">
        <f t="shared" si="9"/>
        <v>1.7996266575400526E-2</v>
      </c>
      <c r="V11" s="7">
        <v>2456.5</v>
      </c>
      <c r="W11" s="5">
        <f t="shared" si="10"/>
        <v>2.4123366947546507E-2</v>
      </c>
      <c r="X11" s="7">
        <v>2441.65</v>
      </c>
      <c r="Y11" s="5">
        <f t="shared" si="11"/>
        <v>8.6999098755458897E-3</v>
      </c>
      <c r="Z11" s="7">
        <v>3859.7</v>
      </c>
      <c r="AA11" s="5">
        <f t="shared" si="12"/>
        <v>-4.9621480362455677E-3</v>
      </c>
      <c r="AB11" s="10">
        <v>611.25</v>
      </c>
      <c r="AC11" s="5">
        <f t="shared" si="13"/>
        <v>-2.9419812695320076E-2</v>
      </c>
      <c r="AD11" s="11">
        <v>10830.85</v>
      </c>
      <c r="AE11" s="5">
        <f t="shared" si="14"/>
        <v>3.2042853658573608E-2</v>
      </c>
      <c r="AL11" s="5" t="s">
        <v>32</v>
      </c>
      <c r="AM11" s="5">
        <v>5.5E-2</v>
      </c>
      <c r="AO11" s="5" t="s">
        <v>33</v>
      </c>
      <c r="AP11" s="5">
        <f t="array" ref="AP11">MMULT(TRANSPOSE(AK4:AK7), MMULT(AM14:AP17,AK4:AK7))</f>
        <v>2.1212644520803914E-4</v>
      </c>
    </row>
    <row r="12" spans="1:43">
      <c r="A12" s="13">
        <v>45457</v>
      </c>
      <c r="B12" s="7">
        <v>1488.9</v>
      </c>
      <c r="C12" s="4">
        <f t="shared" si="0"/>
        <v>-3.3860266690765666E-3</v>
      </c>
      <c r="D12" s="8">
        <v>461.75</v>
      </c>
      <c r="E12" s="4">
        <f t="shared" si="1"/>
        <v>-1.514823920919727E-3</v>
      </c>
      <c r="F12" s="7">
        <v>2240.6</v>
      </c>
      <c r="G12" s="4">
        <f t="shared" si="2"/>
        <v>1.7853954698384469E-4</v>
      </c>
      <c r="H12" s="7">
        <v>1582.8</v>
      </c>
      <c r="I12" s="5">
        <f t="shared" si="3"/>
        <v>5.9681327914407549E-2</v>
      </c>
      <c r="J12" s="7">
        <v>1371.45</v>
      </c>
      <c r="K12" s="5">
        <f t="shared" si="4"/>
        <v>-1.267949170765624E-2</v>
      </c>
      <c r="L12" s="7">
        <v>8302.85</v>
      </c>
      <c r="M12" s="9">
        <f t="shared" si="5"/>
        <v>5.9675346062177522E-3</v>
      </c>
      <c r="N12" s="7">
        <v>1582.8</v>
      </c>
      <c r="O12" s="5">
        <f t="shared" si="6"/>
        <v>5.9681327914407549E-2</v>
      </c>
      <c r="P12" s="7">
        <v>4588.6000000000004</v>
      </c>
      <c r="Q12" s="5">
        <f t="shared" si="7"/>
        <v>-1.0672940754596555E-3</v>
      </c>
      <c r="R12" s="7">
        <v>1431.05</v>
      </c>
      <c r="S12" s="5">
        <f t="shared" si="8"/>
        <v>-9.1124726271365093E-3</v>
      </c>
      <c r="T12" s="7">
        <v>5201.75</v>
      </c>
      <c r="U12" s="5">
        <f t="shared" si="9"/>
        <v>-1.3651763332689231E-2</v>
      </c>
      <c r="V12" s="7">
        <v>2408.85</v>
      </c>
      <c r="W12" s="5">
        <f t="shared" si="10"/>
        <v>-1.9588117433093299E-2</v>
      </c>
      <c r="X12" s="7">
        <v>2503.85</v>
      </c>
      <c r="Y12" s="5">
        <f t="shared" si="11"/>
        <v>2.5155507017014102E-2</v>
      </c>
      <c r="Z12" s="7">
        <v>4093.35</v>
      </c>
      <c r="AA12" s="5">
        <f t="shared" si="12"/>
        <v>5.8774245454721541E-2</v>
      </c>
      <c r="AB12" s="10">
        <v>619.35</v>
      </c>
      <c r="AC12" s="5">
        <f t="shared" si="13"/>
        <v>1.3164500211127207E-2</v>
      </c>
      <c r="AD12" s="11">
        <v>11089.9</v>
      </c>
      <c r="AE12" s="5">
        <f t="shared" si="14"/>
        <v>2.3636240568106457E-2</v>
      </c>
      <c r="AL12" s="5" t="s">
        <v>34</v>
      </c>
      <c r="AM12" s="5">
        <f>SQRT(252)* AP12</f>
        <v>0.23120524257123987</v>
      </c>
      <c r="AO12" s="5" t="s">
        <v>35</v>
      </c>
      <c r="AP12" s="5">
        <f>SQRT(AP11)</f>
        <v>1.4564561277568203E-2</v>
      </c>
    </row>
    <row r="13" spans="1:43" ht="15.75" customHeight="1">
      <c r="A13" s="13">
        <v>45461</v>
      </c>
      <c r="B13" s="7">
        <v>1498.2</v>
      </c>
      <c r="C13" s="4">
        <f t="shared" si="0"/>
        <v>6.22679525227762E-3</v>
      </c>
      <c r="D13" s="8">
        <v>474</v>
      </c>
      <c r="E13" s="4">
        <f t="shared" si="1"/>
        <v>2.6183702615727226E-2</v>
      </c>
      <c r="F13" s="7">
        <v>2243.9499999999998</v>
      </c>
      <c r="G13" s="4">
        <f t="shared" si="2"/>
        <v>1.4940186297958599E-3</v>
      </c>
      <c r="H13" s="7">
        <v>1627.3</v>
      </c>
      <c r="I13" s="5">
        <f t="shared" si="3"/>
        <v>2.7726769155299459E-2</v>
      </c>
      <c r="J13" s="7">
        <v>1371.35</v>
      </c>
      <c r="K13" s="5">
        <f t="shared" si="4"/>
        <v>-7.2918185827956046E-5</v>
      </c>
      <c r="L13" s="7">
        <v>8283.6</v>
      </c>
      <c r="M13" s="9">
        <f t="shared" si="5"/>
        <v>-2.3211728420485327E-3</v>
      </c>
      <c r="N13" s="7">
        <v>1627.3</v>
      </c>
      <c r="O13" s="5">
        <f t="shared" si="6"/>
        <v>2.7726769155299459E-2</v>
      </c>
      <c r="P13" s="7">
        <v>4564.5</v>
      </c>
      <c r="Q13" s="5">
        <f t="shared" si="7"/>
        <v>-5.2659876309260681E-3</v>
      </c>
      <c r="R13" s="7">
        <v>1437.2</v>
      </c>
      <c r="S13" s="5">
        <f t="shared" si="8"/>
        <v>4.2883356923430925E-3</v>
      </c>
      <c r="T13" s="7">
        <v>5273.1</v>
      </c>
      <c r="U13" s="5">
        <f t="shared" si="9"/>
        <v>1.3623317472271169E-2</v>
      </c>
      <c r="V13" s="7">
        <v>2417.35</v>
      </c>
      <c r="W13" s="5">
        <f t="shared" si="10"/>
        <v>3.5224436570061449E-3</v>
      </c>
      <c r="X13" s="7">
        <v>2471.15</v>
      </c>
      <c r="Y13" s="5">
        <f t="shared" si="11"/>
        <v>-1.3145917957769452E-2</v>
      </c>
      <c r="Z13" s="7">
        <v>4246.45</v>
      </c>
      <c r="AA13" s="5">
        <f t="shared" si="12"/>
        <v>3.6719634062323807E-2</v>
      </c>
      <c r="AB13" s="10">
        <v>623.5</v>
      </c>
      <c r="AC13" s="5">
        <f t="shared" si="13"/>
        <v>6.6782241198821476E-3</v>
      </c>
      <c r="AD13" s="11">
        <v>11351.5</v>
      </c>
      <c r="AE13" s="5">
        <f t="shared" si="14"/>
        <v>2.331510959647368E-2</v>
      </c>
      <c r="AK13" s="4"/>
      <c r="AL13" s="14"/>
      <c r="AM13" s="15" t="s">
        <v>11</v>
      </c>
      <c r="AN13" s="15" t="s">
        <v>13</v>
      </c>
      <c r="AO13" s="15" t="s">
        <v>36</v>
      </c>
      <c r="AP13" s="15" t="s">
        <v>19</v>
      </c>
      <c r="AQ13" s="4"/>
    </row>
    <row r="14" spans="1:43" ht="15.75" customHeight="1">
      <c r="A14" s="13">
        <v>45462</v>
      </c>
      <c r="B14" s="7">
        <v>1511.35</v>
      </c>
      <c r="C14" s="4">
        <f t="shared" si="0"/>
        <v>8.7389036148073067E-3</v>
      </c>
      <c r="D14" s="8">
        <v>468.9</v>
      </c>
      <c r="E14" s="4">
        <f t="shared" si="1"/>
        <v>-1.0817795599535936E-2</v>
      </c>
      <c r="F14" s="7">
        <v>2213.25</v>
      </c>
      <c r="G14" s="4">
        <f t="shared" si="2"/>
        <v>-1.3775682263260222E-2</v>
      </c>
      <c r="H14" s="7">
        <v>1563.85</v>
      </c>
      <c r="I14" s="5">
        <f t="shared" si="3"/>
        <v>-3.9771470089160502E-2</v>
      </c>
      <c r="J14" s="7">
        <v>1381.15</v>
      </c>
      <c r="K14" s="5">
        <f t="shared" si="4"/>
        <v>7.1208293624249212E-3</v>
      </c>
      <c r="L14" s="7">
        <v>8199.7000000000007</v>
      </c>
      <c r="M14" s="9">
        <f t="shared" si="5"/>
        <v>-1.0180088280200141E-2</v>
      </c>
      <c r="N14" s="7">
        <v>1563.85</v>
      </c>
      <c r="O14" s="5">
        <f t="shared" si="6"/>
        <v>-3.9771470089160502E-2</v>
      </c>
      <c r="P14" s="7">
        <v>4479.7</v>
      </c>
      <c r="Q14" s="5">
        <f t="shared" si="7"/>
        <v>-1.8752899124026799E-2</v>
      </c>
      <c r="R14" s="7">
        <v>1445.85</v>
      </c>
      <c r="S14" s="5">
        <f t="shared" si="8"/>
        <v>6.0006076587230724E-3</v>
      </c>
      <c r="T14" s="7">
        <v>5395.15</v>
      </c>
      <c r="U14" s="5">
        <f t="shared" si="9"/>
        <v>2.2881976940541206E-2</v>
      </c>
      <c r="V14" s="7">
        <v>2411.4</v>
      </c>
      <c r="W14" s="5">
        <f t="shared" si="10"/>
        <v>-2.4644071494052565E-3</v>
      </c>
      <c r="X14" s="7">
        <v>2437.75</v>
      </c>
      <c r="Y14" s="5">
        <f t="shared" si="11"/>
        <v>-1.3608146599311101E-2</v>
      </c>
      <c r="Z14" s="7">
        <v>4187.7</v>
      </c>
      <c r="AA14" s="5">
        <f t="shared" si="12"/>
        <v>-1.3931682561473839E-2</v>
      </c>
      <c r="AB14" s="10">
        <v>622.45000000000005</v>
      </c>
      <c r="AC14" s="5">
        <f t="shared" si="13"/>
        <v>-1.6854612922960702E-3</v>
      </c>
      <c r="AD14" s="11">
        <v>11375.75</v>
      </c>
      <c r="AE14" s="5">
        <f t="shared" si="14"/>
        <v>2.1340029438503389E-3</v>
      </c>
      <c r="AK14" s="4" t="s">
        <v>37</v>
      </c>
      <c r="AL14" s="16" t="s">
        <v>11</v>
      </c>
      <c r="AM14" s="16">
        <f>VARP($M$3:$M$249)</f>
        <v>5.4847581336654988E-4</v>
      </c>
      <c r="AN14" s="16">
        <f>_xlfn.COVARIANCE.P(M3:M249,O3:O249)</f>
        <v>6.6026952224480955E-5</v>
      </c>
      <c r="AO14" s="16">
        <f>_xlfn.COVARIANCE.P(M3:M249,Q3:Q249)</f>
        <v>7.3621631745597369E-5</v>
      </c>
      <c r="AP14" s="17">
        <f>_xlfn.COVARIANCE.P(M3:M249,U3:U249)</f>
        <v>1.4487729543091952E-4</v>
      </c>
      <c r="AQ14" s="4"/>
    </row>
    <row r="15" spans="1:43" ht="15.75" customHeight="1">
      <c r="A15" s="13">
        <v>45463</v>
      </c>
      <c r="B15" s="7">
        <v>1515.4</v>
      </c>
      <c r="C15" s="4">
        <f t="shared" si="0"/>
        <v>2.6761393686833756E-3</v>
      </c>
      <c r="D15" s="8">
        <v>472.3</v>
      </c>
      <c r="E15" s="4">
        <f t="shared" si="1"/>
        <v>7.2248508065309381E-3</v>
      </c>
      <c r="F15" s="7">
        <v>2196.0500000000002</v>
      </c>
      <c r="G15" s="4">
        <f t="shared" si="2"/>
        <v>-7.8017314506297541E-3</v>
      </c>
      <c r="H15" s="7">
        <v>1569.55</v>
      </c>
      <c r="I15" s="5">
        <f t="shared" si="3"/>
        <v>3.6382244765561385E-3</v>
      </c>
      <c r="J15" s="7">
        <v>1393.1</v>
      </c>
      <c r="K15" s="5">
        <f t="shared" si="4"/>
        <v>8.6149942570368024E-3</v>
      </c>
      <c r="L15" s="7">
        <v>8245.7000000000007</v>
      </c>
      <c r="M15" s="9">
        <f t="shared" si="5"/>
        <v>5.5942841120306527E-3</v>
      </c>
      <c r="N15" s="7">
        <v>1569.55</v>
      </c>
      <c r="O15" s="5">
        <f t="shared" si="6"/>
        <v>3.6382244765561385E-3</v>
      </c>
      <c r="P15" s="7">
        <v>4504.05</v>
      </c>
      <c r="Q15" s="5">
        <f t="shared" si="7"/>
        <v>5.4209121201386498E-3</v>
      </c>
      <c r="R15" s="7">
        <v>1443.45</v>
      </c>
      <c r="S15" s="5">
        <f t="shared" si="8"/>
        <v>-1.6613024275672131E-3</v>
      </c>
      <c r="T15" s="7">
        <v>5315.95</v>
      </c>
      <c r="U15" s="5">
        <f t="shared" si="9"/>
        <v>-1.4788666606696669E-2</v>
      </c>
      <c r="V15" s="7">
        <v>2420.9499999999998</v>
      </c>
      <c r="W15" s="5">
        <f t="shared" si="10"/>
        <v>3.95253341869653E-3</v>
      </c>
      <c r="X15" s="7">
        <v>2427.9499999999998</v>
      </c>
      <c r="Y15" s="5">
        <f t="shared" si="11"/>
        <v>-4.0282028286048868E-3</v>
      </c>
      <c r="Z15" s="7">
        <v>4275.8</v>
      </c>
      <c r="AA15" s="5">
        <f t="shared" si="12"/>
        <v>2.081956217948551E-2</v>
      </c>
      <c r="AB15" s="10">
        <v>628.4</v>
      </c>
      <c r="AC15" s="5">
        <f t="shared" si="13"/>
        <v>9.5136025536710789E-3</v>
      </c>
      <c r="AD15" s="11">
        <v>10973.25</v>
      </c>
      <c r="AE15" s="5">
        <f t="shared" si="14"/>
        <v>-3.6023403785148921E-2</v>
      </c>
      <c r="AK15" s="4" t="s">
        <v>38</v>
      </c>
      <c r="AL15" s="18" t="s">
        <v>13</v>
      </c>
      <c r="AM15" s="18">
        <f>_xlfn.COVARIANCE.P(O3:O249,M3:M249)</f>
        <v>6.6026952224480955E-5</v>
      </c>
      <c r="AN15" s="18">
        <f>VARP($O$3:$O$249)</f>
        <v>9.6808598086028084E-4</v>
      </c>
      <c r="AO15" s="18">
        <f>_xlfn.COVARIANCE.P(O3:O249,Q3:Q249)</f>
        <v>1.1298162719445289E-4</v>
      </c>
      <c r="AP15" s="19">
        <f>_xlfn.COVARIANCE.P(O3:O249,U3:U249)</f>
        <v>1.2132548086029648E-4</v>
      </c>
      <c r="AQ15" s="4"/>
    </row>
    <row r="16" spans="1:43" ht="15.75" customHeight="1">
      <c r="A16" s="13">
        <v>45464</v>
      </c>
      <c r="B16" s="7">
        <v>1532.7</v>
      </c>
      <c r="C16" s="4">
        <f t="shared" si="0"/>
        <v>1.1351455507588986E-2</v>
      </c>
      <c r="D16" s="8">
        <v>490.65</v>
      </c>
      <c r="E16" s="4">
        <f t="shared" si="1"/>
        <v>3.8116665750431031E-2</v>
      </c>
      <c r="F16" s="7">
        <v>2166.35</v>
      </c>
      <c r="G16" s="4">
        <f t="shared" si="2"/>
        <v>-1.361656835257795E-2</v>
      </c>
      <c r="H16" s="7">
        <v>1530.45</v>
      </c>
      <c r="I16" s="5">
        <f t="shared" si="3"/>
        <v>-2.5227144264540279E-2</v>
      </c>
      <c r="J16" s="7">
        <v>1399.8</v>
      </c>
      <c r="K16" s="5">
        <f t="shared" si="4"/>
        <v>4.7978895432600815E-3</v>
      </c>
      <c r="L16" s="7">
        <v>8226.65</v>
      </c>
      <c r="M16" s="9">
        <f t="shared" si="5"/>
        <v>-2.3129679120271751E-3</v>
      </c>
      <c r="N16" s="7">
        <v>1530.45</v>
      </c>
      <c r="O16" s="5">
        <f t="shared" si="6"/>
        <v>-2.5227144264540279E-2</v>
      </c>
      <c r="P16" s="7">
        <v>4522.1499999999996</v>
      </c>
      <c r="Q16" s="5">
        <f t="shared" si="7"/>
        <v>4.0105524497191358E-3</v>
      </c>
      <c r="R16" s="7">
        <v>1447.85</v>
      </c>
      <c r="S16" s="5">
        <f t="shared" si="8"/>
        <v>3.0436159489862381E-3</v>
      </c>
      <c r="T16" s="7">
        <v>5383.4</v>
      </c>
      <c r="U16" s="5">
        <f t="shared" si="9"/>
        <v>1.2608409586134708E-2</v>
      </c>
      <c r="V16" s="7">
        <v>2429.75</v>
      </c>
      <c r="W16" s="5">
        <f t="shared" si="10"/>
        <v>3.6283462816730765E-3</v>
      </c>
      <c r="X16" s="7">
        <v>2435.4</v>
      </c>
      <c r="Y16" s="5">
        <f t="shared" si="11"/>
        <v>3.0637341862836398E-3</v>
      </c>
      <c r="Z16" s="7">
        <v>4264.75</v>
      </c>
      <c r="AA16" s="5">
        <f t="shared" si="12"/>
        <v>-2.5876568056787453E-3</v>
      </c>
      <c r="AB16" s="10">
        <v>609.79999999999995</v>
      </c>
      <c r="AC16" s="5">
        <f t="shared" si="13"/>
        <v>-3.0045871827311749E-2</v>
      </c>
      <c r="AD16" s="11">
        <v>11109.15</v>
      </c>
      <c r="AE16" s="5">
        <f t="shared" si="14"/>
        <v>1.230860012966967E-2</v>
      </c>
      <c r="AK16" s="4" t="s">
        <v>39</v>
      </c>
      <c r="AL16" s="18" t="s">
        <v>36</v>
      </c>
      <c r="AM16" s="18">
        <f>_xlfn.COVARIANCE.P(Q3:Q249,M3:M249)</f>
        <v>7.3621631745597369E-5</v>
      </c>
      <c r="AN16" s="18">
        <f>_xlfn.COVARIANCE.P(Q3:Q249,O3:O249)</f>
        <v>1.1298162719445289E-4</v>
      </c>
      <c r="AO16" s="18">
        <f>VARP($Q$3:$Q$249)</f>
        <v>3.2322781377397506E-4</v>
      </c>
      <c r="AP16" s="20">
        <f>_xlfn.COVARIANCE.P(Q3:Q249,U3:U249)</f>
        <v>9.5912610867153952E-5</v>
      </c>
      <c r="AQ16" s="4"/>
    </row>
    <row r="17" spans="1:43" ht="15.75" customHeight="1">
      <c r="A17" s="13">
        <v>45467</v>
      </c>
      <c r="B17" s="7">
        <v>1527.15</v>
      </c>
      <c r="C17" s="4">
        <f t="shared" si="0"/>
        <v>-3.6276327835474864E-3</v>
      </c>
      <c r="D17" s="8">
        <v>487.6</v>
      </c>
      <c r="E17" s="4">
        <f t="shared" si="1"/>
        <v>-6.2356450453860974E-3</v>
      </c>
      <c r="F17" s="7">
        <v>2165</v>
      </c>
      <c r="G17" s="4">
        <f t="shared" si="2"/>
        <v>-6.2336225136053593E-4</v>
      </c>
      <c r="H17" s="7">
        <v>1553</v>
      </c>
      <c r="I17" s="5">
        <f t="shared" si="3"/>
        <v>1.4626734359263137E-2</v>
      </c>
      <c r="J17" s="7">
        <v>1401.7</v>
      </c>
      <c r="K17" s="5">
        <f t="shared" si="4"/>
        <v>1.3564164135728097E-3</v>
      </c>
      <c r="L17" s="7">
        <v>8724.7999999999993</v>
      </c>
      <c r="M17" s="9">
        <f t="shared" si="5"/>
        <v>5.8790660754563621E-2</v>
      </c>
      <c r="N17" s="7">
        <v>1553</v>
      </c>
      <c r="O17" s="5">
        <f t="shared" si="6"/>
        <v>1.4626734359263137E-2</v>
      </c>
      <c r="P17" s="7">
        <v>4519.55</v>
      </c>
      <c r="Q17" s="5">
        <f t="shared" si="7"/>
        <v>-5.7511310299241205E-4</v>
      </c>
      <c r="R17" s="7">
        <v>1440.85</v>
      </c>
      <c r="S17" s="5">
        <f t="shared" si="8"/>
        <v>-4.8464802170831538E-3</v>
      </c>
      <c r="T17" s="7">
        <v>5351.65</v>
      </c>
      <c r="U17" s="5">
        <f t="shared" si="9"/>
        <v>-5.9152202508989515E-3</v>
      </c>
      <c r="V17" s="7">
        <v>2394.1999999999998</v>
      </c>
      <c r="W17" s="5">
        <f t="shared" si="10"/>
        <v>-1.4739225566310559E-2</v>
      </c>
      <c r="X17" s="7">
        <v>2439.6999999999998</v>
      </c>
      <c r="Y17" s="5">
        <f t="shared" si="11"/>
        <v>1.7640668355965916E-3</v>
      </c>
      <c r="Z17" s="7">
        <v>4324.3500000000004</v>
      </c>
      <c r="AA17" s="5">
        <f t="shared" si="12"/>
        <v>1.3878277493483828E-2</v>
      </c>
      <c r="AB17" s="10">
        <v>623.04999999999995</v>
      </c>
      <c r="AC17" s="5">
        <f t="shared" si="13"/>
        <v>2.1495737834722112E-2</v>
      </c>
      <c r="AD17" s="11">
        <v>11605.35</v>
      </c>
      <c r="AE17" s="5">
        <f t="shared" si="14"/>
        <v>4.3697105611746133E-2</v>
      </c>
      <c r="AK17" s="4" t="s">
        <v>40</v>
      </c>
      <c r="AL17" s="21" t="s">
        <v>19</v>
      </c>
      <c r="AM17" s="21">
        <f>_xlfn.COVARIANCE.P(U3:U249,M3:M249)</f>
        <v>1.4487729543091952E-4</v>
      </c>
      <c r="AN17" s="21">
        <f>_xlfn.COVARIANCE.P(U3:U249,O3:O249)</f>
        <v>1.2132548086029648E-4</v>
      </c>
      <c r="AO17" s="21">
        <f>_xlfn.COVARIANCE.P(U3:U249,Q3:Q249)</f>
        <v>9.5912610867153952E-5</v>
      </c>
      <c r="AP17" s="21">
        <f>VARP($U$3:$U$249)</f>
        <v>5.510120177672378E-4</v>
      </c>
      <c r="AQ17" s="4"/>
    </row>
    <row r="18" spans="1:43">
      <c r="A18" s="13">
        <v>45468</v>
      </c>
      <c r="B18" s="7">
        <v>1541.95</v>
      </c>
      <c r="C18" s="4">
        <f t="shared" si="0"/>
        <v>9.644595954714421E-3</v>
      </c>
      <c r="D18" s="8">
        <v>487.8</v>
      </c>
      <c r="E18" s="4">
        <f t="shared" si="1"/>
        <v>4.1008817470346293E-4</v>
      </c>
      <c r="F18" s="7">
        <v>2128.1999999999998</v>
      </c>
      <c r="G18" s="4">
        <f t="shared" si="2"/>
        <v>-1.7143809428959191E-2</v>
      </c>
      <c r="H18" s="7">
        <v>1545.35</v>
      </c>
      <c r="I18" s="5">
        <f t="shared" si="3"/>
        <v>-4.9381222556935276E-3</v>
      </c>
      <c r="J18" s="7">
        <v>1427.75</v>
      </c>
      <c r="K18" s="5">
        <f t="shared" si="4"/>
        <v>1.8413992875960253E-2</v>
      </c>
      <c r="L18" s="7">
        <v>8611.5499999999993</v>
      </c>
      <c r="M18" s="9">
        <f t="shared" si="5"/>
        <v>-1.3065219723453921E-2</v>
      </c>
      <c r="N18" s="7">
        <v>1545.35</v>
      </c>
      <c r="O18" s="5">
        <f t="shared" si="6"/>
        <v>-4.9381222556935276E-3</v>
      </c>
      <c r="P18" s="7">
        <v>4539.3</v>
      </c>
      <c r="Q18" s="5">
        <f t="shared" si="7"/>
        <v>4.3603837776608444E-3</v>
      </c>
      <c r="R18" s="7">
        <v>1447.95</v>
      </c>
      <c r="S18" s="5">
        <f t="shared" si="8"/>
        <v>4.9155457603111815E-3</v>
      </c>
      <c r="T18" s="7">
        <v>5350.65</v>
      </c>
      <c r="U18" s="5">
        <f t="shared" si="9"/>
        <v>-1.8687571884743495E-4</v>
      </c>
      <c r="V18" s="7">
        <v>2408.3000000000002</v>
      </c>
      <c r="W18" s="5">
        <f t="shared" si="10"/>
        <v>5.8719585690189249E-3</v>
      </c>
      <c r="X18" s="7">
        <v>2414.6999999999998</v>
      </c>
      <c r="Y18" s="5">
        <f t="shared" si="11"/>
        <v>-1.0300025140705984E-2</v>
      </c>
      <c r="Z18" s="7">
        <v>4413.6499999999996</v>
      </c>
      <c r="AA18" s="5">
        <f t="shared" si="12"/>
        <v>2.0440171460567112E-2</v>
      </c>
      <c r="AB18" s="10">
        <v>615.04999999999995</v>
      </c>
      <c r="AC18" s="5">
        <f t="shared" si="13"/>
        <v>-1.2923207074082526E-2</v>
      </c>
      <c r="AD18" s="11">
        <v>11414.9</v>
      </c>
      <c r="AE18" s="5">
        <f t="shared" si="14"/>
        <v>-1.6546679145252367E-2</v>
      </c>
      <c r="AK18" s="4"/>
      <c r="AL18" s="4"/>
      <c r="AM18" s="4"/>
      <c r="AN18" s="4"/>
      <c r="AO18" s="4"/>
      <c r="AP18" s="4"/>
      <c r="AQ18" s="4"/>
    </row>
    <row r="19" spans="1:43">
      <c r="A19" s="13">
        <v>45469</v>
      </c>
      <c r="B19" s="7">
        <v>1540.7</v>
      </c>
      <c r="C19" s="4">
        <f t="shared" si="0"/>
        <v>-8.1099058829964645E-4</v>
      </c>
      <c r="D19" s="8">
        <v>502.2</v>
      </c>
      <c r="E19" s="4">
        <f t="shared" si="1"/>
        <v>2.9092960941664772E-2</v>
      </c>
      <c r="F19" s="7">
        <v>2139.5</v>
      </c>
      <c r="G19" s="4">
        <f t="shared" si="2"/>
        <v>5.2956048492404555E-3</v>
      </c>
      <c r="H19" s="7">
        <v>1589.75</v>
      </c>
      <c r="I19" s="5">
        <f t="shared" si="3"/>
        <v>2.8326349254523535E-2</v>
      </c>
      <c r="J19" s="7">
        <v>1413.05</v>
      </c>
      <c r="K19" s="5">
        <f t="shared" si="4"/>
        <v>-1.0349289782328651E-2</v>
      </c>
      <c r="L19" s="7">
        <v>8503.6</v>
      </c>
      <c r="M19" s="9">
        <f t="shared" si="5"/>
        <v>-1.2614722221436104E-2</v>
      </c>
      <c r="N19" s="7">
        <v>1589.75</v>
      </c>
      <c r="O19" s="5">
        <f t="shared" si="6"/>
        <v>2.8326349254523535E-2</v>
      </c>
      <c r="P19" s="7">
        <v>4545.3500000000004</v>
      </c>
      <c r="Q19" s="5">
        <f t="shared" si="7"/>
        <v>1.3319172217738187E-3</v>
      </c>
      <c r="R19" s="7">
        <v>1443.7</v>
      </c>
      <c r="S19" s="5">
        <f t="shared" si="8"/>
        <v>-2.9395003269648895E-3</v>
      </c>
      <c r="T19" s="7">
        <v>5325.35</v>
      </c>
      <c r="U19" s="5">
        <f t="shared" si="9"/>
        <v>-4.7396117200096339E-3</v>
      </c>
      <c r="V19" s="7">
        <v>2419.4499999999998</v>
      </c>
      <c r="W19" s="5">
        <f t="shared" si="10"/>
        <v>4.6191372068110524E-3</v>
      </c>
      <c r="X19" s="7">
        <v>2376.75</v>
      </c>
      <c r="Y19" s="5">
        <f t="shared" si="11"/>
        <v>-1.5841047528657962E-2</v>
      </c>
      <c r="Z19" s="7">
        <v>4427.55</v>
      </c>
      <c r="AA19" s="5">
        <f t="shared" si="12"/>
        <v>3.1443721333142094E-3</v>
      </c>
      <c r="AB19" s="10">
        <v>613.15</v>
      </c>
      <c r="AC19" s="5">
        <f t="shared" si="13"/>
        <v>-3.0939611067589121E-3</v>
      </c>
      <c r="AD19" s="11">
        <v>12630.95</v>
      </c>
      <c r="AE19" s="5">
        <f t="shared" si="14"/>
        <v>0.10123063172883037</v>
      </c>
    </row>
    <row r="20" spans="1:43">
      <c r="A20" s="13">
        <v>45470</v>
      </c>
      <c r="B20" s="7">
        <v>1573.35</v>
      </c>
      <c r="C20" s="4">
        <f t="shared" si="0"/>
        <v>2.0970245487993259E-2</v>
      </c>
      <c r="D20" s="8">
        <v>498.65</v>
      </c>
      <c r="E20" s="4">
        <f t="shared" si="1"/>
        <v>-7.0939998756077462E-3</v>
      </c>
      <c r="F20" s="7">
        <v>2135.15</v>
      </c>
      <c r="G20" s="4">
        <f t="shared" si="2"/>
        <v>-2.0352550508556918E-3</v>
      </c>
      <c r="H20" s="7">
        <v>1601.95</v>
      </c>
      <c r="I20" s="5">
        <f t="shared" si="3"/>
        <v>7.6448660074471516E-3</v>
      </c>
      <c r="J20" s="7">
        <v>1432.25</v>
      </c>
      <c r="K20" s="5">
        <f t="shared" si="4"/>
        <v>1.3496145526043486E-2</v>
      </c>
      <c r="L20" s="7">
        <v>8449.9</v>
      </c>
      <c r="M20" s="9">
        <f t="shared" si="5"/>
        <v>-6.3349962652402879E-3</v>
      </c>
      <c r="N20" s="7">
        <v>1601.95</v>
      </c>
      <c r="O20" s="5">
        <f t="shared" si="6"/>
        <v>7.6448660074471516E-3</v>
      </c>
      <c r="P20" s="7">
        <v>4522.3500000000004</v>
      </c>
      <c r="Q20" s="5">
        <f t="shared" si="7"/>
        <v>-5.0729621238659092E-3</v>
      </c>
      <c r="R20" s="7">
        <v>1454.9</v>
      </c>
      <c r="S20" s="5">
        <f t="shared" si="8"/>
        <v>7.7279070855740808E-3</v>
      </c>
      <c r="T20" s="7">
        <v>5439</v>
      </c>
      <c r="U20" s="5">
        <f t="shared" si="9"/>
        <v>2.1116783305774964E-2</v>
      </c>
      <c r="V20" s="7">
        <v>2442.1</v>
      </c>
      <c r="W20" s="5">
        <f t="shared" si="10"/>
        <v>9.3180832800708133E-3</v>
      </c>
      <c r="X20" s="7">
        <v>2344.15</v>
      </c>
      <c r="Y20" s="5">
        <f t="shared" si="11"/>
        <v>-1.3811145415650891E-2</v>
      </c>
      <c r="Z20" s="7">
        <v>4301.3</v>
      </c>
      <c r="AA20" s="5">
        <f t="shared" si="12"/>
        <v>-2.8929081076114457E-2</v>
      </c>
      <c r="AB20" s="10">
        <v>611.65</v>
      </c>
      <c r="AC20" s="5">
        <f t="shared" si="13"/>
        <v>-2.4493807151097129E-3</v>
      </c>
      <c r="AD20" s="11">
        <v>12581.05</v>
      </c>
      <c r="AE20" s="5">
        <f t="shared" si="14"/>
        <v>-3.9584376612613369E-3</v>
      </c>
      <c r="AL20" s="22" t="s">
        <v>41</v>
      </c>
      <c r="AM20" s="22">
        <f>(AM9-AM11)/AM12</f>
        <v>2.5396753905289606</v>
      </c>
    </row>
    <row r="21" spans="1:43">
      <c r="A21" s="13">
        <v>45471</v>
      </c>
      <c r="B21" s="7">
        <v>1566.75</v>
      </c>
      <c r="C21" s="4">
        <f t="shared" si="0"/>
        <v>-4.2036939709376962E-3</v>
      </c>
      <c r="D21" s="8">
        <v>492.8</v>
      </c>
      <c r="E21" s="4">
        <f t="shared" si="1"/>
        <v>-1.1801034628566883E-2</v>
      </c>
      <c r="F21" s="7">
        <v>2129.1999999999998</v>
      </c>
      <c r="G21" s="4">
        <f t="shared" si="2"/>
        <v>-2.7905795074135409E-3</v>
      </c>
      <c r="H21" s="7">
        <v>1596.6</v>
      </c>
      <c r="I21" s="5">
        <f t="shared" si="3"/>
        <v>-3.3452689432659942E-3</v>
      </c>
      <c r="J21" s="7">
        <v>1430.35</v>
      </c>
      <c r="K21" s="5">
        <f t="shared" si="4"/>
        <v>-1.3274647376575223E-3</v>
      </c>
      <c r="L21" s="7">
        <v>8536.25</v>
      </c>
      <c r="M21" s="9">
        <f t="shared" si="5"/>
        <v>1.0167194313632173E-2</v>
      </c>
      <c r="N21" s="7">
        <v>1596.6</v>
      </c>
      <c r="O21" s="5">
        <f t="shared" si="6"/>
        <v>-3.3452689432659942E-3</v>
      </c>
      <c r="P21" s="7">
        <v>4596.45</v>
      </c>
      <c r="Q21" s="5">
        <f t="shared" si="7"/>
        <v>1.6252496179266232E-2</v>
      </c>
      <c r="R21" s="7">
        <v>1459.6</v>
      </c>
      <c r="S21" s="5">
        <f t="shared" si="8"/>
        <v>3.2252558409494058E-3</v>
      </c>
      <c r="T21" s="7">
        <v>5458.8</v>
      </c>
      <c r="U21" s="5">
        <f t="shared" si="9"/>
        <v>3.6337649409979027E-3</v>
      </c>
      <c r="V21" s="7">
        <v>2456.5500000000002</v>
      </c>
      <c r="W21" s="5">
        <f t="shared" si="10"/>
        <v>5.8996016908161222E-3</v>
      </c>
      <c r="X21" s="7">
        <v>2364.85</v>
      </c>
      <c r="Y21" s="5">
        <f t="shared" si="11"/>
        <v>8.7917321439515313E-3</v>
      </c>
      <c r="Z21" s="7">
        <v>4124.5</v>
      </c>
      <c r="AA21" s="5">
        <f t="shared" si="12"/>
        <v>-4.1972502271093087E-2</v>
      </c>
      <c r="AB21" s="10">
        <v>613</v>
      </c>
      <c r="AC21" s="5">
        <f t="shared" si="13"/>
        <v>2.204712443286063E-3</v>
      </c>
      <c r="AD21" s="11">
        <v>12911.6</v>
      </c>
      <c r="AE21" s="5">
        <f t="shared" si="14"/>
        <v>2.5934418505434483E-2</v>
      </c>
      <c r="AG21" s="5" t="s">
        <v>42</v>
      </c>
      <c r="AH21" s="5">
        <f>SQRT(AM14)</f>
        <v>2.341956048619508E-2</v>
      </c>
      <c r="AN21" s="23"/>
      <c r="AO21" s="24"/>
    </row>
    <row r="22" spans="1:43">
      <c r="A22" s="12">
        <v>45474</v>
      </c>
      <c r="B22" s="7">
        <v>1590.8</v>
      </c>
      <c r="C22" s="4">
        <f t="shared" si="0"/>
        <v>1.5233624228750627E-2</v>
      </c>
      <c r="D22" s="8">
        <v>494.65</v>
      </c>
      <c r="E22" s="4">
        <f t="shared" si="1"/>
        <v>3.7470295499214107E-3</v>
      </c>
      <c r="F22" s="7">
        <v>2160.85</v>
      </c>
      <c r="G22" s="4">
        <f t="shared" si="2"/>
        <v>1.4755340490021678E-2</v>
      </c>
      <c r="H22" s="7">
        <v>1615.3</v>
      </c>
      <c r="I22" s="5">
        <f t="shared" si="3"/>
        <v>1.1644329708013877E-2</v>
      </c>
      <c r="J22" s="7">
        <v>1472.1</v>
      </c>
      <c r="K22" s="5">
        <f t="shared" si="4"/>
        <v>2.8770783212937544E-2</v>
      </c>
      <c r="L22" s="7">
        <v>8756.4</v>
      </c>
      <c r="M22" s="9">
        <f t="shared" si="5"/>
        <v>2.5463060284275675E-2</v>
      </c>
      <c r="N22" s="7">
        <v>1615.3</v>
      </c>
      <c r="O22" s="5">
        <f t="shared" si="6"/>
        <v>1.1644329708013877E-2</v>
      </c>
      <c r="P22" s="7">
        <v>4602.1000000000004</v>
      </c>
      <c r="Q22" s="5">
        <f t="shared" si="7"/>
        <v>1.2284546391628964E-3</v>
      </c>
      <c r="R22" s="7">
        <v>1468.85</v>
      </c>
      <c r="S22" s="5">
        <f t="shared" si="8"/>
        <v>6.3173561188738939E-3</v>
      </c>
      <c r="T22" s="7">
        <v>5518.4</v>
      </c>
      <c r="U22" s="5">
        <f t="shared" si="9"/>
        <v>1.0858977818617567E-2</v>
      </c>
      <c r="V22" s="7">
        <v>2494.9</v>
      </c>
      <c r="W22" s="5">
        <f t="shared" si="10"/>
        <v>1.5490721658081272E-2</v>
      </c>
      <c r="X22" s="7">
        <v>2354.6</v>
      </c>
      <c r="Y22" s="5">
        <f t="shared" si="11"/>
        <v>-4.3437333233440198E-3</v>
      </c>
      <c r="Z22" s="7">
        <v>4258.8</v>
      </c>
      <c r="AA22" s="5">
        <f t="shared" si="12"/>
        <v>3.2042630139664824E-2</v>
      </c>
      <c r="AB22" s="10">
        <v>620.5</v>
      </c>
      <c r="AC22" s="5">
        <f t="shared" si="13"/>
        <v>1.2160668708450574E-2</v>
      </c>
      <c r="AD22" s="11">
        <v>13012.15</v>
      </c>
      <c r="AE22" s="5">
        <f t="shared" si="14"/>
        <v>7.757404251722365E-3</v>
      </c>
      <c r="AG22" s="5" t="s">
        <v>43</v>
      </c>
      <c r="AH22" s="5">
        <f>SQRT(252)*AH21</f>
        <v>0.37177399716544268</v>
      </c>
    </row>
    <row r="23" spans="1:43">
      <c r="A23" s="12">
        <v>45475</v>
      </c>
      <c r="B23" s="7">
        <v>1621.05</v>
      </c>
      <c r="C23" s="4">
        <f t="shared" si="0"/>
        <v>1.8837053083748757E-2</v>
      </c>
      <c r="D23" s="8">
        <v>491.2</v>
      </c>
      <c r="E23" s="4">
        <f t="shared" si="1"/>
        <v>-6.9990649362988138E-3</v>
      </c>
      <c r="F23" s="7">
        <v>2129.1</v>
      </c>
      <c r="G23" s="4">
        <f t="shared" si="2"/>
        <v>-1.4802307589577131E-2</v>
      </c>
      <c r="H23" s="7">
        <v>1596.3</v>
      </c>
      <c r="I23" s="5">
        <f t="shared" si="3"/>
        <v>-1.183224664927905E-2</v>
      </c>
      <c r="J23" s="7">
        <v>1472.15</v>
      </c>
      <c r="K23" s="5">
        <f t="shared" si="4"/>
        <v>3.3964507093459714E-5</v>
      </c>
      <c r="L23" s="7">
        <v>8896.4500000000007</v>
      </c>
      <c r="M23" s="9">
        <f t="shared" si="5"/>
        <v>1.5867459183808705E-2</v>
      </c>
      <c r="N23" s="7">
        <v>1596.3</v>
      </c>
      <c r="O23" s="5">
        <f t="shared" si="6"/>
        <v>-1.183224664927905E-2</v>
      </c>
      <c r="P23" s="7">
        <v>4571.45</v>
      </c>
      <c r="Q23" s="5">
        <f t="shared" si="7"/>
        <v>-6.6822798264077827E-3</v>
      </c>
      <c r="R23" s="7">
        <v>1480.8</v>
      </c>
      <c r="S23" s="5">
        <f t="shared" si="8"/>
        <v>8.1027005781212601E-3</v>
      </c>
      <c r="T23" s="7">
        <v>5653.75</v>
      </c>
      <c r="U23" s="5">
        <f t="shared" si="9"/>
        <v>2.4231078609476545E-2</v>
      </c>
      <c r="V23" s="7">
        <v>2506.15</v>
      </c>
      <c r="W23" s="5">
        <f t="shared" si="10"/>
        <v>4.4990627873992437E-3</v>
      </c>
      <c r="X23" s="7">
        <v>2338.35</v>
      </c>
      <c r="Y23" s="5">
        <f t="shared" si="11"/>
        <v>-6.9253092172968031E-3</v>
      </c>
      <c r="Z23" s="7">
        <v>4224</v>
      </c>
      <c r="AA23" s="5">
        <f t="shared" si="12"/>
        <v>-8.2048840543537671E-3</v>
      </c>
      <c r="AB23" s="10">
        <v>603.15</v>
      </c>
      <c r="AC23" s="5">
        <f t="shared" si="13"/>
        <v>-2.8359682633269226E-2</v>
      </c>
      <c r="AD23" s="11">
        <v>13393.45</v>
      </c>
      <c r="AE23" s="5">
        <f t="shared" si="14"/>
        <v>2.888224511700014E-2</v>
      </c>
      <c r="AG23" s="5" t="s">
        <v>44</v>
      </c>
      <c r="AH23" s="5">
        <f>SQRT(AN15)</f>
        <v>3.1114080106284372E-2</v>
      </c>
    </row>
    <row r="24" spans="1:43">
      <c r="A24" s="12">
        <v>45476</v>
      </c>
      <c r="B24" s="7">
        <v>1627.4</v>
      </c>
      <c r="C24" s="4">
        <f t="shared" si="0"/>
        <v>3.9095618452726286E-3</v>
      </c>
      <c r="D24" s="8">
        <v>500.2</v>
      </c>
      <c r="E24" s="4">
        <f t="shared" si="1"/>
        <v>1.8156641610586034E-2</v>
      </c>
      <c r="F24" s="7">
        <v>2139.5</v>
      </c>
      <c r="G24" s="4">
        <f t="shared" si="2"/>
        <v>4.8728016578247144E-3</v>
      </c>
      <c r="H24" s="7">
        <v>1633.8</v>
      </c>
      <c r="I24" s="5">
        <f t="shared" si="3"/>
        <v>2.3220138637335699E-2</v>
      </c>
      <c r="J24" s="7">
        <v>1479.8</v>
      </c>
      <c r="K24" s="5">
        <f t="shared" si="4"/>
        <v>5.1830262203896669E-3</v>
      </c>
      <c r="L24" s="7">
        <v>9296.75</v>
      </c>
      <c r="M24" s="9">
        <f t="shared" si="5"/>
        <v>4.4012555956170402E-2</v>
      </c>
      <c r="N24" s="7">
        <v>1633.8</v>
      </c>
      <c r="O24" s="5">
        <f t="shared" si="6"/>
        <v>2.3220138637335699E-2</v>
      </c>
      <c r="P24" s="7">
        <v>4559.1499999999996</v>
      </c>
      <c r="Q24" s="5">
        <f t="shared" si="7"/>
        <v>-2.6942385911974957E-3</v>
      </c>
      <c r="R24" s="7">
        <v>1481</v>
      </c>
      <c r="S24" s="5">
        <f t="shared" si="8"/>
        <v>1.3505300851105292E-4</v>
      </c>
      <c r="T24" s="7">
        <v>5680.9</v>
      </c>
      <c r="U24" s="5">
        <f t="shared" si="9"/>
        <v>4.7906290753825364E-3</v>
      </c>
      <c r="V24" s="7">
        <v>2569.4499999999998</v>
      </c>
      <c r="W24" s="5">
        <f t="shared" si="10"/>
        <v>2.4944157194764442E-2</v>
      </c>
      <c r="X24" s="7">
        <v>2314.6</v>
      </c>
      <c r="Y24" s="5">
        <f t="shared" si="11"/>
        <v>-1.0208666012822299E-2</v>
      </c>
      <c r="Z24" s="7">
        <v>4287.45</v>
      </c>
      <c r="AA24" s="5">
        <f t="shared" si="12"/>
        <v>1.4909604212518256E-2</v>
      </c>
      <c r="AB24" s="10">
        <v>607.5</v>
      </c>
      <c r="AC24" s="5">
        <f t="shared" si="13"/>
        <v>7.186253203310804E-3</v>
      </c>
      <c r="AD24" s="11">
        <v>13959.5</v>
      </c>
      <c r="AE24" s="5">
        <f t="shared" si="14"/>
        <v>4.1394498591751268E-2</v>
      </c>
      <c r="AG24" s="5" t="s">
        <v>45</v>
      </c>
      <c r="AH24" s="5">
        <f>SQRT(252)*AH23</f>
        <v>0.49392070940262345</v>
      </c>
    </row>
    <row r="25" spans="1:43">
      <c r="A25" s="12">
        <v>45477</v>
      </c>
      <c r="B25" s="7">
        <v>1650.65</v>
      </c>
      <c r="C25" s="4">
        <f t="shared" si="0"/>
        <v>1.4185500452257985E-2</v>
      </c>
      <c r="D25" s="8">
        <v>514.4</v>
      </c>
      <c r="E25" s="4">
        <f t="shared" si="1"/>
        <v>2.7993154479890869E-2</v>
      </c>
      <c r="F25" s="7">
        <v>2173</v>
      </c>
      <c r="G25" s="4">
        <f t="shared" si="2"/>
        <v>1.5536544399558214E-2</v>
      </c>
      <c r="H25" s="7">
        <v>1683.9</v>
      </c>
      <c r="I25" s="5">
        <f t="shared" si="3"/>
        <v>3.0203941708494456E-2</v>
      </c>
      <c r="J25" s="7">
        <v>1459.15</v>
      </c>
      <c r="K25" s="5">
        <f t="shared" si="4"/>
        <v>-1.4052869109331297E-2</v>
      </c>
      <c r="L25" s="7">
        <v>9902.9</v>
      </c>
      <c r="M25" s="9">
        <f t="shared" si="5"/>
        <v>6.3162766820648128E-2</v>
      </c>
      <c r="N25" s="7">
        <v>1683.9</v>
      </c>
      <c r="O25" s="5">
        <f t="shared" si="6"/>
        <v>3.0203941708494456E-2</v>
      </c>
      <c r="P25" s="7">
        <v>4544.05</v>
      </c>
      <c r="Q25" s="5">
        <f t="shared" si="7"/>
        <v>-3.3175177627906903E-3</v>
      </c>
      <c r="R25" s="7">
        <v>1522.35</v>
      </c>
      <c r="S25" s="5">
        <f t="shared" si="8"/>
        <v>2.7537658295137924E-2</v>
      </c>
      <c r="T25" s="7">
        <v>5898.7</v>
      </c>
      <c r="U25" s="5">
        <f t="shared" si="9"/>
        <v>3.7622316765124411E-2</v>
      </c>
      <c r="V25" s="7">
        <v>2583.1999999999998</v>
      </c>
      <c r="W25" s="5">
        <f t="shared" si="10"/>
        <v>5.3370722398341126E-3</v>
      </c>
      <c r="X25" s="7">
        <v>2365.9499999999998</v>
      </c>
      <c r="Y25" s="5">
        <f t="shared" si="11"/>
        <v>2.1942746187615405E-2</v>
      </c>
      <c r="Z25" s="7">
        <v>4356.25</v>
      </c>
      <c r="AA25" s="5">
        <f t="shared" si="12"/>
        <v>1.5919444910218329E-2</v>
      </c>
      <c r="AB25" s="10">
        <v>608.04999999999995</v>
      </c>
      <c r="AC25" s="5">
        <f t="shared" si="13"/>
        <v>9.0494021230495944E-4</v>
      </c>
      <c r="AD25" s="11">
        <v>13750.25</v>
      </c>
      <c r="AE25" s="5">
        <f t="shared" si="14"/>
        <v>-1.5103274308410004E-2</v>
      </c>
      <c r="AG25" s="5" t="s">
        <v>46</v>
      </c>
      <c r="AH25" s="5">
        <f>SQRT(AO16)</f>
        <v>1.7978537587189206E-2</v>
      </c>
      <c r="AK25" s="5" t="s">
        <v>47</v>
      </c>
      <c r="AL25" s="5">
        <f>(M253-AM11)/AH22</f>
        <v>1.7444857728893843</v>
      </c>
    </row>
    <row r="26" spans="1:43">
      <c r="A26" s="12">
        <v>45478</v>
      </c>
      <c r="B26" s="7">
        <v>1647.45</v>
      </c>
      <c r="C26" s="4">
        <f t="shared" si="0"/>
        <v>-1.9405118123502884E-3</v>
      </c>
      <c r="D26" s="8">
        <v>526</v>
      </c>
      <c r="E26" s="4">
        <f t="shared" si="1"/>
        <v>2.2300039814300249E-2</v>
      </c>
      <c r="F26" s="7">
        <v>2137.85</v>
      </c>
      <c r="G26" s="4">
        <f t="shared" si="2"/>
        <v>-1.6308050159826951E-2</v>
      </c>
      <c r="H26" s="7">
        <v>1731.85</v>
      </c>
      <c r="I26" s="5">
        <f t="shared" si="3"/>
        <v>2.8077669674849072E-2</v>
      </c>
      <c r="J26" s="7">
        <v>1461.35</v>
      </c>
      <c r="K26" s="5">
        <f t="shared" si="4"/>
        <v>1.506591622073778E-3</v>
      </c>
      <c r="L26" s="7">
        <v>9667.6</v>
      </c>
      <c r="M26" s="9">
        <f t="shared" si="5"/>
        <v>-2.404755515638022E-2</v>
      </c>
      <c r="N26" s="7">
        <v>1731.85</v>
      </c>
      <c r="O26" s="5">
        <f t="shared" si="6"/>
        <v>2.8077669674849072E-2</v>
      </c>
      <c r="P26" s="7">
        <v>4629.7</v>
      </c>
      <c r="Q26" s="5">
        <f t="shared" si="7"/>
        <v>1.8673386303014364E-2</v>
      </c>
      <c r="R26" s="7">
        <v>1519.4</v>
      </c>
      <c r="S26" s="5">
        <f t="shared" si="8"/>
        <v>-1.9396734938155653E-3</v>
      </c>
      <c r="T26" s="7">
        <v>5870.15</v>
      </c>
      <c r="U26" s="5">
        <f t="shared" si="9"/>
        <v>-4.8518004742154177E-3</v>
      </c>
      <c r="V26" s="7">
        <v>2628.9</v>
      </c>
      <c r="W26" s="5">
        <f t="shared" si="10"/>
        <v>1.7536567285849406E-2</v>
      </c>
      <c r="X26" s="7">
        <v>2430.15</v>
      </c>
      <c r="Y26" s="5">
        <f t="shared" si="11"/>
        <v>2.6773351222944195E-2</v>
      </c>
      <c r="Z26" s="7">
        <v>4333.1000000000004</v>
      </c>
      <c r="AA26" s="5">
        <f t="shared" si="12"/>
        <v>-5.3283743368721295E-3</v>
      </c>
      <c r="AB26" s="10">
        <v>615.35</v>
      </c>
      <c r="AC26" s="5">
        <f t="shared" si="13"/>
        <v>1.1934096191337252E-2</v>
      </c>
      <c r="AD26" s="11">
        <v>14019.55</v>
      </c>
      <c r="AE26" s="5">
        <f t="shared" si="14"/>
        <v>1.9395778321569544E-2</v>
      </c>
      <c r="AG26" s="5" t="s">
        <v>48</v>
      </c>
      <c r="AH26" s="5">
        <f>SQRT(252)*AH25</f>
        <v>0.28540043635397921</v>
      </c>
      <c r="AK26" s="5" t="s">
        <v>49</v>
      </c>
      <c r="AL26" s="5">
        <f>(O253-AM11)/AH24</f>
        <v>0.49761177624986297</v>
      </c>
    </row>
    <row r="27" spans="1:43">
      <c r="A27" s="12">
        <v>45481</v>
      </c>
      <c r="B27" s="7">
        <v>1661.65</v>
      </c>
      <c r="C27" s="4">
        <f t="shared" si="0"/>
        <v>8.5824466847920378E-3</v>
      </c>
      <c r="D27" s="8">
        <v>518.6</v>
      </c>
      <c r="E27" s="4">
        <f t="shared" si="1"/>
        <v>-1.4168339633145849E-2</v>
      </c>
      <c r="F27" s="7">
        <v>2062.1999999999998</v>
      </c>
      <c r="G27" s="4">
        <f t="shared" si="2"/>
        <v>-3.6027277012759561E-2</v>
      </c>
      <c r="H27" s="7">
        <v>1696.95</v>
      </c>
      <c r="I27" s="5">
        <f t="shared" si="3"/>
        <v>-2.0357679250526901E-2</v>
      </c>
      <c r="J27" s="7">
        <v>1467.6</v>
      </c>
      <c r="K27" s="5">
        <f t="shared" si="4"/>
        <v>4.2677474769340371E-3</v>
      </c>
      <c r="L27" s="7">
        <v>9905.15</v>
      </c>
      <c r="M27" s="9">
        <f t="shared" si="5"/>
        <v>2.4274735520896398E-2</v>
      </c>
      <c r="N27" s="7">
        <v>1696.95</v>
      </c>
      <c r="O27" s="5">
        <f t="shared" si="6"/>
        <v>-2.0357679250526901E-2</v>
      </c>
      <c r="P27" s="7">
        <v>4464.2</v>
      </c>
      <c r="Q27" s="5">
        <f t="shared" si="7"/>
        <v>-3.6402044239678369E-2</v>
      </c>
      <c r="R27" s="7">
        <v>1533.4</v>
      </c>
      <c r="S27" s="5">
        <f t="shared" si="8"/>
        <v>9.1719720556728748E-3</v>
      </c>
      <c r="T27" s="7">
        <v>5855.45</v>
      </c>
      <c r="U27" s="5">
        <f t="shared" si="9"/>
        <v>-2.5073356930555802E-3</v>
      </c>
      <c r="V27" s="7">
        <v>2609.5500000000002</v>
      </c>
      <c r="W27" s="5">
        <f t="shared" si="10"/>
        <v>-7.3877150712456374E-3</v>
      </c>
      <c r="X27" s="7">
        <v>2398.25</v>
      </c>
      <c r="Y27" s="5">
        <f t="shared" si="11"/>
        <v>-1.3213679126479982E-2</v>
      </c>
      <c r="Z27" s="7">
        <v>4225.3999999999996</v>
      </c>
      <c r="AA27" s="5">
        <f t="shared" si="12"/>
        <v>-2.5169290305827617E-2</v>
      </c>
      <c r="AB27" s="10">
        <v>641.29999999999995</v>
      </c>
      <c r="AC27" s="5">
        <f t="shared" si="13"/>
        <v>4.1306154536471372E-2</v>
      </c>
      <c r="AD27" s="11">
        <v>13756.15</v>
      </c>
      <c r="AE27" s="5">
        <f t="shared" si="14"/>
        <v>-1.8966787243821726E-2</v>
      </c>
      <c r="AG27" s="5" t="s">
        <v>50</v>
      </c>
      <c r="AH27" s="5">
        <f>SQRT(AP17)</f>
        <v>2.3473645174263792E-2</v>
      </c>
      <c r="AK27" s="5" t="s">
        <v>51</v>
      </c>
      <c r="AL27" s="5">
        <f>(Q253-AM11)/AH26</f>
        <v>1.7270259453948977</v>
      </c>
    </row>
    <row r="28" spans="1:43">
      <c r="A28" s="12">
        <v>45482</v>
      </c>
      <c r="B28" s="7">
        <v>1657.15</v>
      </c>
      <c r="C28" s="4">
        <f t="shared" si="0"/>
        <v>-2.7118252125756842E-3</v>
      </c>
      <c r="D28" s="8">
        <v>521.45000000000005</v>
      </c>
      <c r="E28" s="4">
        <f t="shared" si="1"/>
        <v>5.4805194626578613E-3</v>
      </c>
      <c r="F28" s="7">
        <v>2102.5</v>
      </c>
      <c r="G28" s="4">
        <f t="shared" si="2"/>
        <v>1.9353738763259916E-2</v>
      </c>
      <c r="H28" s="7">
        <v>1681.25</v>
      </c>
      <c r="I28" s="5">
        <f t="shared" si="3"/>
        <v>-9.2949576904362702E-3</v>
      </c>
      <c r="J28" s="7">
        <v>1465.75</v>
      </c>
      <c r="K28" s="5">
        <f t="shared" si="4"/>
        <v>-1.2613566368024783E-3</v>
      </c>
      <c r="L28" s="7">
        <v>9848</v>
      </c>
      <c r="M28" s="9">
        <f t="shared" si="5"/>
        <v>-5.7864350204286617E-3</v>
      </c>
      <c r="N28" s="7">
        <v>1681.25</v>
      </c>
      <c r="O28" s="5">
        <f t="shared" si="6"/>
        <v>-9.2949576904362702E-3</v>
      </c>
      <c r="P28" s="7">
        <v>4551.95</v>
      </c>
      <c r="Q28" s="5">
        <f t="shared" si="7"/>
        <v>1.9465685638151532E-2</v>
      </c>
      <c r="R28" s="7">
        <v>1531.1</v>
      </c>
      <c r="S28" s="5">
        <f t="shared" si="8"/>
        <v>-1.5010608137446819E-3</v>
      </c>
      <c r="T28" s="7">
        <v>5760.65</v>
      </c>
      <c r="U28" s="5">
        <f t="shared" si="9"/>
        <v>-1.6322535919898597E-2</v>
      </c>
      <c r="V28" s="7">
        <v>2600.5</v>
      </c>
      <c r="W28" s="5">
        <f t="shared" si="10"/>
        <v>-3.4740584455418399E-3</v>
      </c>
      <c r="X28" s="7">
        <v>2438.1999999999998</v>
      </c>
      <c r="Y28" s="5">
        <f t="shared" si="11"/>
        <v>1.6520757432988857E-2</v>
      </c>
      <c r="Z28" s="7">
        <v>4091.55</v>
      </c>
      <c r="AA28" s="5">
        <f t="shared" si="12"/>
        <v>-3.2190059516321826E-2</v>
      </c>
      <c r="AB28" s="10">
        <v>637.79999999999995</v>
      </c>
      <c r="AC28" s="5">
        <f t="shared" si="13"/>
        <v>-5.4726115788600376E-3</v>
      </c>
      <c r="AD28" s="11">
        <v>13488.95</v>
      </c>
      <c r="AE28" s="5">
        <f t="shared" si="14"/>
        <v>-1.9615165086547377E-2</v>
      </c>
      <c r="AG28" s="5" t="s">
        <v>52</v>
      </c>
      <c r="AH28" s="5">
        <f>SQRT(252)*AH27</f>
        <v>0.3726325649716406</v>
      </c>
      <c r="AK28" s="5" t="s">
        <v>53</v>
      </c>
      <c r="AL28" s="5">
        <f>(U253-AM11)/AH28</f>
        <v>1.8329336318394169</v>
      </c>
    </row>
    <row r="29" spans="1:43">
      <c r="A29" s="13">
        <v>45483</v>
      </c>
      <c r="B29" s="7">
        <v>1648.25</v>
      </c>
      <c r="C29" s="4">
        <f t="shared" si="0"/>
        <v>-5.385140381271844E-3</v>
      </c>
      <c r="D29" s="8">
        <v>518.29999999999995</v>
      </c>
      <c r="E29" s="4">
        <f t="shared" si="1"/>
        <v>-6.059167371561174E-3</v>
      </c>
      <c r="F29" s="7">
        <v>2150.25</v>
      </c>
      <c r="G29" s="4">
        <f t="shared" si="2"/>
        <v>2.2457001584485898E-2</v>
      </c>
      <c r="H29" s="7">
        <v>1631.85</v>
      </c>
      <c r="I29" s="5">
        <f t="shared" si="3"/>
        <v>-2.9823223814947893E-2</v>
      </c>
      <c r="J29" s="7">
        <v>1463.35</v>
      </c>
      <c r="K29" s="5">
        <f t="shared" si="4"/>
        <v>-1.6387289864371545E-3</v>
      </c>
      <c r="L29" s="7">
        <v>9767.7999999999993</v>
      </c>
      <c r="M29" s="9">
        <f t="shared" si="5"/>
        <v>-8.1771273038400687E-3</v>
      </c>
      <c r="N29" s="7">
        <v>1631.85</v>
      </c>
      <c r="O29" s="5">
        <f t="shared" si="6"/>
        <v>-2.9823223814947893E-2</v>
      </c>
      <c r="P29" s="7">
        <v>4636.95</v>
      </c>
      <c r="Q29" s="5">
        <f t="shared" si="7"/>
        <v>1.8501109936533481E-2</v>
      </c>
      <c r="R29" s="7">
        <v>1509.95</v>
      </c>
      <c r="S29" s="5">
        <f t="shared" si="8"/>
        <v>-1.3909893633094481E-2</v>
      </c>
      <c r="T29" s="7">
        <v>5669.1</v>
      </c>
      <c r="U29" s="5">
        <f t="shared" si="9"/>
        <v>-1.6019940581287462E-2</v>
      </c>
      <c r="V29" s="7">
        <v>2550</v>
      </c>
      <c r="W29" s="5">
        <f t="shared" si="10"/>
        <v>-1.9610375060655275E-2</v>
      </c>
      <c r="X29" s="7">
        <v>2440.25</v>
      </c>
      <c r="Y29" s="5">
        <f t="shared" si="11"/>
        <v>8.4043092402869099E-4</v>
      </c>
      <c r="Z29" s="7">
        <v>3997.65</v>
      </c>
      <c r="AA29" s="5">
        <f t="shared" si="12"/>
        <v>-2.3217182893532563E-2</v>
      </c>
      <c r="AB29" s="10">
        <v>646.1</v>
      </c>
      <c r="AC29" s="5">
        <f t="shared" si="13"/>
        <v>1.2929535988162598E-2</v>
      </c>
      <c r="AD29" s="11">
        <v>12857.5</v>
      </c>
      <c r="AE29" s="5">
        <f t="shared" si="14"/>
        <v>-4.7943533089741218E-2</v>
      </c>
    </row>
    <row r="30" spans="1:43">
      <c r="A30" s="13">
        <v>45484</v>
      </c>
      <c r="B30" s="7">
        <v>1652.7</v>
      </c>
      <c r="C30" s="4">
        <f t="shared" si="0"/>
        <v>2.6961951533714251E-3</v>
      </c>
      <c r="D30" s="8">
        <v>514.70000000000005</v>
      </c>
      <c r="E30" s="4">
        <f t="shared" si="1"/>
        <v>-6.9700185369518108E-3</v>
      </c>
      <c r="F30" s="7">
        <v>2117.25</v>
      </c>
      <c r="G30" s="4">
        <f t="shared" si="2"/>
        <v>-1.5466037629880518E-2</v>
      </c>
      <c r="H30" s="7">
        <v>1666.3</v>
      </c>
      <c r="I30" s="5">
        <f t="shared" si="3"/>
        <v>2.0891259009376446E-2</v>
      </c>
      <c r="J30" s="7">
        <v>1460.6</v>
      </c>
      <c r="K30" s="5">
        <f t="shared" si="4"/>
        <v>-1.8810176718779138E-3</v>
      </c>
      <c r="L30" s="7">
        <v>9773.9</v>
      </c>
      <c r="M30" s="9">
        <f t="shared" si="5"/>
        <v>6.2430599161056061E-4</v>
      </c>
      <c r="N30" s="7">
        <v>1666.3</v>
      </c>
      <c r="O30" s="5">
        <f t="shared" si="6"/>
        <v>2.0891259009376446E-2</v>
      </c>
      <c r="P30" s="7">
        <v>4582.5</v>
      </c>
      <c r="Q30" s="5">
        <f t="shared" si="7"/>
        <v>-1.1812121785736889E-2</v>
      </c>
      <c r="R30" s="7">
        <v>1511.9</v>
      </c>
      <c r="S30" s="5">
        <f t="shared" si="8"/>
        <v>1.2906003082007191E-3</v>
      </c>
      <c r="T30" s="7">
        <v>5563.5</v>
      </c>
      <c r="U30" s="5">
        <f t="shared" si="9"/>
        <v>-1.8802968366347636E-2</v>
      </c>
      <c r="V30" s="7">
        <v>2560.3000000000002</v>
      </c>
      <c r="W30" s="5">
        <f t="shared" si="10"/>
        <v>4.0310799552176575E-3</v>
      </c>
      <c r="X30" s="7">
        <v>2475.6999999999998</v>
      </c>
      <c r="Y30" s="5">
        <f t="shared" si="11"/>
        <v>1.4422691242165334E-2</v>
      </c>
      <c r="Z30" s="7">
        <v>4102.55</v>
      </c>
      <c r="AA30" s="5">
        <f t="shared" si="12"/>
        <v>2.5902043124129647E-2</v>
      </c>
      <c r="AB30" s="10">
        <v>644.79999999999995</v>
      </c>
      <c r="AC30" s="5">
        <f t="shared" si="13"/>
        <v>-2.0140993717013673E-3</v>
      </c>
      <c r="AD30" s="11">
        <v>12680.9</v>
      </c>
      <c r="AE30" s="5">
        <f t="shared" si="14"/>
        <v>-1.3830374258686591E-2</v>
      </c>
    </row>
    <row r="31" spans="1:43">
      <c r="A31" s="13">
        <v>45485</v>
      </c>
      <c r="B31" s="7">
        <v>1711.75</v>
      </c>
      <c r="C31" s="4">
        <f t="shared" si="0"/>
        <v>3.5105924854391714E-2</v>
      </c>
      <c r="D31" s="8">
        <v>514.35</v>
      </c>
      <c r="E31" s="4">
        <f t="shared" si="1"/>
        <v>-6.802390816698508E-4</v>
      </c>
      <c r="F31" s="7">
        <v>2152.4499999999998</v>
      </c>
      <c r="G31" s="4">
        <f t="shared" si="2"/>
        <v>1.6488651426667843E-2</v>
      </c>
      <c r="H31" s="7">
        <v>1665.55</v>
      </c>
      <c r="I31" s="5">
        <f t="shared" si="3"/>
        <v>-4.5020034675485974E-4</v>
      </c>
      <c r="J31" s="7">
        <v>1505.05</v>
      </c>
      <c r="K31" s="5">
        <f t="shared" si="4"/>
        <v>2.9978810036470762E-2</v>
      </c>
      <c r="L31" s="7">
        <v>9903.35</v>
      </c>
      <c r="M31" s="9">
        <f t="shared" si="5"/>
        <v>1.3157516170106269E-2</v>
      </c>
      <c r="N31" s="7">
        <v>1665.55</v>
      </c>
      <c r="O31" s="5">
        <f t="shared" si="6"/>
        <v>-4.5020034675485974E-4</v>
      </c>
      <c r="P31" s="7">
        <v>4539.3</v>
      </c>
      <c r="Q31" s="5">
        <f t="shared" si="7"/>
        <v>-9.4718855882252664E-3</v>
      </c>
      <c r="R31" s="7">
        <v>1560.2</v>
      </c>
      <c r="S31" s="5">
        <f t="shared" si="8"/>
        <v>3.1446880168057224E-2</v>
      </c>
      <c r="T31" s="7">
        <v>5977.65</v>
      </c>
      <c r="U31" s="5">
        <f t="shared" si="9"/>
        <v>7.1800107522758588E-2</v>
      </c>
      <c r="V31" s="7">
        <v>2690.7</v>
      </c>
      <c r="W31" s="5">
        <f t="shared" si="10"/>
        <v>4.9676943684377438E-2</v>
      </c>
      <c r="X31" s="7">
        <v>2439.4499999999998</v>
      </c>
      <c r="Y31" s="5">
        <f t="shared" si="11"/>
        <v>-1.4750580254673311E-2</v>
      </c>
      <c r="Z31" s="7">
        <v>4057.1</v>
      </c>
      <c r="AA31" s="5">
        <f t="shared" si="12"/>
        <v>-1.1140298922499825E-2</v>
      </c>
      <c r="AB31" s="10">
        <v>650.1</v>
      </c>
      <c r="AC31" s="5">
        <f t="shared" si="13"/>
        <v>8.1860060180045796E-3</v>
      </c>
      <c r="AD31" s="11">
        <v>12362.2</v>
      </c>
      <c r="AE31" s="5">
        <f t="shared" si="14"/>
        <v>-2.5453494690163302E-2</v>
      </c>
    </row>
    <row r="32" spans="1:43" ht="13.8">
      <c r="A32" s="13">
        <v>45488</v>
      </c>
      <c r="B32" s="7">
        <v>1707.05</v>
      </c>
      <c r="C32" s="4">
        <f t="shared" si="0"/>
        <v>-2.7495044816377044E-3</v>
      </c>
      <c r="D32" s="8">
        <v>520.15</v>
      </c>
      <c r="E32" s="4">
        <f t="shared" si="1"/>
        <v>1.1213263939865088E-2</v>
      </c>
      <c r="F32" s="7">
        <v>2148.6</v>
      </c>
      <c r="G32" s="4">
        <f t="shared" si="2"/>
        <v>-1.7902609959343329E-3</v>
      </c>
      <c r="H32" s="7">
        <v>1628.75</v>
      </c>
      <c r="I32" s="5">
        <f t="shared" si="3"/>
        <v>-2.2342549758768065E-2</v>
      </c>
      <c r="J32" s="7">
        <v>1499.05</v>
      </c>
      <c r="K32" s="5">
        <f t="shared" si="4"/>
        <v>-3.9945461057868887E-3</v>
      </c>
      <c r="L32" s="7">
        <v>9908.75</v>
      </c>
      <c r="M32" s="9">
        <f t="shared" si="5"/>
        <v>5.4512142919936092E-4</v>
      </c>
      <c r="N32" s="7">
        <v>1628.75</v>
      </c>
      <c r="O32" s="5">
        <f t="shared" si="6"/>
        <v>-2.2342549758768065E-2</v>
      </c>
      <c r="P32" s="7">
        <v>4575.3999999999996</v>
      </c>
      <c r="Q32" s="5">
        <f t="shared" si="7"/>
        <v>7.9213114560480608E-3</v>
      </c>
      <c r="R32" s="7">
        <v>1569.6</v>
      </c>
      <c r="S32" s="5">
        <f t="shared" si="8"/>
        <v>6.006791656885886E-3</v>
      </c>
      <c r="T32" s="7">
        <v>5916</v>
      </c>
      <c r="U32" s="5">
        <f t="shared" si="9"/>
        <v>-1.0366969289823429E-2</v>
      </c>
      <c r="V32" s="7">
        <v>2736.85</v>
      </c>
      <c r="W32" s="5">
        <f t="shared" si="10"/>
        <v>1.7006241216280967E-2</v>
      </c>
      <c r="X32" s="7">
        <v>2450.85</v>
      </c>
      <c r="Y32" s="5">
        <f t="shared" si="11"/>
        <v>4.6622991023757684E-3</v>
      </c>
      <c r="Z32" s="7">
        <v>4734.25</v>
      </c>
      <c r="AA32" s="5">
        <f t="shared" si="12"/>
        <v>0.15435488648510504</v>
      </c>
      <c r="AB32" s="10">
        <v>652.95000000000005</v>
      </c>
      <c r="AC32" s="5">
        <f t="shared" si="13"/>
        <v>4.3743594559931057E-3</v>
      </c>
      <c r="AD32" s="11">
        <v>12060.15</v>
      </c>
      <c r="AE32" s="5">
        <f t="shared" si="14"/>
        <v>-2.4736800685448666E-2</v>
      </c>
    </row>
    <row r="33" spans="1:31" ht="13.8">
      <c r="A33" s="13">
        <v>45489</v>
      </c>
      <c r="B33" s="7">
        <v>1726.05</v>
      </c>
      <c r="C33" s="4">
        <f t="shared" si="0"/>
        <v>1.106882641804257E-2</v>
      </c>
      <c r="D33" s="8">
        <v>520.85</v>
      </c>
      <c r="E33" s="4">
        <f t="shared" si="1"/>
        <v>1.3448609135536581E-3</v>
      </c>
      <c r="F33" s="7">
        <v>2115.6999999999998</v>
      </c>
      <c r="G33" s="4">
        <f t="shared" si="2"/>
        <v>-1.5430740243170239E-2</v>
      </c>
      <c r="H33" s="7">
        <v>1601.9</v>
      </c>
      <c r="I33" s="5">
        <f t="shared" si="3"/>
        <v>-1.6622424731617041E-2</v>
      </c>
      <c r="J33" s="7">
        <v>1516.2</v>
      </c>
      <c r="K33" s="5">
        <f t="shared" si="4"/>
        <v>1.1375630505510239E-2</v>
      </c>
      <c r="L33" s="7">
        <v>9796.9</v>
      </c>
      <c r="M33" s="9">
        <f t="shared" si="5"/>
        <v>-1.1352196065104885E-2</v>
      </c>
      <c r="N33" s="7">
        <v>1601.9</v>
      </c>
      <c r="O33" s="5">
        <f t="shared" si="6"/>
        <v>-1.6622424731617041E-2</v>
      </c>
      <c r="P33" s="7">
        <v>4570.8</v>
      </c>
      <c r="Q33" s="5">
        <f t="shared" si="7"/>
        <v>-1.0058823091242241E-3</v>
      </c>
      <c r="R33" s="7">
        <v>1569.55</v>
      </c>
      <c r="S33" s="5">
        <f t="shared" si="8"/>
        <v>-3.1855757134382065E-5</v>
      </c>
      <c r="T33" s="7">
        <v>5896.9</v>
      </c>
      <c r="U33" s="5">
        <f t="shared" si="9"/>
        <v>-3.2337557491109721E-3</v>
      </c>
      <c r="V33" s="7">
        <v>2799.45</v>
      </c>
      <c r="W33" s="5">
        <f t="shared" si="10"/>
        <v>2.2615345288900007E-2</v>
      </c>
      <c r="X33" s="7">
        <v>2455.4</v>
      </c>
      <c r="Y33" s="5">
        <f t="shared" si="11"/>
        <v>1.8547776017973413E-3</v>
      </c>
      <c r="Z33" s="7">
        <v>4439.8500000000004</v>
      </c>
      <c r="AA33" s="5">
        <f t="shared" si="12"/>
        <v>-6.4202727071212579E-2</v>
      </c>
      <c r="AB33" s="10">
        <v>667.35</v>
      </c>
      <c r="AC33" s="5">
        <f t="shared" si="13"/>
        <v>2.1814089253744118E-2</v>
      </c>
      <c r="AD33" s="11">
        <v>12055.5</v>
      </c>
      <c r="AE33" s="5">
        <f t="shared" si="14"/>
        <v>-3.8564169388998805E-4</v>
      </c>
    </row>
    <row r="34" spans="1:31" ht="13.8">
      <c r="A34" s="13">
        <v>45491</v>
      </c>
      <c r="B34" s="7">
        <v>1758.05</v>
      </c>
      <c r="C34" s="4">
        <f t="shared" si="0"/>
        <v>1.836967931378982E-2</v>
      </c>
      <c r="D34" s="8">
        <v>519</v>
      </c>
      <c r="E34" s="4">
        <f t="shared" si="1"/>
        <v>-3.5582092645692364E-3</v>
      </c>
      <c r="F34" s="7">
        <v>2138.85</v>
      </c>
      <c r="G34" s="4">
        <f t="shared" si="2"/>
        <v>1.0882574406965977E-2</v>
      </c>
      <c r="H34" s="7">
        <v>1546.45</v>
      </c>
      <c r="I34" s="5">
        <f t="shared" si="3"/>
        <v>-3.5228443175132268E-2</v>
      </c>
      <c r="J34" s="7">
        <v>1539.35</v>
      </c>
      <c r="K34" s="5">
        <f t="shared" si="4"/>
        <v>1.515304476343487E-2</v>
      </c>
      <c r="L34" s="7">
        <v>9780.7000000000007</v>
      </c>
      <c r="M34" s="9">
        <f t="shared" si="5"/>
        <v>-1.6549529766132643E-3</v>
      </c>
      <c r="N34" s="7">
        <v>1546.45</v>
      </c>
      <c r="O34" s="5">
        <f t="shared" si="6"/>
        <v>-3.5228443175132268E-2</v>
      </c>
      <c r="P34" s="7">
        <v>4584.8</v>
      </c>
      <c r="Q34" s="5">
        <f t="shared" si="7"/>
        <v>3.0582399649690894E-3</v>
      </c>
      <c r="R34" s="7">
        <v>1594.55</v>
      </c>
      <c r="S34" s="5">
        <f t="shared" si="8"/>
        <v>1.5802610696914087E-2</v>
      </c>
      <c r="T34" s="7">
        <v>5997.6</v>
      </c>
      <c r="U34" s="5">
        <f t="shared" si="9"/>
        <v>1.6932600107272995E-2</v>
      </c>
      <c r="V34" s="7">
        <v>2833.25</v>
      </c>
      <c r="W34" s="5">
        <f t="shared" si="10"/>
        <v>1.2001493315809625E-2</v>
      </c>
      <c r="X34" s="7">
        <v>2407.6</v>
      </c>
      <c r="Y34" s="5">
        <f t="shared" si="11"/>
        <v>-1.9659280073123887E-2</v>
      </c>
      <c r="Z34" s="7">
        <v>4292.25</v>
      </c>
      <c r="AA34" s="5">
        <f t="shared" si="12"/>
        <v>-3.3809521114480559E-2</v>
      </c>
      <c r="AB34" s="10">
        <v>684.85</v>
      </c>
      <c r="AC34" s="5">
        <f t="shared" si="13"/>
        <v>2.5885190260669641E-2</v>
      </c>
      <c r="AD34" s="11">
        <v>11828.55</v>
      </c>
      <c r="AE34" s="5">
        <f t="shared" si="14"/>
        <v>-1.9004886598688955E-2</v>
      </c>
    </row>
    <row r="35" spans="1:31" ht="13.8">
      <c r="A35" s="13">
        <v>45492</v>
      </c>
      <c r="B35" s="7">
        <v>1792.95</v>
      </c>
      <c r="C35" s="4">
        <f t="shared" si="0"/>
        <v>1.9657067740732684E-2</v>
      </c>
      <c r="D35" s="8">
        <v>503</v>
      </c>
      <c r="E35" s="4">
        <f t="shared" si="1"/>
        <v>-3.1313713066149378E-2</v>
      </c>
      <c r="F35" s="7">
        <v>2129</v>
      </c>
      <c r="G35" s="4">
        <f t="shared" si="2"/>
        <v>-4.6159155027582863E-3</v>
      </c>
      <c r="H35" s="7">
        <v>1467.75</v>
      </c>
      <c r="I35" s="5">
        <f t="shared" si="3"/>
        <v>-5.2231365588010274E-2</v>
      </c>
      <c r="J35" s="7">
        <v>1491.4</v>
      </c>
      <c r="K35" s="5">
        <f t="shared" si="4"/>
        <v>-3.1644973275943941E-2</v>
      </c>
      <c r="L35" s="7">
        <v>9714.35</v>
      </c>
      <c r="M35" s="9">
        <f t="shared" si="5"/>
        <v>-6.8068823815545902E-3</v>
      </c>
      <c r="N35" s="7">
        <v>1467.75</v>
      </c>
      <c r="O35" s="5">
        <f t="shared" si="6"/>
        <v>-5.2231365588010274E-2</v>
      </c>
      <c r="P35" s="7">
        <v>4519.8</v>
      </c>
      <c r="Q35" s="5">
        <f t="shared" si="7"/>
        <v>-1.4278739177823629E-2</v>
      </c>
      <c r="R35" s="7">
        <v>1594.55</v>
      </c>
      <c r="S35" s="5">
        <f t="shared" si="8"/>
        <v>0</v>
      </c>
      <c r="T35" s="7">
        <v>5983.75</v>
      </c>
      <c r="U35" s="5">
        <f t="shared" si="9"/>
        <v>-2.3119274821335571E-3</v>
      </c>
      <c r="V35" s="7">
        <v>2873.55</v>
      </c>
      <c r="W35" s="5">
        <f t="shared" si="10"/>
        <v>1.4123736566162009E-2</v>
      </c>
      <c r="X35" s="7">
        <v>2404.5500000000002</v>
      </c>
      <c r="Y35" s="5">
        <f t="shared" si="11"/>
        <v>-1.267624828159171E-3</v>
      </c>
      <c r="Z35" s="7">
        <v>4208.3999999999996</v>
      </c>
      <c r="AA35" s="5">
        <f t="shared" si="12"/>
        <v>-1.9728543023188751E-2</v>
      </c>
      <c r="AB35" s="10">
        <v>668.65</v>
      </c>
      <c r="AC35" s="5">
        <f t="shared" si="13"/>
        <v>-2.3939081862024758E-2</v>
      </c>
      <c r="AD35" s="11">
        <v>11190.35</v>
      </c>
      <c r="AE35" s="5">
        <f t="shared" si="14"/>
        <v>-5.5464300978646804E-2</v>
      </c>
    </row>
    <row r="36" spans="1:31" ht="13.8">
      <c r="A36" s="13">
        <v>45495</v>
      </c>
      <c r="B36" s="7">
        <v>1810.85</v>
      </c>
      <c r="C36" s="4">
        <f t="shared" si="0"/>
        <v>9.9340402936435382E-3</v>
      </c>
      <c r="D36" s="8">
        <v>517.79999999999995</v>
      </c>
      <c r="E36" s="4">
        <f t="shared" si="1"/>
        <v>2.8998897217698074E-2</v>
      </c>
      <c r="F36" s="7">
        <v>2108.3000000000002</v>
      </c>
      <c r="G36" s="4">
        <f t="shared" si="2"/>
        <v>-9.7704503675317272E-3</v>
      </c>
      <c r="H36" s="7">
        <v>1493.75</v>
      </c>
      <c r="I36" s="5">
        <f t="shared" si="3"/>
        <v>1.7559120735525482E-2</v>
      </c>
      <c r="J36" s="7">
        <v>1495.55</v>
      </c>
      <c r="K36" s="5">
        <f t="shared" si="4"/>
        <v>2.77875603565262E-3</v>
      </c>
      <c r="L36" s="7">
        <v>9979</v>
      </c>
      <c r="M36" s="9">
        <f t="shared" si="5"/>
        <v>2.6878711156219651E-2</v>
      </c>
      <c r="N36" s="7">
        <v>1493.75</v>
      </c>
      <c r="O36" s="5">
        <f t="shared" si="6"/>
        <v>1.7559120735525482E-2</v>
      </c>
      <c r="P36" s="7">
        <v>4534.8</v>
      </c>
      <c r="Q36" s="5">
        <f t="shared" si="7"/>
        <v>3.3132360837396339E-3</v>
      </c>
      <c r="R36" s="7">
        <v>1577.1</v>
      </c>
      <c r="S36" s="5">
        <f t="shared" si="8"/>
        <v>-1.1003847257366377E-2</v>
      </c>
      <c r="T36" s="7">
        <v>6076.2</v>
      </c>
      <c r="U36" s="5">
        <f t="shared" si="9"/>
        <v>1.533203885957545E-2</v>
      </c>
      <c r="V36" s="7">
        <v>2925.75</v>
      </c>
      <c r="W36" s="5">
        <f t="shared" si="10"/>
        <v>1.8002658875655893E-2</v>
      </c>
      <c r="X36" s="7">
        <v>2426.1</v>
      </c>
      <c r="Y36" s="5">
        <f t="shared" si="11"/>
        <v>8.9222539244295795E-3</v>
      </c>
      <c r="Z36" s="7">
        <v>4277.45</v>
      </c>
      <c r="AA36" s="5">
        <f t="shared" si="12"/>
        <v>1.6274509693179187E-2</v>
      </c>
      <c r="AB36" s="10">
        <v>668.05</v>
      </c>
      <c r="AC36" s="5">
        <f t="shared" si="13"/>
        <v>-8.9773328390257707E-4</v>
      </c>
      <c r="AD36" s="11">
        <v>11268.35</v>
      </c>
      <c r="AE36" s="5">
        <f t="shared" si="14"/>
        <v>6.9461111831710708E-3</v>
      </c>
    </row>
    <row r="37" spans="1:31" ht="13.8">
      <c r="A37" s="13">
        <v>45496</v>
      </c>
      <c r="B37" s="7">
        <v>1836.9</v>
      </c>
      <c r="C37" s="4">
        <f t="shared" si="0"/>
        <v>1.4283019866275391E-2</v>
      </c>
      <c r="D37" s="8">
        <v>526.75</v>
      </c>
      <c r="E37" s="4">
        <f t="shared" si="1"/>
        <v>1.7136985366861181E-2</v>
      </c>
      <c r="F37" s="7">
        <v>2081.1999999999998</v>
      </c>
      <c r="G37" s="4">
        <f t="shared" si="2"/>
        <v>-1.29372851097994E-2</v>
      </c>
      <c r="H37" s="7">
        <v>1467.9</v>
      </c>
      <c r="I37" s="5">
        <f t="shared" si="3"/>
        <v>-1.7456928716633142E-2</v>
      </c>
      <c r="J37" s="7">
        <v>1493.4</v>
      </c>
      <c r="K37" s="5">
        <f t="shared" si="4"/>
        <v>-1.4386325437458557E-3</v>
      </c>
      <c r="L37" s="7">
        <v>9738.15</v>
      </c>
      <c r="M37" s="9">
        <f t="shared" si="5"/>
        <v>-2.443172368667107E-2</v>
      </c>
      <c r="N37" s="7">
        <v>1467.9</v>
      </c>
      <c r="O37" s="5">
        <f t="shared" si="6"/>
        <v>-1.7456928716633142E-2</v>
      </c>
      <c r="P37" s="7">
        <v>4527</v>
      </c>
      <c r="Q37" s="5">
        <f t="shared" si="7"/>
        <v>-1.7215127074850867E-3</v>
      </c>
      <c r="R37" s="7">
        <v>1598.35</v>
      </c>
      <c r="S37" s="5">
        <f t="shared" si="8"/>
        <v>1.3384129630226255E-2</v>
      </c>
      <c r="T37" s="7">
        <v>6179.35</v>
      </c>
      <c r="U37" s="5">
        <f t="shared" si="9"/>
        <v>1.6833587360321787E-2</v>
      </c>
      <c r="V37" s="7">
        <v>2937.15</v>
      </c>
      <c r="W37" s="5">
        <f t="shared" si="10"/>
        <v>3.8888653625702447E-3</v>
      </c>
      <c r="X37" s="7">
        <v>2472.1999999999998</v>
      </c>
      <c r="Y37" s="5">
        <f t="shared" si="11"/>
        <v>1.8823412683836478E-2</v>
      </c>
      <c r="Z37" s="7">
        <v>4140.75</v>
      </c>
      <c r="AA37" s="5">
        <f t="shared" si="12"/>
        <v>-3.2480106795048251E-2</v>
      </c>
      <c r="AB37" s="10">
        <v>672.55</v>
      </c>
      <c r="AC37" s="5">
        <f t="shared" si="13"/>
        <v>6.7134371196874987E-3</v>
      </c>
      <c r="AD37" s="11">
        <v>11396.8</v>
      </c>
      <c r="AE37" s="5">
        <f t="shared" si="14"/>
        <v>1.1334703297371115E-2</v>
      </c>
    </row>
    <row r="38" spans="1:31" ht="13.8">
      <c r="A38" s="13">
        <v>45497</v>
      </c>
      <c r="B38" s="7">
        <v>1833.95</v>
      </c>
      <c r="C38" s="4">
        <f t="shared" si="0"/>
        <v>-1.6072575207679923E-3</v>
      </c>
      <c r="D38" s="8">
        <v>537.95000000000005</v>
      </c>
      <c r="E38" s="4">
        <f t="shared" si="1"/>
        <v>2.1039566355619852E-2</v>
      </c>
      <c r="F38" s="7">
        <v>2104.4</v>
      </c>
      <c r="G38" s="4">
        <f t="shared" si="2"/>
        <v>1.108574044050376E-2</v>
      </c>
      <c r="H38" s="7">
        <v>1428.75</v>
      </c>
      <c r="I38" s="5">
        <f t="shared" si="3"/>
        <v>-2.7032871854167206E-2</v>
      </c>
      <c r="J38" s="7">
        <v>1533.3</v>
      </c>
      <c r="K38" s="5">
        <f t="shared" si="4"/>
        <v>2.6366875840742134E-2</v>
      </c>
      <c r="L38" s="7">
        <v>9501.5</v>
      </c>
      <c r="M38" s="9">
        <f t="shared" si="5"/>
        <v>-2.4601480336229133E-2</v>
      </c>
      <c r="N38" s="7">
        <v>1428.75</v>
      </c>
      <c r="O38" s="5">
        <f t="shared" si="6"/>
        <v>-2.7032871854167206E-2</v>
      </c>
      <c r="P38" s="7">
        <v>4551.6000000000004</v>
      </c>
      <c r="Q38" s="5">
        <f t="shared" si="7"/>
        <v>5.4193510468949768E-3</v>
      </c>
      <c r="R38" s="7">
        <v>1583.7</v>
      </c>
      <c r="S38" s="5">
        <f t="shared" si="8"/>
        <v>-9.2079656260580355E-3</v>
      </c>
      <c r="T38" s="7">
        <v>6334.1</v>
      </c>
      <c r="U38" s="5">
        <f t="shared" si="9"/>
        <v>2.473464785915238E-2</v>
      </c>
      <c r="V38" s="7">
        <v>2869.85</v>
      </c>
      <c r="W38" s="5">
        <f t="shared" si="10"/>
        <v>-2.3179959837994146E-2</v>
      </c>
      <c r="X38" s="7">
        <v>2449.5500000000002</v>
      </c>
      <c r="Y38" s="5">
        <f t="shared" si="11"/>
        <v>-9.204108254375112E-3</v>
      </c>
      <c r="Z38" s="7">
        <v>4178.2</v>
      </c>
      <c r="AA38" s="5">
        <f t="shared" si="12"/>
        <v>9.0036009326851883E-3</v>
      </c>
      <c r="AB38" s="10">
        <v>657.95</v>
      </c>
      <c r="AC38" s="5">
        <f t="shared" si="13"/>
        <v>-2.1947517558440825E-2</v>
      </c>
      <c r="AD38" s="11">
        <v>12030.3</v>
      </c>
      <c r="AE38" s="5">
        <f t="shared" si="14"/>
        <v>5.4095853089557361E-2</v>
      </c>
    </row>
    <row r="39" spans="1:31" ht="13.8">
      <c r="A39" s="13">
        <v>45498</v>
      </c>
      <c r="B39" s="7">
        <v>1824.85</v>
      </c>
      <c r="C39" s="4">
        <f t="shared" si="0"/>
        <v>-4.9743187734101928E-3</v>
      </c>
      <c r="D39" s="8">
        <v>550.9</v>
      </c>
      <c r="E39" s="4">
        <f t="shared" si="1"/>
        <v>2.3787685438752551E-2</v>
      </c>
      <c r="F39" s="7">
        <v>2144.4</v>
      </c>
      <c r="G39" s="4">
        <f t="shared" si="2"/>
        <v>1.8829402096730424E-2</v>
      </c>
      <c r="H39" s="7">
        <v>1406.85</v>
      </c>
      <c r="I39" s="5">
        <f t="shared" si="3"/>
        <v>-1.5446773485963272E-2</v>
      </c>
      <c r="J39" s="7">
        <v>1530</v>
      </c>
      <c r="K39" s="5">
        <f t="shared" si="4"/>
        <v>-2.154540055862375E-3</v>
      </c>
      <c r="L39" s="7">
        <v>9409.85</v>
      </c>
      <c r="M39" s="9">
        <f t="shared" si="5"/>
        <v>-9.6926678978795471E-3</v>
      </c>
      <c r="N39" s="7">
        <v>1406.85</v>
      </c>
      <c r="O39" s="5">
        <f t="shared" si="6"/>
        <v>-1.5446773485963272E-2</v>
      </c>
      <c r="P39" s="7">
        <v>4547</v>
      </c>
      <c r="Q39" s="5">
        <f t="shared" si="7"/>
        <v>-1.011144657843067E-3</v>
      </c>
      <c r="R39" s="7">
        <v>1587.6</v>
      </c>
      <c r="S39" s="5">
        <f t="shared" si="8"/>
        <v>2.4595604112300886E-3</v>
      </c>
      <c r="T39" s="7">
        <v>6321.7</v>
      </c>
      <c r="U39" s="5">
        <f t="shared" si="9"/>
        <v>-1.9595764737018501E-3</v>
      </c>
      <c r="V39" s="7">
        <v>2844.6</v>
      </c>
      <c r="W39" s="5">
        <f t="shared" si="10"/>
        <v>-8.8373034433240367E-3</v>
      </c>
      <c r="X39" s="7">
        <v>2449.3000000000002</v>
      </c>
      <c r="Y39" s="5">
        <f t="shared" si="11"/>
        <v>-1.0206477039188728E-4</v>
      </c>
      <c r="Z39" s="7">
        <v>4294.45</v>
      </c>
      <c r="AA39" s="5">
        <f t="shared" si="12"/>
        <v>2.7442959574623817E-2</v>
      </c>
      <c r="AB39" s="10">
        <v>675</v>
      </c>
      <c r="AC39" s="5">
        <f t="shared" si="13"/>
        <v>2.5583750276380136E-2</v>
      </c>
      <c r="AD39" s="11">
        <v>11750.3</v>
      </c>
      <c r="AE39" s="5">
        <f t="shared" si="14"/>
        <v>-2.3549695152381946E-2</v>
      </c>
    </row>
    <row r="40" spans="1:31" ht="13.8">
      <c r="A40" s="13">
        <v>45499</v>
      </c>
      <c r="B40" s="7">
        <v>1878.9</v>
      </c>
      <c r="C40" s="4">
        <f t="shared" si="0"/>
        <v>2.9188707341636467E-2</v>
      </c>
      <c r="D40" s="8">
        <v>563.1</v>
      </c>
      <c r="E40" s="4">
        <f t="shared" si="1"/>
        <v>2.1903927781902015E-2</v>
      </c>
      <c r="F40" s="7">
        <v>2055.9</v>
      </c>
      <c r="G40" s="4">
        <f t="shared" si="2"/>
        <v>-4.2146084693494963E-2</v>
      </c>
      <c r="H40" s="7">
        <v>1412.5</v>
      </c>
      <c r="I40" s="5">
        <f t="shared" si="3"/>
        <v>4.0080213975388678E-3</v>
      </c>
      <c r="J40" s="7">
        <v>1541.15</v>
      </c>
      <c r="K40" s="5">
        <f t="shared" si="4"/>
        <v>7.2611555864701824E-3</v>
      </c>
      <c r="L40" s="7">
        <v>9480.65</v>
      </c>
      <c r="M40" s="9">
        <f t="shared" si="5"/>
        <v>7.4958663358788728E-3</v>
      </c>
      <c r="N40" s="7">
        <v>1412.5</v>
      </c>
      <c r="O40" s="5">
        <f t="shared" si="6"/>
        <v>4.0080213975388678E-3</v>
      </c>
      <c r="P40" s="7">
        <v>4790.6000000000004</v>
      </c>
      <c r="Q40" s="5">
        <f t="shared" si="7"/>
        <v>5.2187989695785517E-2</v>
      </c>
      <c r="R40" s="7">
        <v>1635.35</v>
      </c>
      <c r="S40" s="5">
        <f t="shared" si="8"/>
        <v>2.9633406791600436E-2</v>
      </c>
      <c r="T40" s="7">
        <v>6343.7</v>
      </c>
      <c r="U40" s="5">
        <f t="shared" si="9"/>
        <v>3.4740351076709931E-3</v>
      </c>
      <c r="V40" s="7">
        <v>3029.8</v>
      </c>
      <c r="W40" s="5">
        <f t="shared" si="10"/>
        <v>6.3074150588095595E-2</v>
      </c>
      <c r="X40" s="7">
        <v>2508</v>
      </c>
      <c r="Y40" s="5">
        <f t="shared" si="11"/>
        <v>2.3683353323855558E-2</v>
      </c>
      <c r="Z40" s="7">
        <v>4302.55</v>
      </c>
      <c r="AA40" s="5">
        <f t="shared" si="12"/>
        <v>1.8843788290906745E-3</v>
      </c>
      <c r="AB40" s="10">
        <v>679.75</v>
      </c>
      <c r="AC40" s="5">
        <f t="shared" si="13"/>
        <v>7.0123926400501874E-3</v>
      </c>
      <c r="AD40" s="11">
        <v>11547.6</v>
      </c>
      <c r="AE40" s="5">
        <f t="shared" si="14"/>
        <v>-1.7401149010909302E-2</v>
      </c>
    </row>
    <row r="41" spans="1:31" ht="13.8">
      <c r="A41" s="13">
        <v>45502</v>
      </c>
      <c r="B41" s="7">
        <v>1871.1</v>
      </c>
      <c r="C41" s="4">
        <f t="shared" si="0"/>
        <v>-4.160005999290335E-3</v>
      </c>
      <c r="D41" s="8">
        <v>564.85</v>
      </c>
      <c r="E41" s="4">
        <f t="shared" si="1"/>
        <v>3.1029769123649144E-3</v>
      </c>
      <c r="F41" s="7">
        <v>2063</v>
      </c>
      <c r="G41" s="4">
        <f t="shared" si="2"/>
        <v>3.4475258113641598E-3</v>
      </c>
      <c r="H41" s="7">
        <v>1469.35</v>
      </c>
      <c r="I41" s="5">
        <f t="shared" si="3"/>
        <v>3.9458942092417258E-2</v>
      </c>
      <c r="J41" s="7">
        <v>1525.35</v>
      </c>
      <c r="K41" s="5">
        <f t="shared" si="4"/>
        <v>-1.0304999067695161E-2</v>
      </c>
      <c r="L41" s="7">
        <v>9642.5</v>
      </c>
      <c r="M41" s="9">
        <f t="shared" si="5"/>
        <v>1.6927531782971093E-2</v>
      </c>
      <c r="N41" s="7">
        <v>1469.35</v>
      </c>
      <c r="O41" s="5">
        <f t="shared" si="6"/>
        <v>3.9458942092417258E-2</v>
      </c>
      <c r="P41" s="7">
        <v>4923.8500000000004</v>
      </c>
      <c r="Q41" s="5">
        <f t="shared" si="7"/>
        <v>2.7435080281360085E-2</v>
      </c>
      <c r="R41" s="7">
        <v>1632.35</v>
      </c>
      <c r="S41" s="5">
        <f t="shared" si="8"/>
        <v>-1.8361543855713344E-3</v>
      </c>
      <c r="T41" s="7">
        <v>6313.45</v>
      </c>
      <c r="U41" s="5">
        <f t="shared" si="9"/>
        <v>-4.7799161098612359E-3</v>
      </c>
      <c r="V41" s="7">
        <v>2931.6</v>
      </c>
      <c r="W41" s="5">
        <f t="shared" si="10"/>
        <v>-3.2948261672528185E-2</v>
      </c>
      <c r="X41" s="7">
        <v>2484.6</v>
      </c>
      <c r="Y41" s="5">
        <f t="shared" si="11"/>
        <v>-9.3739419732347413E-3</v>
      </c>
      <c r="Z41" s="7">
        <v>4265.3</v>
      </c>
      <c r="AA41" s="5">
        <f t="shared" si="12"/>
        <v>-8.6953517400706129E-3</v>
      </c>
      <c r="AB41" s="10">
        <v>683.05</v>
      </c>
      <c r="AC41" s="5">
        <f t="shared" si="13"/>
        <v>4.842979820916078E-3</v>
      </c>
      <c r="AD41" s="11">
        <v>11898.05</v>
      </c>
      <c r="AE41" s="5">
        <f t="shared" si="14"/>
        <v>2.9896897975621242E-2</v>
      </c>
    </row>
    <row r="42" spans="1:31" ht="13.8">
      <c r="A42" s="13">
        <v>45503</v>
      </c>
      <c r="B42" s="7">
        <v>1877.15</v>
      </c>
      <c r="C42" s="4">
        <f t="shared" si="0"/>
        <v>3.2281759509000894E-3</v>
      </c>
      <c r="D42" s="8">
        <v>588.95000000000005</v>
      </c>
      <c r="E42" s="4">
        <f t="shared" si="1"/>
        <v>4.1781081231855685E-2</v>
      </c>
      <c r="F42" s="7">
        <v>2055.65</v>
      </c>
      <c r="G42" s="4">
        <f t="shared" si="2"/>
        <v>-3.5691344505916654E-3</v>
      </c>
      <c r="H42" s="7">
        <v>1478.3</v>
      </c>
      <c r="I42" s="5">
        <f t="shared" si="3"/>
        <v>6.0726527940308831E-3</v>
      </c>
      <c r="J42" s="7">
        <v>1538.05</v>
      </c>
      <c r="K42" s="5">
        <f t="shared" si="4"/>
        <v>8.2914883848284431E-3</v>
      </c>
      <c r="L42" s="7">
        <v>9675.15</v>
      </c>
      <c r="M42" s="9">
        <f t="shared" si="5"/>
        <v>3.3803315713848282E-3</v>
      </c>
      <c r="N42" s="7">
        <v>1478.3</v>
      </c>
      <c r="O42" s="5">
        <f t="shared" si="6"/>
        <v>6.0726527940308831E-3</v>
      </c>
      <c r="P42" s="7">
        <v>4912.3500000000004</v>
      </c>
      <c r="Q42" s="5">
        <f t="shared" si="7"/>
        <v>-2.3383024419671803E-3</v>
      </c>
      <c r="R42" s="7">
        <v>1630.25</v>
      </c>
      <c r="S42" s="5">
        <f t="shared" si="8"/>
        <v>-1.2873170416276781E-3</v>
      </c>
      <c r="T42" s="7">
        <v>6313</v>
      </c>
      <c r="U42" s="5">
        <f t="shared" si="9"/>
        <v>-7.1278942250693869E-5</v>
      </c>
      <c r="V42" s="7">
        <v>2915.05</v>
      </c>
      <c r="W42" s="5">
        <f t="shared" si="10"/>
        <v>-5.6613767555453399E-3</v>
      </c>
      <c r="X42" s="7">
        <v>2496.6999999999998</v>
      </c>
      <c r="Y42" s="5">
        <f t="shared" si="11"/>
        <v>4.8581791092996846E-3</v>
      </c>
      <c r="Z42" s="7">
        <v>4240.3999999999996</v>
      </c>
      <c r="AA42" s="5">
        <f t="shared" si="12"/>
        <v>-5.8549140296502399E-3</v>
      </c>
      <c r="AB42" s="10">
        <v>681</v>
      </c>
      <c r="AC42" s="5">
        <f t="shared" si="13"/>
        <v>-3.0057571839837106E-3</v>
      </c>
      <c r="AD42" s="11">
        <v>11872.3</v>
      </c>
      <c r="AE42" s="5">
        <f t="shared" si="14"/>
        <v>-2.1665654963056095E-3</v>
      </c>
    </row>
    <row r="43" spans="1:31" ht="13.8">
      <c r="A43" s="13">
        <v>45504</v>
      </c>
      <c r="B43" s="7">
        <v>1868.25</v>
      </c>
      <c r="C43" s="4">
        <f t="shared" si="0"/>
        <v>-4.7525053406871831E-3</v>
      </c>
      <c r="D43" s="8">
        <v>630.1</v>
      </c>
      <c r="E43" s="4">
        <f t="shared" si="1"/>
        <v>6.7537246543216231E-2</v>
      </c>
      <c r="F43" s="7">
        <v>2028.1</v>
      </c>
      <c r="G43" s="4">
        <f t="shared" si="2"/>
        <v>-1.3492705460573684E-2</v>
      </c>
      <c r="H43" s="7">
        <v>1460.1</v>
      </c>
      <c r="I43" s="5">
        <f t="shared" si="3"/>
        <v>-1.2387852399525966E-2</v>
      </c>
      <c r="J43" s="7">
        <v>1554.4</v>
      </c>
      <c r="K43" s="5">
        <f t="shared" si="4"/>
        <v>1.0574238773145712E-2</v>
      </c>
      <c r="L43" s="7">
        <v>9619.5</v>
      </c>
      <c r="M43" s="9">
        <f t="shared" si="5"/>
        <v>-5.7684543967403083E-3</v>
      </c>
      <c r="N43" s="7">
        <v>1460.1</v>
      </c>
      <c r="O43" s="5">
        <f t="shared" si="6"/>
        <v>-1.2387852399525966E-2</v>
      </c>
      <c r="P43" s="7">
        <v>4923.2</v>
      </c>
      <c r="Q43" s="5">
        <f t="shared" si="7"/>
        <v>2.2062832075883526E-3</v>
      </c>
      <c r="R43" s="7">
        <v>1642.6</v>
      </c>
      <c r="S43" s="5">
        <f t="shared" si="8"/>
        <v>7.5469750327801632E-3</v>
      </c>
      <c r="T43" s="7">
        <v>6305.5</v>
      </c>
      <c r="U43" s="5">
        <f t="shared" si="9"/>
        <v>-1.1887309716964083E-3</v>
      </c>
      <c r="V43" s="7">
        <v>2892.5</v>
      </c>
      <c r="W43" s="5">
        <f t="shared" si="10"/>
        <v>-7.7657922283180959E-3</v>
      </c>
      <c r="X43" s="7">
        <v>2531</v>
      </c>
      <c r="Y43" s="5">
        <f t="shared" si="11"/>
        <v>1.364462165624775E-2</v>
      </c>
      <c r="Z43" s="7">
        <v>4228.45</v>
      </c>
      <c r="AA43" s="5">
        <f t="shared" si="12"/>
        <v>-2.8221087706387653E-3</v>
      </c>
      <c r="AB43" s="10">
        <v>674.1</v>
      </c>
      <c r="AC43" s="5">
        <f t="shared" si="13"/>
        <v>-1.0183838290119179E-2</v>
      </c>
      <c r="AD43" s="11">
        <v>11607.1</v>
      </c>
      <c r="AE43" s="5">
        <f t="shared" si="14"/>
        <v>-2.2590975807509368E-2</v>
      </c>
    </row>
    <row r="44" spans="1:31" ht="13.8">
      <c r="A44" s="12">
        <v>45505</v>
      </c>
      <c r="B44" s="7">
        <v>1852.6</v>
      </c>
      <c r="C44" s="4">
        <f t="shared" si="0"/>
        <v>-8.4121059904723895E-3</v>
      </c>
      <c r="D44" s="8">
        <v>631.5</v>
      </c>
      <c r="E44" s="4">
        <f t="shared" si="1"/>
        <v>2.2194048425358886E-3</v>
      </c>
      <c r="F44" s="7">
        <v>2004.75</v>
      </c>
      <c r="G44" s="4">
        <f t="shared" si="2"/>
        <v>-1.1580029472948342E-2</v>
      </c>
      <c r="H44" s="7">
        <v>1450.25</v>
      </c>
      <c r="I44" s="5">
        <f t="shared" si="3"/>
        <v>-6.7689711613445258E-3</v>
      </c>
      <c r="J44" s="7">
        <v>1544.45</v>
      </c>
      <c r="K44" s="5">
        <f t="shared" si="4"/>
        <v>-6.4217591648341081E-3</v>
      </c>
      <c r="L44" s="7">
        <v>9412.4500000000007</v>
      </c>
      <c r="M44" s="9">
        <f t="shared" si="5"/>
        <v>-2.1759007247980688E-2</v>
      </c>
      <c r="N44" s="7">
        <v>1450.25</v>
      </c>
      <c r="O44" s="5">
        <f t="shared" si="6"/>
        <v>-6.7689711613445258E-3</v>
      </c>
      <c r="P44" s="7">
        <v>4917.8999999999996</v>
      </c>
      <c r="Q44" s="5">
        <f t="shared" si="7"/>
        <v>-1.0771154672571054E-3</v>
      </c>
      <c r="R44" s="7">
        <v>1640.55</v>
      </c>
      <c r="S44" s="5">
        <f t="shared" si="8"/>
        <v>-1.2488008567474529E-3</v>
      </c>
      <c r="T44" s="7">
        <v>6286.15</v>
      </c>
      <c r="U44" s="5">
        <f t="shared" si="9"/>
        <v>-3.0734677714202591E-3</v>
      </c>
      <c r="V44" s="7">
        <v>2855</v>
      </c>
      <c r="W44" s="5">
        <f t="shared" si="10"/>
        <v>-1.3049336977721098E-2</v>
      </c>
      <c r="X44" s="7">
        <v>2584.1999999999998</v>
      </c>
      <c r="Y44" s="5">
        <f t="shared" si="11"/>
        <v>2.0801500742995797E-2</v>
      </c>
      <c r="Z44" s="7">
        <v>4245.3</v>
      </c>
      <c r="AA44" s="5">
        <f t="shared" si="12"/>
        <v>3.9769929981316307E-3</v>
      </c>
      <c r="AB44" s="10">
        <v>674.9</v>
      </c>
      <c r="AC44" s="5">
        <f t="shared" si="13"/>
        <v>1.1860638899676217E-3</v>
      </c>
      <c r="AD44" s="11">
        <v>12392.15</v>
      </c>
      <c r="AE44" s="5">
        <f t="shared" si="14"/>
        <v>6.544622778488518E-2</v>
      </c>
    </row>
    <row r="45" spans="1:31" ht="13.8">
      <c r="A45" s="12">
        <v>45506</v>
      </c>
      <c r="B45" s="7">
        <v>1821.2</v>
      </c>
      <c r="C45" s="4">
        <f t="shared" si="0"/>
        <v>-1.7094433359300068E-2</v>
      </c>
      <c r="D45" s="8">
        <v>646.1</v>
      </c>
      <c r="E45" s="4">
        <f t="shared" si="1"/>
        <v>2.2856348773574113E-2</v>
      </c>
      <c r="F45" s="7">
        <v>2000.05</v>
      </c>
      <c r="G45" s="4">
        <f t="shared" si="2"/>
        <v>-2.3471844575505452E-3</v>
      </c>
      <c r="H45" s="7">
        <v>1419.2</v>
      </c>
      <c r="I45" s="5">
        <f t="shared" si="3"/>
        <v>-2.1642622790858646E-2</v>
      </c>
      <c r="J45" s="7">
        <v>1507.7</v>
      </c>
      <c r="K45" s="5">
        <f t="shared" si="4"/>
        <v>-2.4082549113523428E-2</v>
      </c>
      <c r="L45" s="7">
        <v>9434.6</v>
      </c>
      <c r="M45" s="9">
        <f t="shared" si="5"/>
        <v>2.350501558383481E-3</v>
      </c>
      <c r="N45" s="7">
        <v>1419.2</v>
      </c>
      <c r="O45" s="5">
        <f t="shared" si="6"/>
        <v>-2.1642622790858646E-2</v>
      </c>
      <c r="P45" s="7">
        <v>4991.25</v>
      </c>
      <c r="Q45" s="5">
        <f t="shared" si="7"/>
        <v>1.4804769276910759E-2</v>
      </c>
      <c r="R45" s="7">
        <v>1609.3</v>
      </c>
      <c r="S45" s="5">
        <f t="shared" si="8"/>
        <v>-1.9232249624895306E-2</v>
      </c>
      <c r="T45" s="7">
        <v>6080</v>
      </c>
      <c r="U45" s="5">
        <f t="shared" si="9"/>
        <v>-3.3344104664296187E-2</v>
      </c>
      <c r="V45" s="7">
        <v>2775.3</v>
      </c>
      <c r="W45" s="5">
        <f t="shared" si="10"/>
        <v>-2.8312993644727884E-2</v>
      </c>
      <c r="X45" s="7">
        <v>2569.4</v>
      </c>
      <c r="Y45" s="5">
        <f t="shared" si="11"/>
        <v>-5.7435736906105298E-3</v>
      </c>
      <c r="Z45" s="7">
        <v>4183.1499999999996</v>
      </c>
      <c r="AA45" s="5">
        <f t="shared" si="12"/>
        <v>-1.4747937396140772E-2</v>
      </c>
      <c r="AB45" s="10">
        <v>662.4</v>
      </c>
      <c r="AC45" s="5">
        <f t="shared" si="13"/>
        <v>-1.8694928678310845E-2</v>
      </c>
      <c r="AD45" s="11">
        <v>12039.55</v>
      </c>
      <c r="AE45" s="5">
        <f t="shared" si="14"/>
        <v>-2.8866143857995654E-2</v>
      </c>
    </row>
    <row r="46" spans="1:31" ht="13.8">
      <c r="A46" s="12">
        <v>45509</v>
      </c>
      <c r="B46" s="7">
        <v>1751.9</v>
      </c>
      <c r="C46" s="4">
        <f t="shared" si="0"/>
        <v>-3.8794711218850662E-2</v>
      </c>
      <c r="D46" s="8">
        <v>641.70000000000005</v>
      </c>
      <c r="E46" s="4">
        <f t="shared" si="1"/>
        <v>-6.8333858076500761E-3</v>
      </c>
      <c r="F46" s="7">
        <v>1990.4</v>
      </c>
      <c r="G46" s="4">
        <f t="shared" si="2"/>
        <v>-4.8365566847271696E-3</v>
      </c>
      <c r="H46" s="7">
        <v>1341.15</v>
      </c>
      <c r="I46" s="5">
        <f t="shared" si="3"/>
        <v>-5.6565877705878224E-2</v>
      </c>
      <c r="J46" s="7">
        <v>1456.35</v>
      </c>
      <c r="K46" s="5">
        <f t="shared" si="4"/>
        <v>-3.465200530060928E-2</v>
      </c>
      <c r="L46" s="7">
        <v>9121.4</v>
      </c>
      <c r="M46" s="9">
        <f t="shared" si="5"/>
        <v>-3.3760481508388972E-2</v>
      </c>
      <c r="N46" s="7">
        <v>1341.15</v>
      </c>
      <c r="O46" s="5">
        <f t="shared" si="6"/>
        <v>-5.6565877705878224E-2</v>
      </c>
      <c r="P46" s="7">
        <v>4826.95</v>
      </c>
      <c r="Q46" s="5">
        <f t="shared" si="7"/>
        <v>-3.3471581171249709E-2</v>
      </c>
      <c r="R46" s="7">
        <v>1562.4</v>
      </c>
      <c r="S46" s="5">
        <f t="shared" si="8"/>
        <v>-2.9576201261979868E-2</v>
      </c>
      <c r="T46" s="7">
        <v>5897.05</v>
      </c>
      <c r="U46" s="5">
        <f t="shared" si="9"/>
        <v>-3.0552470108084193E-2</v>
      </c>
      <c r="V46" s="7">
        <v>2652.25</v>
      </c>
      <c r="W46" s="5">
        <f t="shared" si="10"/>
        <v>-4.5350513106001751E-2</v>
      </c>
      <c r="X46" s="7">
        <v>2493.35</v>
      </c>
      <c r="Y46" s="5">
        <f t="shared" si="11"/>
        <v>-3.0045220827458665E-2</v>
      </c>
      <c r="Z46" s="7">
        <v>3989.5</v>
      </c>
      <c r="AA46" s="5">
        <f t="shared" si="12"/>
        <v>-4.739864148195902E-2</v>
      </c>
      <c r="AB46" s="10">
        <v>672.15</v>
      </c>
      <c r="AC46" s="5">
        <f t="shared" si="13"/>
        <v>1.4611926829211839E-2</v>
      </c>
      <c r="AD46" s="11">
        <v>11589.25</v>
      </c>
      <c r="AE46" s="5">
        <f t="shared" si="14"/>
        <v>-3.8119119466820464E-2</v>
      </c>
    </row>
    <row r="47" spans="1:31" ht="13.8">
      <c r="A47" s="12">
        <v>45510</v>
      </c>
      <c r="B47" s="7">
        <v>1751.1</v>
      </c>
      <c r="C47" s="4">
        <f t="shared" si="0"/>
        <v>-4.5675136392135109E-4</v>
      </c>
      <c r="D47" s="8">
        <v>649</v>
      </c>
      <c r="E47" s="4">
        <f t="shared" si="1"/>
        <v>1.1311811947620289E-2</v>
      </c>
      <c r="F47" s="7">
        <v>2031.2</v>
      </c>
      <c r="G47" s="4">
        <f t="shared" si="2"/>
        <v>2.0291127845608416E-2</v>
      </c>
      <c r="H47" s="7">
        <v>1342.55</v>
      </c>
      <c r="I47" s="5">
        <f t="shared" si="3"/>
        <v>1.0433357879028489E-3</v>
      </c>
      <c r="J47" s="7">
        <v>1483.4</v>
      </c>
      <c r="K47" s="5">
        <f t="shared" si="4"/>
        <v>1.8403444818194267E-2</v>
      </c>
      <c r="L47" s="7">
        <v>9189.9500000000007</v>
      </c>
      <c r="M47" s="9">
        <f t="shared" si="5"/>
        <v>7.487194579482076E-3</v>
      </c>
      <c r="N47" s="7">
        <v>1342.55</v>
      </c>
      <c r="O47" s="5">
        <f t="shared" si="6"/>
        <v>1.0433357879028489E-3</v>
      </c>
      <c r="P47" s="7">
        <v>4827.55</v>
      </c>
      <c r="Q47" s="5">
        <f t="shared" si="7"/>
        <v>1.2429437066082503E-4</v>
      </c>
      <c r="R47" s="7">
        <v>1582.75</v>
      </c>
      <c r="S47" s="5">
        <f t="shared" si="8"/>
        <v>1.2940739861766705E-2</v>
      </c>
      <c r="T47" s="7">
        <v>5896</v>
      </c>
      <c r="U47" s="5">
        <f t="shared" si="9"/>
        <v>-1.7807098295605705E-4</v>
      </c>
      <c r="V47" s="7">
        <v>2639.05</v>
      </c>
      <c r="W47" s="5">
        <f t="shared" si="10"/>
        <v>-4.9893324448701147E-3</v>
      </c>
      <c r="X47" s="7">
        <v>2478.8000000000002</v>
      </c>
      <c r="Y47" s="5">
        <f t="shared" si="11"/>
        <v>-5.8526156820981551E-3</v>
      </c>
      <c r="Z47" s="7">
        <v>4071.2</v>
      </c>
      <c r="AA47" s="5">
        <f t="shared" si="12"/>
        <v>2.0271886526287211E-2</v>
      </c>
      <c r="AB47" s="10">
        <v>628.5</v>
      </c>
      <c r="AC47" s="5">
        <f t="shared" si="13"/>
        <v>-6.7145501869959628E-2</v>
      </c>
      <c r="AD47" s="11">
        <v>10910.95</v>
      </c>
      <c r="AE47" s="5">
        <f t="shared" si="14"/>
        <v>-6.0311072169022269E-2</v>
      </c>
    </row>
    <row r="48" spans="1:31" ht="13.8">
      <c r="A48" s="12">
        <v>45511</v>
      </c>
      <c r="B48" s="7">
        <v>1791.65</v>
      </c>
      <c r="C48" s="4">
        <f t="shared" si="0"/>
        <v>2.2892821081050528E-2</v>
      </c>
      <c r="D48" s="8">
        <v>656.8</v>
      </c>
      <c r="E48" s="4">
        <f t="shared" si="1"/>
        <v>1.1946841434128443E-2</v>
      </c>
      <c r="F48" s="7">
        <v>2058.1</v>
      </c>
      <c r="G48" s="4">
        <f t="shared" si="2"/>
        <v>1.3156475687945703E-2</v>
      </c>
      <c r="H48" s="7">
        <v>1402.65</v>
      </c>
      <c r="I48" s="5">
        <f t="shared" si="3"/>
        <v>4.3792513912225953E-2</v>
      </c>
      <c r="J48" s="7">
        <v>1473.65</v>
      </c>
      <c r="K48" s="5">
        <f t="shared" si="4"/>
        <v>-6.5944338667271998E-3</v>
      </c>
      <c r="L48" s="7">
        <v>9347.7999999999993</v>
      </c>
      <c r="M48" s="9">
        <f t="shared" si="5"/>
        <v>1.7030525840558582E-2</v>
      </c>
      <c r="N48" s="7">
        <v>1402.65</v>
      </c>
      <c r="O48" s="5">
        <f t="shared" si="6"/>
        <v>4.3792513912225953E-2</v>
      </c>
      <c r="P48" s="7">
        <v>4946.5</v>
      </c>
      <c r="Q48" s="5">
        <f t="shared" si="7"/>
        <v>2.4341163186434964E-2</v>
      </c>
      <c r="R48" s="7">
        <v>1594.6</v>
      </c>
      <c r="S48" s="5">
        <f t="shared" si="8"/>
        <v>7.4590806441592042E-3</v>
      </c>
      <c r="T48" s="7">
        <v>6016.7</v>
      </c>
      <c r="U48" s="5">
        <f t="shared" si="9"/>
        <v>2.0264781374603094E-2</v>
      </c>
      <c r="V48" s="7">
        <v>2726</v>
      </c>
      <c r="W48" s="5">
        <f t="shared" si="10"/>
        <v>3.2416329361967179E-2</v>
      </c>
      <c r="X48" s="7">
        <v>2574.5500000000002</v>
      </c>
      <c r="Y48" s="5">
        <f t="shared" si="11"/>
        <v>3.7900189456497785E-2</v>
      </c>
      <c r="Z48" s="7">
        <v>4190.95</v>
      </c>
      <c r="AA48" s="5">
        <f t="shared" si="12"/>
        <v>2.8989642252390629E-2</v>
      </c>
      <c r="AB48" s="10">
        <v>649.04999999999995</v>
      </c>
      <c r="AC48" s="5">
        <f t="shared" si="13"/>
        <v>3.2173727308701203E-2</v>
      </c>
      <c r="AD48" s="11">
        <v>10940.3</v>
      </c>
      <c r="AE48" s="5">
        <f t="shared" si="14"/>
        <v>2.6863467902525167E-3</v>
      </c>
    </row>
    <row r="49" spans="1:31" ht="13.8">
      <c r="A49" s="12">
        <v>45512</v>
      </c>
      <c r="B49" s="7">
        <v>1743.15</v>
      </c>
      <c r="C49" s="4">
        <f t="shared" si="0"/>
        <v>-2.744316162191314E-2</v>
      </c>
      <c r="D49" s="8">
        <v>652.85</v>
      </c>
      <c r="E49" s="4">
        <f t="shared" si="1"/>
        <v>-6.0321642841708054E-3</v>
      </c>
      <c r="F49" s="7">
        <v>2072.35</v>
      </c>
      <c r="G49" s="4">
        <f t="shared" si="2"/>
        <v>6.9000019546840456E-3</v>
      </c>
      <c r="H49" s="7">
        <v>1414.25</v>
      </c>
      <c r="I49" s="5">
        <f t="shared" si="3"/>
        <v>8.2360506736995198E-3</v>
      </c>
      <c r="J49" s="7">
        <v>1466.45</v>
      </c>
      <c r="K49" s="5">
        <f t="shared" si="4"/>
        <v>-4.8978023829632901E-3</v>
      </c>
      <c r="L49" s="7">
        <v>9401.35</v>
      </c>
      <c r="M49" s="9">
        <f t="shared" si="5"/>
        <v>5.7122744883531026E-3</v>
      </c>
      <c r="N49" s="7">
        <v>1414.25</v>
      </c>
      <c r="O49" s="5">
        <f t="shared" si="6"/>
        <v>8.2360506736995198E-3</v>
      </c>
      <c r="P49" s="7">
        <v>4834.5</v>
      </c>
      <c r="Q49" s="5">
        <f t="shared" si="7"/>
        <v>-2.2902544839674979E-2</v>
      </c>
      <c r="R49" s="7">
        <v>1557.85</v>
      </c>
      <c r="S49" s="5">
        <f t="shared" si="8"/>
        <v>-2.3316255551218454E-2</v>
      </c>
      <c r="T49" s="7">
        <v>5845.1</v>
      </c>
      <c r="U49" s="5">
        <f t="shared" si="9"/>
        <v>-2.8935232844094751E-2</v>
      </c>
      <c r="V49" s="7">
        <v>2645.5</v>
      </c>
      <c r="W49" s="5">
        <f t="shared" si="10"/>
        <v>-2.9975249912291523E-2</v>
      </c>
      <c r="X49" s="7">
        <v>2529.0500000000002</v>
      </c>
      <c r="Y49" s="5">
        <f t="shared" si="11"/>
        <v>-1.7831023409581873E-2</v>
      </c>
      <c r="Z49" s="7">
        <v>4127.7</v>
      </c>
      <c r="AA49" s="5">
        <f t="shared" si="12"/>
        <v>-1.5207087425133181E-2</v>
      </c>
      <c r="AB49" s="10">
        <v>652.25</v>
      </c>
      <c r="AC49" s="5">
        <f t="shared" si="13"/>
        <v>4.9181686778344532E-3</v>
      </c>
      <c r="AD49" s="11">
        <v>11000.2</v>
      </c>
      <c r="AE49" s="5">
        <f t="shared" si="14"/>
        <v>5.4602355299410562E-3</v>
      </c>
    </row>
    <row r="50" spans="1:31" ht="13.8">
      <c r="A50" s="12">
        <v>45513</v>
      </c>
      <c r="B50" s="7">
        <v>1770.75</v>
      </c>
      <c r="C50" s="4">
        <f t="shared" si="0"/>
        <v>1.5709364296739515E-2</v>
      </c>
      <c r="D50" s="8">
        <v>658.75</v>
      </c>
      <c r="E50" s="4">
        <f t="shared" si="1"/>
        <v>8.9967060015244977E-3</v>
      </c>
      <c r="F50" s="7">
        <v>2136.15</v>
      </c>
      <c r="G50" s="4">
        <f t="shared" si="2"/>
        <v>3.0321914300448057E-2</v>
      </c>
      <c r="H50" s="7">
        <v>1434.05</v>
      </c>
      <c r="I50" s="5">
        <f t="shared" si="3"/>
        <v>1.3903253831930064E-2</v>
      </c>
      <c r="J50" s="7">
        <v>1506.7</v>
      </c>
      <c r="K50" s="5">
        <f t="shared" si="4"/>
        <v>2.7077314754475543E-2</v>
      </c>
      <c r="L50" s="7">
        <v>9454.1</v>
      </c>
      <c r="M50" s="9">
        <f t="shared" si="5"/>
        <v>5.5952138631244885E-3</v>
      </c>
      <c r="N50" s="7">
        <v>1434.05</v>
      </c>
      <c r="O50" s="5">
        <f t="shared" si="6"/>
        <v>1.3903253831930064E-2</v>
      </c>
      <c r="P50" s="7">
        <v>4829.95</v>
      </c>
      <c r="Q50" s="5">
        <f t="shared" si="7"/>
        <v>-9.4159529743961952E-4</v>
      </c>
      <c r="R50" s="7">
        <v>1589.95</v>
      </c>
      <c r="S50" s="5">
        <f t="shared" si="8"/>
        <v>2.0395903661767256E-2</v>
      </c>
      <c r="T50" s="7">
        <v>5878.4</v>
      </c>
      <c r="U50" s="5">
        <f t="shared" si="9"/>
        <v>5.68091262112557E-3</v>
      </c>
      <c r="V50" s="7">
        <v>2720.5</v>
      </c>
      <c r="W50" s="5">
        <f t="shared" si="10"/>
        <v>2.7955603581793685E-2</v>
      </c>
      <c r="X50" s="7">
        <v>2581.4499999999998</v>
      </c>
      <c r="Y50" s="5">
        <f t="shared" si="11"/>
        <v>2.0507518413105455E-2</v>
      </c>
      <c r="Z50" s="7">
        <v>4430.05</v>
      </c>
      <c r="AA50" s="5">
        <f t="shared" si="12"/>
        <v>7.069051955532242E-2</v>
      </c>
      <c r="AB50" s="10">
        <v>653</v>
      </c>
      <c r="AC50" s="5">
        <f t="shared" si="13"/>
        <v>1.1492052595933181E-3</v>
      </c>
      <c r="AD50" s="11">
        <v>11010.8</v>
      </c>
      <c r="AE50" s="5">
        <f t="shared" si="14"/>
        <v>9.6315486070029383E-4</v>
      </c>
    </row>
    <row r="51" spans="1:31" ht="13.8">
      <c r="A51" s="13">
        <v>45516</v>
      </c>
      <c r="B51" s="7">
        <v>1797.4</v>
      </c>
      <c r="C51" s="4">
        <f t="shared" si="0"/>
        <v>1.4937990590541163E-2</v>
      </c>
      <c r="D51" s="8">
        <v>689.1</v>
      </c>
      <c r="E51" s="4">
        <f t="shared" si="1"/>
        <v>4.5042298507590235E-2</v>
      </c>
      <c r="F51" s="7">
        <v>2152.0500000000002</v>
      </c>
      <c r="G51" s="4">
        <f t="shared" si="2"/>
        <v>7.4157328789622645E-3</v>
      </c>
      <c r="H51" s="7">
        <v>1343.95</v>
      </c>
      <c r="I51" s="5">
        <f t="shared" si="3"/>
        <v>-6.4889570045078365E-2</v>
      </c>
      <c r="J51" s="7">
        <v>1512.5</v>
      </c>
      <c r="K51" s="5">
        <f t="shared" si="4"/>
        <v>3.8420820977538286E-3</v>
      </c>
      <c r="L51" s="7">
        <v>9374.0499999999993</v>
      </c>
      <c r="M51" s="9">
        <f t="shared" si="5"/>
        <v>-8.5032764598501984E-3</v>
      </c>
      <c r="N51" s="7">
        <v>1343.95</v>
      </c>
      <c r="O51" s="5">
        <f t="shared" si="6"/>
        <v>-6.4889570045078365E-2</v>
      </c>
      <c r="P51" s="7">
        <v>4891</v>
      </c>
      <c r="Q51" s="5">
        <f t="shared" si="7"/>
        <v>1.2560665913194579E-2</v>
      </c>
      <c r="R51" s="7">
        <v>1585.25</v>
      </c>
      <c r="S51" s="5">
        <f t="shared" si="8"/>
        <v>-2.9604455988029481E-3</v>
      </c>
      <c r="T51" s="7">
        <v>5874.55</v>
      </c>
      <c r="U51" s="5">
        <f t="shared" si="9"/>
        <v>-6.5515468673144593E-4</v>
      </c>
      <c r="V51" s="7">
        <v>2702.9</v>
      </c>
      <c r="W51" s="5">
        <f t="shared" si="10"/>
        <v>-6.4904162643463024E-3</v>
      </c>
      <c r="X51" s="7">
        <v>2578</v>
      </c>
      <c r="Y51" s="5">
        <f t="shared" si="11"/>
        <v>-1.3373520488410829E-3</v>
      </c>
      <c r="Z51" s="7">
        <v>4444.55</v>
      </c>
      <c r="AA51" s="5">
        <f t="shared" si="12"/>
        <v>3.2677558206245082E-3</v>
      </c>
      <c r="AB51" s="10">
        <v>644.65</v>
      </c>
      <c r="AC51" s="5">
        <f t="shared" si="13"/>
        <v>-1.2869595419584512E-2</v>
      </c>
      <c r="AD51" s="11">
        <v>11514.8</v>
      </c>
      <c r="AE51" s="5">
        <f t="shared" si="14"/>
        <v>4.4756555160258768E-2</v>
      </c>
    </row>
    <row r="52" spans="1:31" ht="13.8">
      <c r="A52" s="13">
        <v>45517</v>
      </c>
      <c r="B52" s="7">
        <v>1797.45</v>
      </c>
      <c r="C52" s="4">
        <f t="shared" si="0"/>
        <v>2.7817572362280521E-5</v>
      </c>
      <c r="D52" s="8">
        <v>676.45</v>
      </c>
      <c r="E52" s="4">
        <f t="shared" si="1"/>
        <v>-1.8527863313793004E-2</v>
      </c>
      <c r="F52" s="7">
        <v>2175.65</v>
      </c>
      <c r="G52" s="4">
        <f t="shared" si="2"/>
        <v>1.0906594238050335E-2</v>
      </c>
      <c r="H52" s="7">
        <v>1335.65</v>
      </c>
      <c r="I52" s="5">
        <f t="shared" si="3"/>
        <v>-6.1949742831491732E-3</v>
      </c>
      <c r="J52" s="7">
        <v>1503.4</v>
      </c>
      <c r="K52" s="5">
        <f t="shared" si="4"/>
        <v>-6.0347011616279523E-3</v>
      </c>
      <c r="L52" s="7">
        <v>9148.9</v>
      </c>
      <c r="M52" s="9">
        <f t="shared" si="5"/>
        <v>-2.431157990720963E-2</v>
      </c>
      <c r="N52" s="7">
        <v>1335.65</v>
      </c>
      <c r="O52" s="5">
        <f t="shared" si="6"/>
        <v>-6.1949742831491732E-3</v>
      </c>
      <c r="P52" s="7">
        <v>4861.8</v>
      </c>
      <c r="Q52" s="5">
        <f t="shared" si="7"/>
        <v>-5.9880418446225572E-3</v>
      </c>
      <c r="R52" s="7">
        <v>1592.65</v>
      </c>
      <c r="S52" s="5">
        <f t="shared" si="8"/>
        <v>4.6571719531975269E-3</v>
      </c>
      <c r="T52" s="7">
        <v>5847.75</v>
      </c>
      <c r="U52" s="5">
        <f t="shared" si="9"/>
        <v>-4.5724894762560093E-3</v>
      </c>
      <c r="V52" s="7">
        <v>2696.55</v>
      </c>
      <c r="W52" s="5">
        <f t="shared" si="10"/>
        <v>-2.3520925010989012E-3</v>
      </c>
      <c r="X52" s="7">
        <v>2635.8</v>
      </c>
      <c r="Y52" s="5">
        <f t="shared" si="11"/>
        <v>2.2172836710656302E-2</v>
      </c>
      <c r="Z52" s="7">
        <v>4391.3500000000004</v>
      </c>
      <c r="AA52" s="5">
        <f t="shared" si="12"/>
        <v>-1.2041929598014842E-2</v>
      </c>
      <c r="AB52" s="10">
        <v>660.55</v>
      </c>
      <c r="AC52" s="5">
        <f t="shared" si="13"/>
        <v>2.4365287467516521E-2</v>
      </c>
      <c r="AD52" s="11">
        <v>11374.8</v>
      </c>
      <c r="AE52" s="5">
        <f t="shared" si="14"/>
        <v>-1.2232782207365069E-2</v>
      </c>
    </row>
    <row r="53" spans="1:31" ht="13.8">
      <c r="A53" s="13">
        <v>45518</v>
      </c>
      <c r="B53" s="7">
        <v>1823.25</v>
      </c>
      <c r="C53" s="4">
        <f t="shared" si="0"/>
        <v>1.4251629067707005E-2</v>
      </c>
      <c r="D53" s="8">
        <v>669.3</v>
      </c>
      <c r="E53" s="4">
        <f t="shared" si="1"/>
        <v>-1.0626144942772848E-2</v>
      </c>
      <c r="F53" s="7">
        <v>2216.1999999999998</v>
      </c>
      <c r="G53" s="4">
        <f t="shared" si="2"/>
        <v>1.8466547051665866E-2</v>
      </c>
      <c r="H53" s="7">
        <v>1317.8</v>
      </c>
      <c r="I53" s="5">
        <f t="shared" si="3"/>
        <v>-1.3454385247248174E-2</v>
      </c>
      <c r="J53" s="7">
        <v>1524.4</v>
      </c>
      <c r="K53" s="5">
        <f t="shared" si="4"/>
        <v>1.3871680256336656E-2</v>
      </c>
      <c r="L53" s="7">
        <v>9390.6</v>
      </c>
      <c r="M53" s="9">
        <f t="shared" si="5"/>
        <v>2.6075535461012451E-2</v>
      </c>
      <c r="N53" s="7">
        <v>1317.8</v>
      </c>
      <c r="O53" s="5">
        <f t="shared" si="6"/>
        <v>-1.3454385247248174E-2</v>
      </c>
      <c r="P53" s="7">
        <v>4662</v>
      </c>
      <c r="Q53" s="5">
        <f t="shared" si="7"/>
        <v>-4.1964199099032193E-2</v>
      </c>
      <c r="R53" s="7">
        <v>1626.15</v>
      </c>
      <c r="S53" s="5">
        <f t="shared" si="8"/>
        <v>2.081596224207196E-2</v>
      </c>
      <c r="T53" s="7">
        <v>5870.3</v>
      </c>
      <c r="U53" s="5">
        <f t="shared" si="9"/>
        <v>3.8487679837715416E-3</v>
      </c>
      <c r="V53" s="7">
        <v>2718.85</v>
      </c>
      <c r="W53" s="5">
        <f t="shared" si="10"/>
        <v>8.23581860922795E-3</v>
      </c>
      <c r="X53" s="7">
        <v>2605.5</v>
      </c>
      <c r="Y53" s="5">
        <f t="shared" si="11"/>
        <v>-1.1562145860519624E-2</v>
      </c>
      <c r="Z53" s="7">
        <v>4343.3</v>
      </c>
      <c r="AA53" s="5">
        <f t="shared" si="12"/>
        <v>-1.1002269055564791E-2</v>
      </c>
      <c r="AB53" s="10">
        <v>650.25</v>
      </c>
      <c r="AC53" s="5">
        <f t="shared" si="13"/>
        <v>-1.5715916995602049E-2</v>
      </c>
      <c r="AD53" s="11">
        <v>11120.65</v>
      </c>
      <c r="AE53" s="5">
        <f t="shared" si="14"/>
        <v>-2.2596641913336688E-2</v>
      </c>
    </row>
    <row r="54" spans="1:31" ht="13.8">
      <c r="A54" s="13">
        <v>45520</v>
      </c>
      <c r="B54" s="7">
        <v>1858.95</v>
      </c>
      <c r="C54" s="4">
        <f t="shared" si="0"/>
        <v>1.9391189314650583E-2</v>
      </c>
      <c r="D54" s="8">
        <v>662.35</v>
      </c>
      <c r="E54" s="4">
        <f t="shared" si="1"/>
        <v>-1.0438272976325848E-2</v>
      </c>
      <c r="F54" s="7">
        <v>2300.9</v>
      </c>
      <c r="G54" s="4">
        <f t="shared" si="2"/>
        <v>3.7506333223262002E-2</v>
      </c>
      <c r="H54" s="7">
        <v>1318.8</v>
      </c>
      <c r="I54" s="5">
        <f t="shared" si="3"/>
        <v>7.5855271785652792E-4</v>
      </c>
      <c r="J54" s="7">
        <v>1585.3</v>
      </c>
      <c r="K54" s="5">
        <f t="shared" si="4"/>
        <v>3.9172773849476789E-2</v>
      </c>
      <c r="L54" s="7">
        <v>9585.5</v>
      </c>
      <c r="M54" s="9">
        <f t="shared" si="5"/>
        <v>2.0542351035592321E-2</v>
      </c>
      <c r="N54" s="7">
        <v>1318.8</v>
      </c>
      <c r="O54" s="5">
        <f t="shared" si="6"/>
        <v>7.5855271785652792E-4</v>
      </c>
      <c r="P54" s="7">
        <v>4633.8999999999996</v>
      </c>
      <c r="Q54" s="5">
        <f t="shared" si="7"/>
        <v>-6.0456944650549588E-3</v>
      </c>
      <c r="R54" s="7">
        <v>1668.25</v>
      </c>
      <c r="S54" s="5">
        <f t="shared" si="8"/>
        <v>2.5559915008305484E-2</v>
      </c>
      <c r="T54" s="7">
        <v>6077</v>
      </c>
      <c r="U54" s="5">
        <f t="shared" si="9"/>
        <v>3.4605413293764514E-2</v>
      </c>
      <c r="V54" s="7">
        <v>2910.95</v>
      </c>
      <c r="W54" s="5">
        <f t="shared" si="10"/>
        <v>6.8270491600247035E-2</v>
      </c>
      <c r="X54" s="7">
        <v>2600.25</v>
      </c>
      <c r="Y54" s="5">
        <f t="shared" si="11"/>
        <v>-2.0170011160267937E-3</v>
      </c>
      <c r="Z54" s="7">
        <v>4535.5</v>
      </c>
      <c r="AA54" s="5">
        <f t="shared" si="12"/>
        <v>4.3300903230751128E-2</v>
      </c>
      <c r="AB54" s="10">
        <v>661.05</v>
      </c>
      <c r="AC54" s="5">
        <f t="shared" si="13"/>
        <v>1.6472575627344801E-2</v>
      </c>
      <c r="AD54" s="11">
        <v>11828.7</v>
      </c>
      <c r="AE54" s="5">
        <f t="shared" si="14"/>
        <v>6.1725041490522325E-2</v>
      </c>
    </row>
    <row r="55" spans="1:31" ht="13.8">
      <c r="A55" s="13">
        <v>45523</v>
      </c>
      <c r="B55" s="7">
        <v>1864.8</v>
      </c>
      <c r="C55" s="4">
        <f t="shared" si="0"/>
        <v>3.1419965425544551E-3</v>
      </c>
      <c r="D55" s="8">
        <v>663.6</v>
      </c>
      <c r="E55" s="4">
        <f t="shared" si="1"/>
        <v>1.8854411860188579E-3</v>
      </c>
      <c r="F55" s="7">
        <v>2319.5500000000002</v>
      </c>
      <c r="G55" s="4">
        <f t="shared" si="2"/>
        <v>8.072850603883585E-3</v>
      </c>
      <c r="H55" s="7">
        <v>1330.6</v>
      </c>
      <c r="I55" s="5">
        <f t="shared" si="3"/>
        <v>8.9077361102110723E-3</v>
      </c>
      <c r="J55" s="7">
        <v>1594.65</v>
      </c>
      <c r="K55" s="5">
        <f t="shared" si="4"/>
        <v>5.8806125535418871E-3</v>
      </c>
      <c r="L55" s="7">
        <v>9607.65</v>
      </c>
      <c r="M55" s="9">
        <f t="shared" si="5"/>
        <v>2.3081161595144436E-3</v>
      </c>
      <c r="N55" s="7">
        <v>1330.6</v>
      </c>
      <c r="O55" s="5">
        <f t="shared" si="6"/>
        <v>8.9077361102110723E-3</v>
      </c>
      <c r="P55" s="7">
        <v>4669.8999999999996</v>
      </c>
      <c r="Q55" s="5">
        <f t="shared" si="7"/>
        <v>7.7388120267966936E-3</v>
      </c>
      <c r="R55" s="7">
        <v>1678.5</v>
      </c>
      <c r="S55" s="5">
        <f t="shared" si="8"/>
        <v>6.1253646363736572E-3</v>
      </c>
      <c r="T55" s="7">
        <v>6059.65</v>
      </c>
      <c r="U55" s="5">
        <f t="shared" si="9"/>
        <v>-2.8591105155016845E-3</v>
      </c>
      <c r="V55" s="7">
        <v>2977.7</v>
      </c>
      <c r="W55" s="5">
        <f t="shared" si="10"/>
        <v>2.2671702048616228E-2</v>
      </c>
      <c r="X55" s="7">
        <v>2607.6</v>
      </c>
      <c r="Y55" s="5">
        <f t="shared" si="11"/>
        <v>2.822663817141764E-3</v>
      </c>
      <c r="Z55" s="7">
        <v>5238.6000000000004</v>
      </c>
      <c r="AA55" s="5">
        <f t="shared" si="12"/>
        <v>0.14411895598981814</v>
      </c>
      <c r="AB55" s="10">
        <v>669.15</v>
      </c>
      <c r="AC55" s="5">
        <f t="shared" si="13"/>
        <v>1.2178770286277889E-2</v>
      </c>
      <c r="AD55" s="11">
        <v>12346.2</v>
      </c>
      <c r="AE55" s="5">
        <f t="shared" si="14"/>
        <v>4.2819541577258466E-2</v>
      </c>
    </row>
    <row r="56" spans="1:31" ht="13.8">
      <c r="A56" s="13">
        <v>45524</v>
      </c>
      <c r="B56" s="7">
        <v>1872.2</v>
      </c>
      <c r="C56" s="4">
        <f t="shared" si="0"/>
        <v>3.9604012160969143E-3</v>
      </c>
      <c r="D56" s="8">
        <v>675.45</v>
      </c>
      <c r="E56" s="4">
        <f t="shared" si="1"/>
        <v>1.7699577099400857E-2</v>
      </c>
      <c r="F56" s="7">
        <v>2358.15</v>
      </c>
      <c r="G56" s="4">
        <f t="shared" si="2"/>
        <v>1.6504211976261979E-2</v>
      </c>
      <c r="H56" s="7">
        <v>1309.1500000000001</v>
      </c>
      <c r="I56" s="5">
        <f t="shared" si="3"/>
        <v>-1.6251896671905675E-2</v>
      </c>
      <c r="J56" s="7">
        <v>1628.6</v>
      </c>
      <c r="K56" s="5">
        <f t="shared" si="4"/>
        <v>2.1066473630306982E-2</v>
      </c>
      <c r="L56" s="7">
        <v>9776.5</v>
      </c>
      <c r="M56" s="9">
        <f t="shared" si="5"/>
        <v>1.742189064671102E-2</v>
      </c>
      <c r="N56" s="7">
        <v>1309.1500000000001</v>
      </c>
      <c r="O56" s="5">
        <f t="shared" si="6"/>
        <v>-1.6251896671905675E-2</v>
      </c>
      <c r="P56" s="7">
        <v>4723.1499999999996</v>
      </c>
      <c r="Q56" s="5">
        <f t="shared" si="7"/>
        <v>1.1338291709261324E-2</v>
      </c>
      <c r="R56" s="7">
        <v>1686.75</v>
      </c>
      <c r="S56" s="5">
        <f t="shared" si="8"/>
        <v>4.9030630874451813E-3</v>
      </c>
      <c r="T56" s="7">
        <v>6115.25</v>
      </c>
      <c r="U56" s="5">
        <f t="shared" si="9"/>
        <v>9.1336087401364223E-3</v>
      </c>
      <c r="V56" s="7">
        <v>3008.95</v>
      </c>
      <c r="W56" s="5">
        <f t="shared" si="10"/>
        <v>1.0439990257140272E-2</v>
      </c>
      <c r="X56" s="7">
        <v>2636.2</v>
      </c>
      <c r="Y56" s="5">
        <f t="shared" si="11"/>
        <v>1.0908228227981131E-2</v>
      </c>
      <c r="Z56" s="7">
        <v>5845.55</v>
      </c>
      <c r="AA56" s="5">
        <f t="shared" si="12"/>
        <v>0.10962640095370514</v>
      </c>
      <c r="AB56" s="10">
        <v>668.9</v>
      </c>
      <c r="AC56" s="5">
        <f t="shared" si="13"/>
        <v>-3.7367811802106765E-4</v>
      </c>
      <c r="AD56" s="11">
        <v>12405.9</v>
      </c>
      <c r="AE56" s="5">
        <f t="shared" si="14"/>
        <v>4.8238424833043306E-3</v>
      </c>
    </row>
    <row r="57" spans="1:31" ht="13.8">
      <c r="A57" s="13">
        <v>45525</v>
      </c>
      <c r="B57" s="7">
        <v>1872.7</v>
      </c>
      <c r="C57" s="4">
        <f t="shared" si="0"/>
        <v>2.6702982881838817E-4</v>
      </c>
      <c r="D57" s="8">
        <v>694.6</v>
      </c>
      <c r="E57" s="4">
        <f t="shared" si="1"/>
        <v>2.795700489428327E-2</v>
      </c>
      <c r="F57" s="7">
        <v>2281.6999999999998</v>
      </c>
      <c r="G57" s="4">
        <f t="shared" si="2"/>
        <v>-3.2956634154108072E-2</v>
      </c>
      <c r="H57" s="7">
        <v>1321.4</v>
      </c>
      <c r="I57" s="5">
        <f t="shared" si="3"/>
        <v>9.3137089599040091E-3</v>
      </c>
      <c r="J57" s="7">
        <v>1604.65</v>
      </c>
      <c r="K57" s="5">
        <f t="shared" si="4"/>
        <v>-1.4815085785140474E-2</v>
      </c>
      <c r="L57" s="7">
        <v>9746.5</v>
      </c>
      <c r="M57" s="9">
        <f t="shared" si="5"/>
        <v>-3.0733005801297899E-3</v>
      </c>
      <c r="N57" s="7">
        <v>1321.4</v>
      </c>
      <c r="O57" s="5">
        <f t="shared" si="6"/>
        <v>9.3137089599040091E-3</v>
      </c>
      <c r="P57" s="7">
        <v>4900.8</v>
      </c>
      <c r="Q57" s="5">
        <f t="shared" si="7"/>
        <v>3.6922507211805136E-2</v>
      </c>
      <c r="R57" s="7">
        <v>1677.25</v>
      </c>
      <c r="S57" s="5">
        <f t="shared" si="8"/>
        <v>-5.6480530645372905E-3</v>
      </c>
      <c r="T57" s="7">
        <v>6090.35</v>
      </c>
      <c r="U57" s="5">
        <f t="shared" si="9"/>
        <v>-4.0801000430890407E-3</v>
      </c>
      <c r="V57" s="7">
        <v>3036.95</v>
      </c>
      <c r="W57" s="5">
        <f t="shared" si="10"/>
        <v>9.2625416190455761E-3</v>
      </c>
      <c r="X57" s="7">
        <v>2631.5</v>
      </c>
      <c r="Y57" s="5">
        <f t="shared" si="11"/>
        <v>-1.7844604845316664E-3</v>
      </c>
      <c r="Z57" s="7">
        <v>5657.35</v>
      </c>
      <c r="AA57" s="5">
        <f t="shared" si="12"/>
        <v>-3.2725103320002627E-2</v>
      </c>
      <c r="AB57" s="10">
        <v>679.3</v>
      </c>
      <c r="AC57" s="5">
        <f t="shared" si="13"/>
        <v>1.5428284072893868E-2</v>
      </c>
      <c r="AD57" s="11">
        <v>12414.25</v>
      </c>
      <c r="AE57" s="5">
        <f t="shared" si="14"/>
        <v>6.7284043932155663E-4</v>
      </c>
    </row>
    <row r="58" spans="1:31" ht="13.8">
      <c r="A58" s="13">
        <v>45526</v>
      </c>
      <c r="B58" s="7">
        <v>1880.25</v>
      </c>
      <c r="C58" s="4">
        <f t="shared" si="0"/>
        <v>4.0235069400496601E-3</v>
      </c>
      <c r="D58" s="8">
        <v>685.2</v>
      </c>
      <c r="E58" s="4">
        <f t="shared" si="1"/>
        <v>-1.3625373860008739E-2</v>
      </c>
      <c r="F58" s="7">
        <v>2319.6</v>
      </c>
      <c r="G58" s="4">
        <f t="shared" si="2"/>
        <v>1.6473977850761046E-2</v>
      </c>
      <c r="H58" s="7">
        <v>1304.45</v>
      </c>
      <c r="I58" s="5">
        <f t="shared" si="3"/>
        <v>-1.2910284615204661E-2</v>
      </c>
      <c r="J58" s="7">
        <v>1611.25</v>
      </c>
      <c r="K58" s="5">
        <f t="shared" si="4"/>
        <v>4.1046110055068651E-3</v>
      </c>
      <c r="L58" s="7">
        <v>9880.9</v>
      </c>
      <c r="M58" s="9">
        <f t="shared" si="5"/>
        <v>1.3695354524396675E-2</v>
      </c>
      <c r="N58" s="7">
        <v>1304.45</v>
      </c>
      <c r="O58" s="5">
        <f t="shared" si="6"/>
        <v>-1.2910284615204661E-2</v>
      </c>
      <c r="P58" s="7">
        <v>4911.45</v>
      </c>
      <c r="Q58" s="5">
        <f t="shared" si="7"/>
        <v>2.1707567952434824E-3</v>
      </c>
      <c r="R58" s="7">
        <v>1676.15</v>
      </c>
      <c r="S58" s="5">
        <f t="shared" si="8"/>
        <v>-6.5605059906567351E-4</v>
      </c>
      <c r="T58" s="7">
        <v>6084.2</v>
      </c>
      <c r="U58" s="5">
        <f t="shared" si="9"/>
        <v>-1.0103043682298987E-3</v>
      </c>
      <c r="V58" s="7">
        <v>3065.65</v>
      </c>
      <c r="W58" s="5">
        <f t="shared" si="10"/>
        <v>9.4058963695994469E-3</v>
      </c>
      <c r="X58" s="7">
        <v>2706.25</v>
      </c>
      <c r="Y58" s="5">
        <f t="shared" si="11"/>
        <v>2.8009886956966299E-2</v>
      </c>
      <c r="Z58" s="7">
        <v>5630.6</v>
      </c>
      <c r="AA58" s="5">
        <f t="shared" si="12"/>
        <v>-4.7395762871119112E-3</v>
      </c>
      <c r="AB58" s="10">
        <v>682.95</v>
      </c>
      <c r="AC58" s="5">
        <f t="shared" si="13"/>
        <v>5.3587942516447494E-3</v>
      </c>
      <c r="AD58" s="11">
        <v>12049.95</v>
      </c>
      <c r="AE58" s="5">
        <f t="shared" si="14"/>
        <v>-2.9784495791467389E-2</v>
      </c>
    </row>
    <row r="59" spans="1:31" ht="13.8">
      <c r="A59" s="13">
        <v>45527</v>
      </c>
      <c r="B59" s="7">
        <v>1862.1</v>
      </c>
      <c r="C59" s="4">
        <f t="shared" si="0"/>
        <v>-9.6998636187957867E-3</v>
      </c>
      <c r="D59" s="8">
        <v>683.65</v>
      </c>
      <c r="E59" s="4">
        <f t="shared" si="1"/>
        <v>-2.2646756948743337E-3</v>
      </c>
      <c r="F59" s="7">
        <v>2362.4499999999998</v>
      </c>
      <c r="G59" s="4">
        <f t="shared" si="2"/>
        <v>1.8304459120487105E-2</v>
      </c>
      <c r="H59" s="7">
        <v>1315.75</v>
      </c>
      <c r="I59" s="5">
        <f t="shared" si="3"/>
        <v>8.6253492533075789E-3</v>
      </c>
      <c r="J59" s="7">
        <v>1598.4</v>
      </c>
      <c r="K59" s="5">
        <f t="shared" si="4"/>
        <v>-8.0071463591080243E-3</v>
      </c>
      <c r="L59" s="7">
        <v>9874.15</v>
      </c>
      <c r="M59" s="9">
        <f t="shared" si="5"/>
        <v>-6.8336959538790767E-4</v>
      </c>
      <c r="N59" s="7">
        <v>1315.75</v>
      </c>
      <c r="O59" s="5">
        <f t="shared" si="6"/>
        <v>8.6253492533075789E-3</v>
      </c>
      <c r="P59" s="7">
        <v>4855.95</v>
      </c>
      <c r="Q59" s="5">
        <f t="shared" si="7"/>
        <v>-1.136445672779232E-2</v>
      </c>
      <c r="R59" s="7">
        <v>1661.45</v>
      </c>
      <c r="S59" s="5">
        <f t="shared" si="8"/>
        <v>-8.8087817912913639E-3</v>
      </c>
      <c r="T59" s="7">
        <v>6022.25</v>
      </c>
      <c r="U59" s="5">
        <f t="shared" si="9"/>
        <v>-1.023430332166495E-2</v>
      </c>
      <c r="V59" s="7">
        <v>2997.65</v>
      </c>
      <c r="W59" s="5">
        <f t="shared" si="10"/>
        <v>-2.2430970313368281E-2</v>
      </c>
      <c r="X59" s="7">
        <v>2767</v>
      </c>
      <c r="Y59" s="5">
        <f t="shared" si="11"/>
        <v>2.2199788036125989E-2</v>
      </c>
      <c r="Z59" s="7">
        <v>5402.35</v>
      </c>
      <c r="AA59" s="5">
        <f t="shared" si="12"/>
        <v>-4.1381964319465642E-2</v>
      </c>
      <c r="AB59" s="10">
        <v>678.2</v>
      </c>
      <c r="AC59" s="5">
        <f t="shared" si="13"/>
        <v>-6.9794207573625347E-3</v>
      </c>
      <c r="AD59" s="11">
        <v>12202.2</v>
      </c>
      <c r="AE59" s="5">
        <f t="shared" si="14"/>
        <v>1.2555752800485579E-2</v>
      </c>
    </row>
    <row r="60" spans="1:31" ht="13.8">
      <c r="A60" s="13">
        <v>45530</v>
      </c>
      <c r="B60" s="7">
        <v>1876.15</v>
      </c>
      <c r="C60" s="4">
        <f t="shared" si="0"/>
        <v>7.5169216381111466E-3</v>
      </c>
      <c r="D60" s="8">
        <v>683.25</v>
      </c>
      <c r="E60" s="4">
        <f t="shared" si="1"/>
        <v>-5.8526594691319994E-4</v>
      </c>
      <c r="F60" s="7">
        <v>2352.9499999999998</v>
      </c>
      <c r="G60" s="4">
        <f t="shared" si="2"/>
        <v>-4.0293560899467146E-3</v>
      </c>
      <c r="H60" s="7">
        <v>1311.6</v>
      </c>
      <c r="I60" s="5">
        <f t="shared" si="3"/>
        <v>-3.1590792633952461E-3</v>
      </c>
      <c r="J60" s="7">
        <v>1640.15</v>
      </c>
      <c r="K60" s="5">
        <f t="shared" si="4"/>
        <v>2.5784572156066148E-2</v>
      </c>
      <c r="L60" s="7">
        <v>9911.9</v>
      </c>
      <c r="M60" s="9">
        <f t="shared" si="5"/>
        <v>3.8158243616026439E-3</v>
      </c>
      <c r="N60" s="7">
        <v>1311.6</v>
      </c>
      <c r="O60" s="5">
        <f t="shared" si="6"/>
        <v>-3.1590792633952461E-3</v>
      </c>
      <c r="P60" s="7">
        <v>4926.25</v>
      </c>
      <c r="Q60" s="5">
        <f t="shared" si="7"/>
        <v>1.4373292363251491E-2</v>
      </c>
      <c r="R60" s="7">
        <v>1719.45</v>
      </c>
      <c r="S60" s="5">
        <f t="shared" si="8"/>
        <v>3.4313757176487929E-2</v>
      </c>
      <c r="T60" s="7">
        <v>6026.15</v>
      </c>
      <c r="U60" s="5">
        <f t="shared" si="9"/>
        <v>6.4738888752208376E-4</v>
      </c>
      <c r="V60" s="7">
        <v>3019.75</v>
      </c>
      <c r="W60" s="5">
        <f t="shared" si="10"/>
        <v>7.3453981343447388E-3</v>
      </c>
      <c r="X60" s="7">
        <v>2775.2</v>
      </c>
      <c r="Y60" s="5">
        <f t="shared" si="11"/>
        <v>2.9591158686140522E-3</v>
      </c>
      <c r="Z60" s="7">
        <v>5686.15</v>
      </c>
      <c r="AA60" s="5">
        <f t="shared" si="12"/>
        <v>5.1199349374931875E-2</v>
      </c>
      <c r="AB60" s="10">
        <v>688.55</v>
      </c>
      <c r="AC60" s="5">
        <f t="shared" si="13"/>
        <v>1.5145707481596502E-2</v>
      </c>
      <c r="AD60" s="11">
        <v>12031.25</v>
      </c>
      <c r="AE60" s="5">
        <f t="shared" si="14"/>
        <v>-1.4108831862889996E-2</v>
      </c>
    </row>
    <row r="61" spans="1:31" ht="13.8">
      <c r="A61" s="13">
        <v>45531</v>
      </c>
      <c r="B61" s="7">
        <v>1900.1</v>
      </c>
      <c r="C61" s="4">
        <f t="shared" si="0"/>
        <v>1.2684711622658496E-2</v>
      </c>
      <c r="D61" s="8">
        <v>674.15</v>
      </c>
      <c r="E61" s="4">
        <f t="shared" si="1"/>
        <v>-1.3408186728093812E-2</v>
      </c>
      <c r="F61" s="7">
        <v>2427.1</v>
      </c>
      <c r="G61" s="4">
        <f t="shared" si="2"/>
        <v>3.1027268976387634E-2</v>
      </c>
      <c r="H61" s="7">
        <v>1312.05</v>
      </c>
      <c r="I61" s="5">
        <f t="shared" si="3"/>
        <v>3.4303356348055591E-4</v>
      </c>
      <c r="J61" s="7">
        <v>1624.6</v>
      </c>
      <c r="K61" s="5">
        <f t="shared" si="4"/>
        <v>-9.5260694335017743E-3</v>
      </c>
      <c r="L61" s="7">
        <v>9934.6</v>
      </c>
      <c r="M61" s="9">
        <f t="shared" si="5"/>
        <v>2.2875579975254016E-3</v>
      </c>
      <c r="N61" s="7">
        <v>1312.05</v>
      </c>
      <c r="O61" s="5">
        <f t="shared" si="6"/>
        <v>3.4303356348055591E-4</v>
      </c>
      <c r="P61" s="7">
        <v>4902.5</v>
      </c>
      <c r="Q61" s="5">
        <f t="shared" si="7"/>
        <v>-4.8327704387120659E-3</v>
      </c>
      <c r="R61" s="7">
        <v>1711.6</v>
      </c>
      <c r="S61" s="5">
        <f t="shared" si="8"/>
        <v>-4.5758666864666774E-3</v>
      </c>
      <c r="T61" s="7">
        <v>6080.9</v>
      </c>
      <c r="U61" s="5">
        <f t="shared" si="9"/>
        <v>9.044378806659991E-3</v>
      </c>
      <c r="V61" s="7">
        <v>3034</v>
      </c>
      <c r="W61" s="5">
        <f t="shared" si="10"/>
        <v>4.7078344230897327E-3</v>
      </c>
      <c r="X61" s="7">
        <v>2741.1</v>
      </c>
      <c r="Y61" s="5">
        <f t="shared" si="11"/>
        <v>-1.2363516982855377E-2</v>
      </c>
      <c r="Z61" s="7">
        <v>5735</v>
      </c>
      <c r="AA61" s="5">
        <f t="shared" si="12"/>
        <v>8.554357116597364E-3</v>
      </c>
      <c r="AB61" s="10">
        <v>675.8</v>
      </c>
      <c r="AC61" s="5">
        <f t="shared" si="13"/>
        <v>-1.8690762892945304E-2</v>
      </c>
      <c r="AD61" s="11">
        <v>12176.15</v>
      </c>
      <c r="AE61" s="5">
        <f t="shared" si="14"/>
        <v>1.1971688872078648E-2</v>
      </c>
    </row>
    <row r="62" spans="1:31" ht="13.8">
      <c r="A62" s="13">
        <v>45532</v>
      </c>
      <c r="B62" s="7">
        <v>1939.1</v>
      </c>
      <c r="C62" s="4">
        <f t="shared" si="0"/>
        <v>2.0317431540086025E-2</v>
      </c>
      <c r="D62" s="8">
        <v>706.45</v>
      </c>
      <c r="E62" s="4">
        <f t="shared" si="1"/>
        <v>4.6799790131733264E-2</v>
      </c>
      <c r="F62" s="7">
        <v>2428.5500000000002</v>
      </c>
      <c r="G62" s="4">
        <f t="shared" si="2"/>
        <v>5.9724240548705019E-4</v>
      </c>
      <c r="H62" s="7">
        <v>1323.25</v>
      </c>
      <c r="I62" s="5">
        <f t="shared" si="3"/>
        <v>8.5000322041234259E-3</v>
      </c>
      <c r="J62" s="7">
        <v>1627.35</v>
      </c>
      <c r="K62" s="5">
        <f t="shared" si="4"/>
        <v>1.6912933197159089E-3</v>
      </c>
      <c r="L62" s="7">
        <v>9972.4500000000007</v>
      </c>
      <c r="M62" s="9">
        <f t="shared" si="5"/>
        <v>3.8026775047394928E-3</v>
      </c>
      <c r="N62" s="7">
        <v>1323.25</v>
      </c>
      <c r="O62" s="5">
        <f t="shared" si="6"/>
        <v>8.5000322041234259E-3</v>
      </c>
      <c r="P62" s="7">
        <v>5030.7</v>
      </c>
      <c r="Q62" s="5">
        <f t="shared" si="7"/>
        <v>2.5813860350672083E-2</v>
      </c>
      <c r="R62" s="7">
        <v>1719.45</v>
      </c>
      <c r="S62" s="5">
        <f t="shared" si="8"/>
        <v>4.575866686466732E-3</v>
      </c>
      <c r="T62" s="7">
        <v>6255.45</v>
      </c>
      <c r="U62" s="5">
        <f t="shared" si="9"/>
        <v>2.8300372438132947E-2</v>
      </c>
      <c r="V62" s="7">
        <v>3089.45</v>
      </c>
      <c r="W62" s="5">
        <f t="shared" si="10"/>
        <v>1.8111200613077513E-2</v>
      </c>
      <c r="X62" s="7">
        <v>2737.25</v>
      </c>
      <c r="Y62" s="5">
        <f t="shared" si="11"/>
        <v>-1.4055329191503226E-3</v>
      </c>
      <c r="Z62" s="7">
        <v>5798.7</v>
      </c>
      <c r="AA62" s="5">
        <f t="shared" si="12"/>
        <v>1.1046003917344971E-2</v>
      </c>
      <c r="AB62" s="10">
        <v>661.9</v>
      </c>
      <c r="AC62" s="5">
        <f t="shared" si="13"/>
        <v>-2.0782687155312479E-2</v>
      </c>
      <c r="AD62" s="11">
        <v>12194.05</v>
      </c>
      <c r="AE62" s="5">
        <f t="shared" si="14"/>
        <v>1.469007494316094E-3</v>
      </c>
    </row>
    <row r="63" spans="1:31" ht="13.8">
      <c r="A63" s="13">
        <v>45533</v>
      </c>
      <c r="B63" s="7">
        <v>1933.35</v>
      </c>
      <c r="C63" s="4">
        <f t="shared" si="0"/>
        <v>-2.9696983696740251E-3</v>
      </c>
      <c r="D63" s="8">
        <v>703.85</v>
      </c>
      <c r="E63" s="4">
        <f t="shared" si="1"/>
        <v>-3.6871629378425076E-3</v>
      </c>
      <c r="F63" s="7">
        <v>2425.9499999999998</v>
      </c>
      <c r="G63" s="4">
        <f t="shared" si="2"/>
        <v>-1.0711711808035717E-3</v>
      </c>
      <c r="H63" s="7">
        <v>1298.6500000000001</v>
      </c>
      <c r="I63" s="5">
        <f t="shared" si="3"/>
        <v>-1.8765568401697841E-2</v>
      </c>
      <c r="J63" s="7">
        <v>1647.35</v>
      </c>
      <c r="K63" s="5">
        <f t="shared" si="4"/>
        <v>1.2215011254088314E-2</v>
      </c>
      <c r="L63" s="7">
        <v>10059.6</v>
      </c>
      <c r="M63" s="9">
        <f t="shared" si="5"/>
        <v>8.7011114527361794E-3</v>
      </c>
      <c r="N63" s="7">
        <v>1298.6500000000001</v>
      </c>
      <c r="O63" s="5">
        <f t="shared" si="6"/>
        <v>-1.8765568401697841E-2</v>
      </c>
      <c r="P63" s="7">
        <v>5012.55</v>
      </c>
      <c r="Q63" s="5">
        <f t="shared" si="7"/>
        <v>-3.6143717937552932E-3</v>
      </c>
      <c r="R63" s="7">
        <v>1751.85</v>
      </c>
      <c r="S63" s="5">
        <f t="shared" si="8"/>
        <v>1.8667900163555708E-2</v>
      </c>
      <c r="T63" s="7">
        <v>6282.25</v>
      </c>
      <c r="U63" s="5">
        <f t="shared" si="9"/>
        <v>4.2751127906559151E-3</v>
      </c>
      <c r="V63" s="7">
        <v>3103.45</v>
      </c>
      <c r="W63" s="5">
        <f t="shared" si="10"/>
        <v>4.5213143597741352E-3</v>
      </c>
      <c r="X63" s="7">
        <v>2751.55</v>
      </c>
      <c r="Y63" s="5">
        <f t="shared" si="11"/>
        <v>5.2106224874050736E-3</v>
      </c>
      <c r="Z63" s="7">
        <v>6129.95</v>
      </c>
      <c r="AA63" s="5">
        <f t="shared" si="12"/>
        <v>5.5552838809324157E-2</v>
      </c>
      <c r="AB63" s="10">
        <v>660.75</v>
      </c>
      <c r="AC63" s="5">
        <f t="shared" si="13"/>
        <v>-1.73893364047844E-3</v>
      </c>
      <c r="AD63" s="11">
        <v>11770</v>
      </c>
      <c r="AE63" s="5">
        <f t="shared" si="14"/>
        <v>-3.5394206582267142E-2</v>
      </c>
    </row>
    <row r="64" spans="1:31" ht="13.8">
      <c r="A64" s="13">
        <v>45534</v>
      </c>
      <c r="B64" s="7">
        <v>1943.7</v>
      </c>
      <c r="C64" s="4">
        <f t="shared" si="0"/>
        <v>5.3391236051231576E-3</v>
      </c>
      <c r="D64" s="8">
        <v>718.1</v>
      </c>
      <c r="E64" s="4">
        <f t="shared" si="1"/>
        <v>2.0043569842297472E-2</v>
      </c>
      <c r="F64" s="7">
        <v>2487.75</v>
      </c>
      <c r="G64" s="4">
        <f t="shared" si="2"/>
        <v>2.5155487261374353E-2</v>
      </c>
      <c r="H64" s="7">
        <v>1302.9000000000001</v>
      </c>
      <c r="I64" s="5">
        <f t="shared" si="3"/>
        <v>3.2672858724868106E-3</v>
      </c>
      <c r="J64" s="7">
        <v>1636.5</v>
      </c>
      <c r="K64" s="5">
        <f t="shared" si="4"/>
        <v>-6.6081212494223836E-3</v>
      </c>
      <c r="L64" s="7">
        <v>10057.700000000001</v>
      </c>
      <c r="M64" s="9">
        <f t="shared" si="5"/>
        <v>-1.8889214811620265E-4</v>
      </c>
      <c r="N64" s="7">
        <v>1302.9000000000001</v>
      </c>
      <c r="O64" s="5">
        <f t="shared" si="6"/>
        <v>3.2672858724868106E-3</v>
      </c>
      <c r="P64" s="7">
        <v>5093.8999999999996</v>
      </c>
      <c r="Q64" s="5">
        <f t="shared" si="7"/>
        <v>1.6098977780935733E-2</v>
      </c>
      <c r="R64" s="7">
        <v>1753.25</v>
      </c>
      <c r="S64" s="5">
        <f t="shared" si="8"/>
        <v>7.9883602433586701E-4</v>
      </c>
      <c r="T64" s="7">
        <v>6344.05</v>
      </c>
      <c r="U64" s="5">
        <f t="shared" si="9"/>
        <v>9.7891691964478184E-3</v>
      </c>
      <c r="V64" s="7">
        <v>3104.95</v>
      </c>
      <c r="W64" s="5">
        <f t="shared" si="10"/>
        <v>4.832162970129454E-4</v>
      </c>
      <c r="X64" s="7">
        <v>2813.3</v>
      </c>
      <c r="Y64" s="5">
        <f t="shared" si="11"/>
        <v>2.2193782269529453E-2</v>
      </c>
      <c r="Z64" s="7">
        <v>6508.4</v>
      </c>
      <c r="AA64" s="5">
        <f t="shared" si="12"/>
        <v>5.9907056975023701E-2</v>
      </c>
      <c r="AB64" s="10">
        <v>647.15</v>
      </c>
      <c r="AC64" s="5">
        <f t="shared" si="13"/>
        <v>-2.0797446595951414E-2</v>
      </c>
      <c r="AD64" s="11">
        <v>12095.05</v>
      </c>
      <c r="AE64" s="5">
        <f t="shared" si="14"/>
        <v>2.7242356720904949E-2</v>
      </c>
    </row>
    <row r="65" spans="1:31" ht="13.8">
      <c r="A65" s="12">
        <v>45537</v>
      </c>
      <c r="B65" s="7">
        <v>1964.5</v>
      </c>
      <c r="C65" s="4">
        <f t="shared" si="0"/>
        <v>1.0644386874493258E-2</v>
      </c>
      <c r="D65" s="8">
        <v>683.85</v>
      </c>
      <c r="E65" s="4">
        <f t="shared" si="1"/>
        <v>-4.8870239788711738E-2</v>
      </c>
      <c r="F65" s="7">
        <v>2391.15</v>
      </c>
      <c r="G65" s="4">
        <f t="shared" si="2"/>
        <v>-3.9604265747506154E-2</v>
      </c>
      <c r="H65" s="7">
        <v>1303.8499999999999</v>
      </c>
      <c r="I65" s="5">
        <f t="shared" si="3"/>
        <v>7.288769863302198E-4</v>
      </c>
      <c r="J65" s="7">
        <v>1646.65</v>
      </c>
      <c r="K65" s="5">
        <f t="shared" si="4"/>
        <v>6.1831060639112772E-3</v>
      </c>
      <c r="L65" s="7">
        <v>10631.25</v>
      </c>
      <c r="M65" s="9">
        <f t="shared" si="5"/>
        <v>5.5459266860476079E-2</v>
      </c>
      <c r="N65" s="7">
        <v>1303.8499999999999</v>
      </c>
      <c r="O65" s="5">
        <f t="shared" si="6"/>
        <v>7.288769863302198E-4</v>
      </c>
      <c r="P65" s="7">
        <v>5036.8500000000004</v>
      </c>
      <c r="Q65" s="5">
        <f t="shared" si="7"/>
        <v>-1.126285873685798E-2</v>
      </c>
      <c r="R65" s="7">
        <v>1806.65</v>
      </c>
      <c r="S65" s="5">
        <f t="shared" si="8"/>
        <v>3.0003093213759997E-2</v>
      </c>
      <c r="T65" s="7">
        <v>6340.6</v>
      </c>
      <c r="U65" s="5">
        <f t="shared" si="9"/>
        <v>-5.4396456899798585E-4</v>
      </c>
      <c r="V65" s="7">
        <v>3102.5</v>
      </c>
      <c r="W65" s="5">
        <f t="shared" si="10"/>
        <v>-7.8937409957984526E-4</v>
      </c>
      <c r="X65" s="7">
        <v>2790.7</v>
      </c>
      <c r="Y65" s="5">
        <f t="shared" si="11"/>
        <v>-8.065711106862156E-3</v>
      </c>
      <c r="Z65" s="7">
        <v>6676.7</v>
      </c>
      <c r="AA65" s="5">
        <f t="shared" si="12"/>
        <v>2.5530203225360922E-2</v>
      </c>
      <c r="AB65" s="10">
        <v>650.95000000000005</v>
      </c>
      <c r="AC65" s="5">
        <f t="shared" si="13"/>
        <v>5.8547274549589469E-3</v>
      </c>
      <c r="AD65" s="11">
        <v>11879.7</v>
      </c>
      <c r="AE65" s="5">
        <f t="shared" si="14"/>
        <v>-1.7965216902694234E-2</v>
      </c>
    </row>
    <row r="66" spans="1:31" ht="13.8">
      <c r="A66" s="12">
        <v>45538</v>
      </c>
      <c r="B66" s="7">
        <v>1941.25</v>
      </c>
      <c r="C66" s="4">
        <f t="shared" si="0"/>
        <v>-1.1905664535617618E-2</v>
      </c>
      <c r="D66" s="8">
        <v>684.7</v>
      </c>
      <c r="E66" s="4">
        <f t="shared" si="1"/>
        <v>1.2421907994572055E-3</v>
      </c>
      <c r="F66" s="7">
        <v>2391.1</v>
      </c>
      <c r="G66" s="4">
        <f t="shared" si="2"/>
        <v>-2.0910659209365542E-5</v>
      </c>
      <c r="H66" s="7">
        <v>1320.25</v>
      </c>
      <c r="I66" s="5">
        <f t="shared" si="3"/>
        <v>1.2499686391826538E-2</v>
      </c>
      <c r="J66" s="7">
        <v>1644.1</v>
      </c>
      <c r="K66" s="5">
        <f t="shared" si="4"/>
        <v>-1.5497989883150945E-3</v>
      </c>
      <c r="L66" s="7">
        <v>10903.9</v>
      </c>
      <c r="M66" s="9">
        <f t="shared" si="5"/>
        <v>2.5322746243701517E-2</v>
      </c>
      <c r="N66" s="7">
        <v>1320.25</v>
      </c>
      <c r="O66" s="5">
        <f t="shared" si="6"/>
        <v>1.2499686391826538E-2</v>
      </c>
      <c r="P66" s="7">
        <v>5066</v>
      </c>
      <c r="Q66" s="5">
        <f t="shared" si="7"/>
        <v>5.7706648901246294E-3</v>
      </c>
      <c r="R66" s="7">
        <v>1790.45</v>
      </c>
      <c r="S66" s="5">
        <f t="shared" si="8"/>
        <v>-9.0073167427766904E-3</v>
      </c>
      <c r="T66" s="7">
        <v>6407.6</v>
      </c>
      <c r="U66" s="5">
        <f t="shared" si="9"/>
        <v>1.0511384649901709E-2</v>
      </c>
      <c r="V66" s="7">
        <v>3125.35</v>
      </c>
      <c r="W66" s="5">
        <f t="shared" si="10"/>
        <v>7.3380388202077739E-3</v>
      </c>
      <c r="X66" s="7">
        <v>2782.6</v>
      </c>
      <c r="Y66" s="5">
        <f t="shared" si="11"/>
        <v>-2.9067179958302625E-3</v>
      </c>
      <c r="Z66" s="7">
        <v>6635.75</v>
      </c>
      <c r="AA66" s="5">
        <f t="shared" si="12"/>
        <v>-6.1521551870131422E-3</v>
      </c>
      <c r="AB66" s="10">
        <v>640.04999999999995</v>
      </c>
      <c r="AC66" s="5">
        <f t="shared" si="13"/>
        <v>-1.6886536041287523E-2</v>
      </c>
      <c r="AD66" s="11">
        <v>11645.9</v>
      </c>
      <c r="AE66" s="5">
        <f t="shared" si="14"/>
        <v>-1.9876874351522703E-2</v>
      </c>
    </row>
    <row r="67" spans="1:31" ht="13.8">
      <c r="A67" s="12">
        <v>45539</v>
      </c>
      <c r="B67" s="7">
        <v>1922.45</v>
      </c>
      <c r="C67" s="4">
        <f t="shared" si="0"/>
        <v>-9.7316812236472282E-3</v>
      </c>
      <c r="D67" s="8">
        <v>703.8</v>
      </c>
      <c r="E67" s="4">
        <f t="shared" si="1"/>
        <v>2.7513438760467353E-2</v>
      </c>
      <c r="F67" s="7">
        <v>2413.6999999999998</v>
      </c>
      <c r="G67" s="4">
        <f t="shared" si="2"/>
        <v>9.4073287839978627E-3</v>
      </c>
      <c r="H67" s="7">
        <v>1327.1</v>
      </c>
      <c r="I67" s="5">
        <f t="shared" si="3"/>
        <v>5.1749978561609032E-3</v>
      </c>
      <c r="J67" s="7">
        <v>1645.3</v>
      </c>
      <c r="K67" s="5">
        <f t="shared" si="4"/>
        <v>7.2961637577313905E-4</v>
      </c>
      <c r="L67" s="7">
        <v>11067.7</v>
      </c>
      <c r="M67" s="9">
        <f t="shared" si="5"/>
        <v>1.4910432983539284E-2</v>
      </c>
      <c r="N67" s="7">
        <v>1327.1</v>
      </c>
      <c r="O67" s="5">
        <f t="shared" si="6"/>
        <v>5.1749978561609032E-3</v>
      </c>
      <c r="P67" s="7">
        <v>5096.6000000000004</v>
      </c>
      <c r="Q67" s="5">
        <f t="shared" si="7"/>
        <v>6.0220991630928816E-3</v>
      </c>
      <c r="R67" s="7">
        <v>1785.25</v>
      </c>
      <c r="S67" s="5">
        <f t="shared" si="8"/>
        <v>-2.9085234587838574E-3</v>
      </c>
      <c r="T67" s="7">
        <v>6331.1</v>
      </c>
      <c r="U67" s="5">
        <f t="shared" si="9"/>
        <v>-1.201078911494351E-2</v>
      </c>
      <c r="V67" s="7">
        <v>3088.7</v>
      </c>
      <c r="W67" s="5">
        <f t="shared" si="10"/>
        <v>-1.1795986505401238E-2</v>
      </c>
      <c r="X67" s="7">
        <v>2774.9</v>
      </c>
      <c r="Y67" s="5">
        <f t="shared" si="11"/>
        <v>-2.7710319125910134E-3</v>
      </c>
      <c r="Z67" s="7">
        <v>6368.85</v>
      </c>
      <c r="AA67" s="5">
        <f t="shared" si="12"/>
        <v>-4.1052778787444309E-2</v>
      </c>
      <c r="AB67" s="10">
        <v>645.6</v>
      </c>
      <c r="AC67" s="5">
        <f t="shared" si="13"/>
        <v>8.6338186536204856E-3</v>
      </c>
      <c r="AD67" s="11">
        <v>11745.7</v>
      </c>
      <c r="AE67" s="5">
        <f t="shared" si="14"/>
        <v>8.5330294257183019E-3</v>
      </c>
    </row>
    <row r="68" spans="1:31" ht="13.8">
      <c r="A68" s="12">
        <v>45540</v>
      </c>
      <c r="B68" s="7">
        <v>1933.15</v>
      </c>
      <c r="C68" s="4">
        <f t="shared" si="0"/>
        <v>5.5503825445248553E-3</v>
      </c>
      <c r="D68" s="8">
        <v>698.2</v>
      </c>
      <c r="E68" s="4">
        <f t="shared" si="1"/>
        <v>-7.9886302165489854E-3</v>
      </c>
      <c r="F68" s="7">
        <v>2473.15</v>
      </c>
      <c r="G68" s="4">
        <f t="shared" si="2"/>
        <v>2.4331801884225596E-2</v>
      </c>
      <c r="H68" s="7">
        <v>1312.35</v>
      </c>
      <c r="I68" s="5">
        <f t="shared" si="3"/>
        <v>-1.1176687222820341E-2</v>
      </c>
      <c r="J68" s="7">
        <v>1639.5</v>
      </c>
      <c r="K68" s="5">
        <f t="shared" si="4"/>
        <v>-3.5314211079014559E-3</v>
      </c>
      <c r="L68" s="7">
        <v>10895.7</v>
      </c>
      <c r="M68" s="9">
        <f t="shared" si="5"/>
        <v>-1.5662740400807815E-2</v>
      </c>
      <c r="N68" s="7">
        <v>1312.35</v>
      </c>
      <c r="O68" s="5">
        <f t="shared" si="6"/>
        <v>-1.1176687222820341E-2</v>
      </c>
      <c r="P68" s="7">
        <v>5120.8999999999996</v>
      </c>
      <c r="Q68" s="5">
        <f t="shared" si="7"/>
        <v>4.7565541111261617E-3</v>
      </c>
      <c r="R68" s="7">
        <v>1790.55</v>
      </c>
      <c r="S68" s="5">
        <f t="shared" si="8"/>
        <v>2.9643737799376732E-3</v>
      </c>
      <c r="T68" s="7">
        <v>6551.25</v>
      </c>
      <c r="U68" s="5">
        <f t="shared" si="9"/>
        <v>3.4181874403991001E-2</v>
      </c>
      <c r="V68" s="7">
        <v>3087.7</v>
      </c>
      <c r="W68" s="5">
        <f t="shared" si="10"/>
        <v>-3.2381322736154056E-4</v>
      </c>
      <c r="X68" s="7">
        <v>2761.7</v>
      </c>
      <c r="Y68" s="5">
        <f t="shared" si="11"/>
        <v>-4.7682783694387582E-3</v>
      </c>
      <c r="Z68" s="7">
        <v>6412.05</v>
      </c>
      <c r="AA68" s="5">
        <f t="shared" si="12"/>
        <v>6.7601130619499624E-3</v>
      </c>
      <c r="AB68" s="10">
        <v>643.9</v>
      </c>
      <c r="AC68" s="5">
        <f t="shared" si="13"/>
        <v>-2.636682411601339E-3</v>
      </c>
      <c r="AD68" s="11">
        <v>11765.2</v>
      </c>
      <c r="AE68" s="5">
        <f t="shared" si="14"/>
        <v>1.6588054452536412E-3</v>
      </c>
    </row>
    <row r="69" spans="1:31" ht="13.8">
      <c r="A69" s="12">
        <v>45541</v>
      </c>
      <c r="B69" s="7">
        <v>1901.85</v>
      </c>
      <c r="C69" s="4">
        <f t="shared" si="0"/>
        <v>-1.632370014170776E-2</v>
      </c>
      <c r="D69" s="8">
        <v>688.1</v>
      </c>
      <c r="E69" s="4">
        <f t="shared" si="1"/>
        <v>-1.4571418462501496E-2</v>
      </c>
      <c r="F69" s="7">
        <v>2423.35</v>
      </c>
      <c r="G69" s="4">
        <f t="shared" si="2"/>
        <v>-2.0341761341882428E-2</v>
      </c>
      <c r="H69" s="7">
        <v>1289.7</v>
      </c>
      <c r="I69" s="5">
        <f t="shared" si="3"/>
        <v>-1.7409790050037628E-2</v>
      </c>
      <c r="J69" s="7">
        <v>1623.25</v>
      </c>
      <c r="K69" s="5">
        <f t="shared" si="4"/>
        <v>-9.9610048961067867E-3</v>
      </c>
      <c r="L69" s="7">
        <v>10693.4</v>
      </c>
      <c r="M69" s="9">
        <f t="shared" si="5"/>
        <v>-1.8741487263732766E-2</v>
      </c>
      <c r="N69" s="7">
        <v>1289.7</v>
      </c>
      <c r="O69" s="5">
        <f t="shared" si="6"/>
        <v>-1.7409790050037628E-2</v>
      </c>
      <c r="P69" s="7">
        <v>5137.8</v>
      </c>
      <c r="Q69" s="5">
        <f t="shared" si="7"/>
        <v>3.2947674243616718E-3</v>
      </c>
      <c r="R69" s="7">
        <v>1756.1</v>
      </c>
      <c r="S69" s="5">
        <f t="shared" si="8"/>
        <v>-1.9427394027348083E-2</v>
      </c>
      <c r="T69" s="7">
        <v>6624.65</v>
      </c>
      <c r="U69" s="5">
        <f t="shared" si="9"/>
        <v>1.114166915380403E-2</v>
      </c>
      <c r="V69" s="7">
        <v>3051.5</v>
      </c>
      <c r="W69" s="5">
        <f t="shared" si="10"/>
        <v>-1.1793204181657668E-2</v>
      </c>
      <c r="X69" s="7">
        <v>2752.3</v>
      </c>
      <c r="Y69" s="5">
        <f t="shared" si="11"/>
        <v>-3.4095063859410123E-3</v>
      </c>
      <c r="Z69" s="7">
        <v>7205.85</v>
      </c>
      <c r="AA69" s="5">
        <f t="shared" si="12"/>
        <v>0.11671416352668793</v>
      </c>
      <c r="AB69" s="10">
        <v>665.25</v>
      </c>
      <c r="AC69" s="5">
        <f t="shared" si="13"/>
        <v>3.2619475313660842E-2</v>
      </c>
      <c r="AD69" s="11">
        <v>11623.45</v>
      </c>
      <c r="AE69" s="5">
        <f t="shared" si="14"/>
        <v>-1.2121412359437754E-2</v>
      </c>
    </row>
    <row r="70" spans="1:31" ht="13.8">
      <c r="A70" s="12">
        <v>45544</v>
      </c>
      <c r="B70" s="7">
        <v>1894.65</v>
      </c>
      <c r="C70" s="4">
        <f t="shared" si="0"/>
        <v>-3.7929717539726777E-3</v>
      </c>
      <c r="D70" s="8">
        <v>666.85</v>
      </c>
      <c r="E70" s="4">
        <f t="shared" si="1"/>
        <v>-3.1369043140030632E-2</v>
      </c>
      <c r="F70" s="7">
        <v>2411.9499999999998</v>
      </c>
      <c r="G70" s="4">
        <f t="shared" si="2"/>
        <v>-4.7153314675927689E-3</v>
      </c>
      <c r="H70" s="7">
        <v>1237.1500000000001</v>
      </c>
      <c r="I70" s="5">
        <f t="shared" si="3"/>
        <v>-4.159928601379017E-2</v>
      </c>
      <c r="J70" s="7">
        <v>1579.2</v>
      </c>
      <c r="K70" s="5">
        <f t="shared" si="4"/>
        <v>-2.7511922709379018E-2</v>
      </c>
      <c r="L70" s="7">
        <v>10357.1</v>
      </c>
      <c r="M70" s="9">
        <f t="shared" si="5"/>
        <v>-3.1954453859015151E-2</v>
      </c>
      <c r="N70" s="7">
        <v>1237.1500000000001</v>
      </c>
      <c r="O70" s="5">
        <f t="shared" si="6"/>
        <v>-4.159928601379017E-2</v>
      </c>
      <c r="P70" s="7">
        <v>5173.5</v>
      </c>
      <c r="Q70" s="5">
        <f t="shared" si="7"/>
        <v>6.9244697848039952E-3</v>
      </c>
      <c r="R70" s="7">
        <v>1746.75</v>
      </c>
      <c r="S70" s="5">
        <f t="shared" si="8"/>
        <v>-5.3385227492487803E-3</v>
      </c>
      <c r="T70" s="7">
        <v>6490.75</v>
      </c>
      <c r="U70" s="5">
        <f t="shared" si="9"/>
        <v>-2.0419453845166573E-2</v>
      </c>
      <c r="V70" s="7">
        <v>2993.7</v>
      </c>
      <c r="W70" s="5">
        <f t="shared" si="10"/>
        <v>-1.9123192426173132E-2</v>
      </c>
      <c r="X70" s="7">
        <v>2765.1</v>
      </c>
      <c r="Y70" s="5">
        <f t="shared" si="11"/>
        <v>4.6398749279225257E-3</v>
      </c>
      <c r="Z70" s="7">
        <v>6844.2</v>
      </c>
      <c r="AA70" s="5">
        <f t="shared" si="12"/>
        <v>-5.149161784279796E-2</v>
      </c>
      <c r="AB70" s="10">
        <v>676</v>
      </c>
      <c r="AC70" s="5">
        <f t="shared" si="13"/>
        <v>1.6030166185165538E-2</v>
      </c>
      <c r="AD70" s="11">
        <v>11436.9</v>
      </c>
      <c r="AE70" s="5">
        <f t="shared" si="14"/>
        <v>-1.6179639041183736E-2</v>
      </c>
    </row>
    <row r="71" spans="1:31" ht="13.8">
      <c r="A71" s="13">
        <v>45545</v>
      </c>
      <c r="B71" s="7">
        <v>1912.3</v>
      </c>
      <c r="C71" s="4">
        <f t="shared" si="0"/>
        <v>9.2725811808346201E-3</v>
      </c>
      <c r="D71" s="8">
        <v>694.15</v>
      </c>
      <c r="E71" s="4">
        <f t="shared" si="1"/>
        <v>4.0122942412407825E-2</v>
      </c>
      <c r="F71" s="7">
        <v>2448.15</v>
      </c>
      <c r="G71" s="4">
        <f t="shared" si="2"/>
        <v>1.4897088317510238E-2</v>
      </c>
      <c r="H71" s="7">
        <v>1250.3</v>
      </c>
      <c r="I71" s="5">
        <f t="shared" si="3"/>
        <v>1.0573175344398493E-2</v>
      </c>
      <c r="J71" s="7">
        <v>1607.4</v>
      </c>
      <c r="K71" s="5">
        <f t="shared" si="4"/>
        <v>1.7699577099400857E-2</v>
      </c>
      <c r="L71" s="7">
        <v>10343.85</v>
      </c>
      <c r="M71" s="9">
        <f t="shared" si="5"/>
        <v>-1.2801346613993052E-3</v>
      </c>
      <c r="N71" s="7">
        <v>1250.3</v>
      </c>
      <c r="O71" s="5">
        <f t="shared" si="6"/>
        <v>1.0573175344398493E-2</v>
      </c>
      <c r="P71" s="7">
        <v>5426.45</v>
      </c>
      <c r="Q71" s="5">
        <f t="shared" si="7"/>
        <v>4.7735702756414422E-2</v>
      </c>
      <c r="R71" s="7">
        <v>1779.1</v>
      </c>
      <c r="S71" s="5">
        <f t="shared" si="8"/>
        <v>1.8350700008169695E-2</v>
      </c>
      <c r="T71" s="7">
        <v>6807</v>
      </c>
      <c r="U71" s="5">
        <f t="shared" si="9"/>
        <v>4.7573408022938003E-2</v>
      </c>
      <c r="V71" s="7">
        <v>3080.4</v>
      </c>
      <c r="W71" s="5">
        <f t="shared" si="10"/>
        <v>2.8549378106718631E-2</v>
      </c>
      <c r="X71" s="7">
        <v>2755</v>
      </c>
      <c r="Y71" s="5">
        <f t="shared" si="11"/>
        <v>-3.6593580807133493E-3</v>
      </c>
      <c r="Z71" s="7">
        <v>6765.45</v>
      </c>
      <c r="AA71" s="5">
        <f t="shared" si="12"/>
        <v>-1.1572800022292528E-2</v>
      </c>
      <c r="AB71" s="10">
        <v>680</v>
      </c>
      <c r="AC71" s="5">
        <f t="shared" si="13"/>
        <v>5.899722127188322E-3</v>
      </c>
      <c r="AD71" s="11">
        <v>11903</v>
      </c>
      <c r="AE71" s="5">
        <f t="shared" si="14"/>
        <v>3.9945498976518917E-2</v>
      </c>
    </row>
    <row r="72" spans="1:31" ht="13.8">
      <c r="A72" s="13">
        <v>45546</v>
      </c>
      <c r="B72" s="7">
        <v>1910.15</v>
      </c>
      <c r="C72" s="4">
        <f t="shared" si="0"/>
        <v>-1.1249330804749059E-3</v>
      </c>
      <c r="D72" s="8">
        <v>676.7</v>
      </c>
      <c r="E72" s="4">
        <f t="shared" si="1"/>
        <v>-2.5460032242631395E-2</v>
      </c>
      <c r="F72" s="7">
        <v>2432.75</v>
      </c>
      <c r="G72" s="4">
        <f t="shared" si="2"/>
        <v>-6.3103325627162071E-3</v>
      </c>
      <c r="H72" s="7">
        <v>1237.7</v>
      </c>
      <c r="I72" s="5">
        <f t="shared" si="3"/>
        <v>-1.0128703954977314E-2</v>
      </c>
      <c r="J72" s="7">
        <v>1602.6</v>
      </c>
      <c r="K72" s="5">
        <f t="shared" si="4"/>
        <v>-2.9906564346479617E-3</v>
      </c>
      <c r="L72" s="7">
        <v>10314.65</v>
      </c>
      <c r="M72" s="9">
        <f t="shared" si="5"/>
        <v>-2.8269254249823385E-3</v>
      </c>
      <c r="N72" s="7">
        <v>1237.7</v>
      </c>
      <c r="O72" s="5">
        <f t="shared" si="6"/>
        <v>-1.0128703954977314E-2</v>
      </c>
      <c r="P72" s="7">
        <v>5439.3</v>
      </c>
      <c r="Q72" s="5">
        <f t="shared" si="7"/>
        <v>2.3652312984530008E-3</v>
      </c>
      <c r="R72" s="7">
        <v>1778.75</v>
      </c>
      <c r="S72" s="5">
        <f t="shared" si="8"/>
        <v>-1.9674803666767406E-4</v>
      </c>
      <c r="T72" s="7">
        <v>6841.1</v>
      </c>
      <c r="U72" s="5">
        <f t="shared" si="9"/>
        <v>4.9970429521519798E-3</v>
      </c>
      <c r="V72" s="7">
        <v>3066.6</v>
      </c>
      <c r="W72" s="5">
        <f t="shared" si="10"/>
        <v>-4.4900026628061623E-3</v>
      </c>
      <c r="X72" s="7">
        <v>2759.65</v>
      </c>
      <c r="Y72" s="5">
        <f t="shared" si="11"/>
        <v>1.6864174887078114E-3</v>
      </c>
      <c r="Z72" s="7">
        <v>6614.7</v>
      </c>
      <c r="AA72" s="5">
        <f t="shared" si="12"/>
        <v>-2.253433319289071E-2</v>
      </c>
      <c r="AB72" s="10">
        <v>680.45</v>
      </c>
      <c r="AC72" s="5">
        <f t="shared" si="13"/>
        <v>6.615458361742836E-4</v>
      </c>
      <c r="AD72" s="11">
        <v>12165.7</v>
      </c>
      <c r="AE72" s="5">
        <f t="shared" si="14"/>
        <v>2.1830047523317238E-2</v>
      </c>
    </row>
    <row r="73" spans="1:31" ht="13.8">
      <c r="A73" s="13">
        <v>45547</v>
      </c>
      <c r="B73" s="7">
        <v>1950.45</v>
      </c>
      <c r="C73" s="4">
        <f t="shared" si="0"/>
        <v>2.0878342176985022E-2</v>
      </c>
      <c r="D73" s="8">
        <v>564.9</v>
      </c>
      <c r="E73" s="4">
        <f t="shared" si="1"/>
        <v>-0.18057931890696355</v>
      </c>
      <c r="F73" s="7">
        <v>2431.4</v>
      </c>
      <c r="G73" s="4">
        <f t="shared" si="2"/>
        <v>-5.5508158040471259E-4</v>
      </c>
      <c r="H73" s="7">
        <v>1237.3</v>
      </c>
      <c r="I73" s="5">
        <f t="shared" si="3"/>
        <v>-3.232323260466619E-4</v>
      </c>
      <c r="J73" s="7">
        <v>1643.25</v>
      </c>
      <c r="K73" s="5">
        <f t="shared" si="4"/>
        <v>2.5048677799715448E-2</v>
      </c>
      <c r="L73" s="7">
        <v>10393.799999999999</v>
      </c>
      <c r="M73" s="9">
        <f t="shared" si="5"/>
        <v>7.6442597514747058E-3</v>
      </c>
      <c r="N73" s="7">
        <v>1237.3</v>
      </c>
      <c r="O73" s="5">
        <f t="shared" si="6"/>
        <v>-3.232323260466619E-4</v>
      </c>
      <c r="P73" s="7">
        <v>5482.8</v>
      </c>
      <c r="Q73" s="5">
        <f t="shared" si="7"/>
        <v>7.9655432573532761E-3</v>
      </c>
      <c r="R73" s="7">
        <v>1807.6</v>
      </c>
      <c r="S73" s="5">
        <f t="shared" si="8"/>
        <v>1.6089128133062378E-2</v>
      </c>
      <c r="T73" s="7">
        <v>6876.5</v>
      </c>
      <c r="U73" s="5">
        <f t="shared" si="9"/>
        <v>5.1612641546590595E-3</v>
      </c>
      <c r="V73" s="7">
        <v>3098.05</v>
      </c>
      <c r="W73" s="5">
        <f t="shared" si="10"/>
        <v>1.0203425289088802E-2</v>
      </c>
      <c r="X73" s="7">
        <v>2822.85</v>
      </c>
      <c r="Y73" s="5">
        <f t="shared" si="11"/>
        <v>2.2643152803248929E-2</v>
      </c>
      <c r="Z73" s="7">
        <v>6638.1</v>
      </c>
      <c r="AA73" s="5">
        <f t="shared" si="12"/>
        <v>3.5313328982710689E-3</v>
      </c>
      <c r="AB73" s="10">
        <v>686.1</v>
      </c>
      <c r="AC73" s="5">
        <f t="shared" si="13"/>
        <v>8.2690456905184402E-3</v>
      </c>
      <c r="AD73" s="11">
        <v>12308.35</v>
      </c>
      <c r="AE73" s="5">
        <f t="shared" si="14"/>
        <v>1.1657377135497972E-2</v>
      </c>
    </row>
    <row r="74" spans="1:31" ht="13.8">
      <c r="A74" s="13">
        <v>45548</v>
      </c>
      <c r="B74" s="7">
        <v>1944.1</v>
      </c>
      <c r="C74" s="4">
        <f t="shared" si="0"/>
        <v>-3.2609701388444565E-3</v>
      </c>
      <c r="D74" s="8">
        <v>555</v>
      </c>
      <c r="E74" s="4">
        <f t="shared" si="1"/>
        <v>-1.7680610584781868E-2</v>
      </c>
      <c r="F74" s="7">
        <v>2498.8000000000002</v>
      </c>
      <c r="G74" s="4">
        <f t="shared" si="2"/>
        <v>2.7343393497721212E-2</v>
      </c>
      <c r="H74" s="7">
        <v>1241.5</v>
      </c>
      <c r="I74" s="5">
        <f t="shared" si="3"/>
        <v>3.3887397282912493E-3</v>
      </c>
      <c r="J74" s="7">
        <v>1656.05</v>
      </c>
      <c r="K74" s="5">
        <f t="shared" si="4"/>
        <v>7.7592605824278469E-3</v>
      </c>
      <c r="L74" s="7">
        <v>10371.299999999999</v>
      </c>
      <c r="M74" s="9">
        <f t="shared" si="5"/>
        <v>-2.1670985264306292E-3</v>
      </c>
      <c r="N74" s="7">
        <v>1241.5</v>
      </c>
      <c r="O74" s="5">
        <f t="shared" si="6"/>
        <v>3.3887397282912493E-3</v>
      </c>
      <c r="P74" s="7">
        <v>5498.65</v>
      </c>
      <c r="Q74" s="5">
        <f t="shared" si="7"/>
        <v>2.8866881889842437E-3</v>
      </c>
      <c r="R74" s="7">
        <v>1812.8</v>
      </c>
      <c r="S74" s="5">
        <f t="shared" si="8"/>
        <v>2.8726127366171875E-3</v>
      </c>
      <c r="T74" s="7">
        <v>7013.75</v>
      </c>
      <c r="U74" s="5">
        <f t="shared" si="9"/>
        <v>1.9762706510419274E-2</v>
      </c>
      <c r="V74" s="7">
        <v>3146.15</v>
      </c>
      <c r="W74" s="5">
        <f t="shared" si="10"/>
        <v>1.5406601783344017E-2</v>
      </c>
      <c r="X74" s="7">
        <v>2828.65</v>
      </c>
      <c r="Y74" s="5">
        <f t="shared" si="11"/>
        <v>2.0525531403240696E-3</v>
      </c>
      <c r="Z74" s="7">
        <v>7316.8</v>
      </c>
      <c r="AA74" s="5">
        <f t="shared" si="12"/>
        <v>9.7347295958795668E-2</v>
      </c>
      <c r="AB74" s="10">
        <v>681.95</v>
      </c>
      <c r="AC74" s="5">
        <f t="shared" si="13"/>
        <v>-6.0670483239609633E-3</v>
      </c>
      <c r="AD74" s="11">
        <v>12822.85</v>
      </c>
      <c r="AE74" s="5">
        <f t="shared" si="14"/>
        <v>4.0950841833361708E-2</v>
      </c>
    </row>
    <row r="75" spans="1:31" ht="13.8">
      <c r="A75" s="13">
        <v>45551</v>
      </c>
      <c r="B75" s="7">
        <v>1950.25</v>
      </c>
      <c r="C75" s="4">
        <f t="shared" si="0"/>
        <v>3.1584244418283339E-3</v>
      </c>
      <c r="D75" s="8">
        <v>549.9</v>
      </c>
      <c r="E75" s="4">
        <f t="shared" si="1"/>
        <v>-9.2316702326655058E-3</v>
      </c>
      <c r="F75" s="7">
        <v>2456.25</v>
      </c>
      <c r="G75" s="4">
        <f t="shared" si="2"/>
        <v>-1.7174820001843519E-2</v>
      </c>
      <c r="H75" s="7">
        <v>1226.5999999999999</v>
      </c>
      <c r="I75" s="5">
        <f t="shared" si="3"/>
        <v>-1.2074211756338004E-2</v>
      </c>
      <c r="J75" s="7">
        <v>1649</v>
      </c>
      <c r="K75" s="5">
        <f t="shared" si="4"/>
        <v>-4.2662051665144345E-3</v>
      </c>
      <c r="L75" s="7">
        <v>10400</v>
      </c>
      <c r="M75" s="9">
        <f t="shared" si="5"/>
        <v>2.7634301429444487E-3</v>
      </c>
      <c r="N75" s="7">
        <v>1226.5999999999999</v>
      </c>
      <c r="O75" s="5">
        <f t="shared" si="6"/>
        <v>-1.2074211756338004E-2</v>
      </c>
      <c r="P75" s="7">
        <v>5479.35</v>
      </c>
      <c r="Q75" s="5">
        <f t="shared" si="7"/>
        <v>-3.5161267779299514E-3</v>
      </c>
      <c r="R75" s="7">
        <v>1811.85</v>
      </c>
      <c r="S75" s="5">
        <f t="shared" si="8"/>
        <v>-5.2418855434485201E-4</v>
      </c>
      <c r="T75" s="7">
        <v>6989.3</v>
      </c>
      <c r="U75" s="5">
        <f t="shared" si="9"/>
        <v>-3.4920999134934435E-3</v>
      </c>
      <c r="V75" s="7">
        <v>3125.75</v>
      </c>
      <c r="W75" s="5">
        <f t="shared" si="10"/>
        <v>-6.5052286996126005E-3</v>
      </c>
      <c r="X75" s="7">
        <v>2841.75</v>
      </c>
      <c r="Y75" s="5">
        <f t="shared" si="11"/>
        <v>4.6204935475240147E-3</v>
      </c>
      <c r="Z75" s="7">
        <v>8235.4500000000007</v>
      </c>
      <c r="AA75" s="5">
        <f t="shared" si="12"/>
        <v>0.11827493302372001</v>
      </c>
      <c r="AB75" s="10">
        <v>695.2</v>
      </c>
      <c r="AC75" s="5">
        <f t="shared" si="13"/>
        <v>1.9243232578298207E-2</v>
      </c>
      <c r="AD75" s="11">
        <v>13188.35</v>
      </c>
      <c r="AE75" s="5">
        <f t="shared" si="14"/>
        <v>2.8105128457536391E-2</v>
      </c>
    </row>
    <row r="76" spans="1:31" ht="13.8">
      <c r="A76" s="13">
        <v>45552</v>
      </c>
      <c r="B76" s="7">
        <v>1952.55</v>
      </c>
      <c r="C76" s="4">
        <f t="shared" si="0"/>
        <v>1.1786411121564935E-3</v>
      </c>
      <c r="D76" s="8">
        <v>544.20000000000005</v>
      </c>
      <c r="E76" s="4">
        <f t="shared" si="1"/>
        <v>-1.0419617164622936E-2</v>
      </c>
      <c r="F76" s="7">
        <v>2455.4499999999998</v>
      </c>
      <c r="G76" s="4">
        <f t="shared" si="2"/>
        <v>-3.2575279722890909E-4</v>
      </c>
      <c r="H76" s="7">
        <v>1193.8</v>
      </c>
      <c r="I76" s="5">
        <f t="shared" si="3"/>
        <v>-2.71046174573338E-2</v>
      </c>
      <c r="J76" s="7">
        <v>1651.55</v>
      </c>
      <c r="K76" s="5">
        <f t="shared" si="4"/>
        <v>1.5451973200662659E-3</v>
      </c>
      <c r="L76" s="7">
        <v>10369.9</v>
      </c>
      <c r="M76" s="9">
        <f t="shared" si="5"/>
        <v>-2.8984271539299173E-3</v>
      </c>
      <c r="N76" s="7">
        <v>1193.8</v>
      </c>
      <c r="O76" s="5">
        <f t="shared" si="6"/>
        <v>-2.71046174573338E-2</v>
      </c>
      <c r="P76" s="7">
        <v>5452.2</v>
      </c>
      <c r="Q76" s="5">
        <f t="shared" si="7"/>
        <v>-4.9672838389241934E-3</v>
      </c>
      <c r="R76" s="7">
        <v>1813.75</v>
      </c>
      <c r="S76" s="5">
        <f t="shared" si="8"/>
        <v>1.0481024790005061E-3</v>
      </c>
      <c r="T76" s="7">
        <v>6998.55</v>
      </c>
      <c r="U76" s="5">
        <f t="shared" si="9"/>
        <v>1.322576571574451E-3</v>
      </c>
      <c r="V76" s="7">
        <v>3177.8</v>
      </c>
      <c r="W76" s="5">
        <f t="shared" si="10"/>
        <v>1.6514879079157697E-2</v>
      </c>
      <c r="X76" s="7">
        <v>2818.75</v>
      </c>
      <c r="Y76" s="5">
        <f t="shared" si="11"/>
        <v>-8.1265353158313808E-3</v>
      </c>
      <c r="Z76" s="7">
        <v>7737.85</v>
      </c>
      <c r="AA76" s="5">
        <f t="shared" si="12"/>
        <v>-6.232413570890856E-2</v>
      </c>
      <c r="AB76" s="10">
        <v>692</v>
      </c>
      <c r="AC76" s="5">
        <f t="shared" si="13"/>
        <v>-4.6136183335128327E-3</v>
      </c>
      <c r="AD76" s="11">
        <v>13139.4</v>
      </c>
      <c r="AE76" s="5">
        <f t="shared" si="14"/>
        <v>-3.7185142219934701E-3</v>
      </c>
    </row>
    <row r="77" spans="1:31" ht="13.8">
      <c r="A77" s="13">
        <v>45553</v>
      </c>
      <c r="B77" s="7">
        <v>1892.15</v>
      </c>
      <c r="C77" s="4">
        <f t="shared" si="0"/>
        <v>-3.1422461927410106E-2</v>
      </c>
      <c r="D77" s="8">
        <v>547.45000000000005</v>
      </c>
      <c r="E77" s="4">
        <f t="shared" si="1"/>
        <v>5.954306970288056E-3</v>
      </c>
      <c r="F77" s="7">
        <v>2395.6</v>
      </c>
      <c r="G77" s="4">
        <f t="shared" si="2"/>
        <v>-2.4676322430035195E-2</v>
      </c>
      <c r="H77" s="7">
        <v>1166.4000000000001</v>
      </c>
      <c r="I77" s="5">
        <f t="shared" si="3"/>
        <v>-2.3219414480155662E-2</v>
      </c>
      <c r="J77" s="7">
        <v>1605.4</v>
      </c>
      <c r="K77" s="5">
        <f t="shared" si="4"/>
        <v>-2.8341294182188635E-2</v>
      </c>
      <c r="L77" s="7">
        <v>10793</v>
      </c>
      <c r="M77" s="9">
        <f t="shared" si="5"/>
        <v>3.9990396849812308E-2</v>
      </c>
      <c r="N77" s="7">
        <v>1166.4000000000001</v>
      </c>
      <c r="O77" s="5">
        <f t="shared" si="6"/>
        <v>-2.3219414480155662E-2</v>
      </c>
      <c r="P77" s="7">
        <v>5469.15</v>
      </c>
      <c r="Q77" s="5">
        <f t="shared" si="7"/>
        <v>3.1040143589028233E-3</v>
      </c>
      <c r="R77" s="7">
        <v>1756.5</v>
      </c>
      <c r="S77" s="5">
        <f t="shared" si="8"/>
        <v>-3.207333249251583E-2</v>
      </c>
      <c r="T77" s="7">
        <v>6860.75</v>
      </c>
      <c r="U77" s="5">
        <f t="shared" si="9"/>
        <v>-1.9886219533295987E-2</v>
      </c>
      <c r="V77" s="7">
        <v>3004.4</v>
      </c>
      <c r="W77" s="5">
        <f t="shared" si="10"/>
        <v>-5.6111252642409917E-2</v>
      </c>
      <c r="X77" s="7">
        <v>2784.75</v>
      </c>
      <c r="Y77" s="5">
        <f t="shared" si="11"/>
        <v>-1.2135421525689347E-2</v>
      </c>
      <c r="Z77" s="7">
        <v>7580.55</v>
      </c>
      <c r="AA77" s="5">
        <f t="shared" si="12"/>
        <v>-2.0538114847733716E-2</v>
      </c>
      <c r="AB77" s="10">
        <v>695.3</v>
      </c>
      <c r="AC77" s="5">
        <f t="shared" si="13"/>
        <v>4.7574514873024148E-3</v>
      </c>
      <c r="AD77" s="11">
        <v>12927.2</v>
      </c>
      <c r="AE77" s="5">
        <f t="shared" si="14"/>
        <v>-1.6281731237561266E-2</v>
      </c>
    </row>
    <row r="78" spans="1:31" ht="13.8">
      <c r="A78" s="13">
        <v>45554</v>
      </c>
      <c r="B78" s="7">
        <v>1894.2</v>
      </c>
      <c r="C78" s="4">
        <f t="shared" si="0"/>
        <v>1.0828371388318981E-3</v>
      </c>
      <c r="D78" s="8">
        <v>542.45000000000005</v>
      </c>
      <c r="E78" s="4">
        <f t="shared" si="1"/>
        <v>-9.175218050974215E-3</v>
      </c>
      <c r="F78" s="7">
        <v>2426.0500000000002</v>
      </c>
      <c r="G78" s="4">
        <f t="shared" si="2"/>
        <v>1.2630698959011959E-2</v>
      </c>
      <c r="H78" s="7">
        <v>1121.3</v>
      </c>
      <c r="I78" s="5">
        <f t="shared" si="3"/>
        <v>-3.943335578755882E-2</v>
      </c>
      <c r="J78" s="7">
        <v>1595.35</v>
      </c>
      <c r="K78" s="5">
        <f t="shared" si="4"/>
        <v>-6.2797988143542469E-3</v>
      </c>
      <c r="L78" s="7">
        <v>10766.9</v>
      </c>
      <c r="M78" s="9">
        <f t="shared" si="5"/>
        <v>-2.4211626909134351E-3</v>
      </c>
      <c r="N78" s="7">
        <v>1121.3</v>
      </c>
      <c r="O78" s="5">
        <f t="shared" si="6"/>
        <v>-3.943335578755882E-2</v>
      </c>
      <c r="P78" s="7">
        <v>5429.2</v>
      </c>
      <c r="Q78" s="5">
        <f t="shared" si="7"/>
        <v>-7.3314178644489792E-3</v>
      </c>
      <c r="R78" s="7">
        <v>1736.5</v>
      </c>
      <c r="S78" s="5">
        <f t="shared" si="8"/>
        <v>-1.1451599521752988E-2</v>
      </c>
      <c r="T78" s="7">
        <v>6915.6</v>
      </c>
      <c r="U78" s="5">
        <f t="shared" si="9"/>
        <v>7.9629640406543474E-3</v>
      </c>
      <c r="V78" s="7">
        <v>2978.25</v>
      </c>
      <c r="W78" s="5">
        <f t="shared" si="10"/>
        <v>-8.7420011323862054E-3</v>
      </c>
      <c r="X78" s="7">
        <v>2770.6</v>
      </c>
      <c r="Y78" s="5">
        <f t="shared" si="11"/>
        <v>-5.0941995015204959E-3</v>
      </c>
      <c r="Z78" s="7">
        <v>7777.55</v>
      </c>
      <c r="AA78" s="5">
        <f t="shared" si="12"/>
        <v>2.5655622181287554E-2</v>
      </c>
      <c r="AB78" s="10">
        <v>697</v>
      </c>
      <c r="AC78" s="5">
        <f t="shared" si="13"/>
        <v>2.4420036555518089E-3</v>
      </c>
      <c r="AD78" s="11">
        <v>12694.85</v>
      </c>
      <c r="AE78" s="5">
        <f t="shared" si="14"/>
        <v>-1.8137219264527705E-2</v>
      </c>
    </row>
    <row r="79" spans="1:31" ht="13.8">
      <c r="A79" s="13">
        <v>45555</v>
      </c>
      <c r="B79" s="7">
        <v>1905.75</v>
      </c>
      <c r="C79" s="4">
        <f t="shared" si="0"/>
        <v>6.0790460763821925E-3</v>
      </c>
      <c r="D79" s="8">
        <v>539.9</v>
      </c>
      <c r="E79" s="4">
        <f t="shared" si="1"/>
        <v>-4.7119780442184834E-3</v>
      </c>
      <c r="F79" s="7">
        <v>2535.75</v>
      </c>
      <c r="G79" s="4">
        <f t="shared" si="2"/>
        <v>4.4225030906785687E-2</v>
      </c>
      <c r="H79" s="7">
        <v>1149.4000000000001</v>
      </c>
      <c r="I79" s="5">
        <f t="shared" si="3"/>
        <v>2.4751340606806269E-2</v>
      </c>
      <c r="J79" s="7">
        <v>1622.05</v>
      </c>
      <c r="K79" s="5">
        <f t="shared" si="4"/>
        <v>1.6597633457687385E-2</v>
      </c>
      <c r="L79" s="7">
        <v>11163.4</v>
      </c>
      <c r="M79" s="9">
        <f t="shared" si="5"/>
        <v>3.6163956899795707E-2</v>
      </c>
      <c r="N79" s="7">
        <v>1149.4000000000001</v>
      </c>
      <c r="O79" s="5">
        <f t="shared" si="6"/>
        <v>2.4751340606806269E-2</v>
      </c>
      <c r="P79" s="7">
        <v>5450.75</v>
      </c>
      <c r="Q79" s="5">
        <f t="shared" si="7"/>
        <v>3.9614204443476266E-3</v>
      </c>
      <c r="R79" s="7">
        <v>1760.05</v>
      </c>
      <c r="S79" s="5">
        <f t="shared" si="8"/>
        <v>1.3470624535447335E-2</v>
      </c>
      <c r="T79" s="7">
        <v>6945.35</v>
      </c>
      <c r="U79" s="5">
        <f t="shared" si="9"/>
        <v>4.2926416563116238E-3</v>
      </c>
      <c r="V79" s="7">
        <v>3028.35</v>
      </c>
      <c r="W79" s="5">
        <f t="shared" si="10"/>
        <v>1.6682037044871978E-2</v>
      </c>
      <c r="X79" s="7">
        <v>2815.6</v>
      </c>
      <c r="Y79" s="5">
        <f t="shared" si="11"/>
        <v>1.6111479510197927E-2</v>
      </c>
      <c r="Z79" s="7">
        <v>7598.15</v>
      </c>
      <c r="AA79" s="5">
        <f t="shared" si="12"/>
        <v>-2.3336581962078481E-2</v>
      </c>
      <c r="AB79" s="10">
        <v>709</v>
      </c>
      <c r="AC79" s="5">
        <f t="shared" si="13"/>
        <v>1.7070115771603719E-2</v>
      </c>
      <c r="AD79" s="11">
        <v>12803.6</v>
      </c>
      <c r="AE79" s="5">
        <f t="shared" si="14"/>
        <v>8.5299819708310291E-3</v>
      </c>
    </row>
    <row r="80" spans="1:31" ht="13.8">
      <c r="A80" s="13">
        <v>45558</v>
      </c>
      <c r="B80" s="7">
        <v>1896.45</v>
      </c>
      <c r="C80" s="4">
        <f t="shared" si="0"/>
        <v>-4.8919144423667134E-3</v>
      </c>
      <c r="D80" s="8">
        <v>560.20000000000005</v>
      </c>
      <c r="E80" s="4">
        <f t="shared" si="1"/>
        <v>3.690992560176707E-2</v>
      </c>
      <c r="F80" s="7">
        <v>2650.25</v>
      </c>
      <c r="G80" s="4">
        <f t="shared" si="2"/>
        <v>4.4164523897102008E-2</v>
      </c>
      <c r="H80" s="7">
        <v>1162.75</v>
      </c>
      <c r="I80" s="5">
        <f t="shared" si="3"/>
        <v>1.1547822030565246E-2</v>
      </c>
      <c r="J80" s="7">
        <v>1607.15</v>
      </c>
      <c r="K80" s="5">
        <f t="shared" si="4"/>
        <v>-9.2283573289888184E-3</v>
      </c>
      <c r="L80" s="7">
        <v>11085.35</v>
      </c>
      <c r="M80" s="9">
        <f t="shared" si="5"/>
        <v>-7.0161532829027557E-3</v>
      </c>
      <c r="N80" s="7">
        <v>1162.75</v>
      </c>
      <c r="O80" s="5">
        <f t="shared" si="6"/>
        <v>1.1547822030565246E-2</v>
      </c>
      <c r="P80" s="7">
        <v>5372.85</v>
      </c>
      <c r="Q80" s="5">
        <f t="shared" si="7"/>
        <v>-1.4394719893633678E-2</v>
      </c>
      <c r="R80" s="7">
        <v>1752.8</v>
      </c>
      <c r="S80" s="5">
        <f t="shared" si="8"/>
        <v>-4.1277084383191786E-3</v>
      </c>
      <c r="T80" s="7">
        <v>6885.3</v>
      </c>
      <c r="U80" s="5">
        <f t="shared" si="9"/>
        <v>-8.683666688702801E-3</v>
      </c>
      <c r="V80" s="7">
        <v>3042.4</v>
      </c>
      <c r="W80" s="5">
        <f t="shared" si="10"/>
        <v>4.6287608897074553E-3</v>
      </c>
      <c r="X80" s="7">
        <v>2845.2</v>
      </c>
      <c r="Y80" s="5">
        <f t="shared" si="11"/>
        <v>1.0457981125383554E-2</v>
      </c>
      <c r="Z80" s="7">
        <v>7352.35</v>
      </c>
      <c r="AA80" s="5">
        <f t="shared" si="12"/>
        <v>-3.2884806594108688E-2</v>
      </c>
      <c r="AB80" s="10">
        <v>702.5</v>
      </c>
      <c r="AC80" s="5">
        <f t="shared" si="13"/>
        <v>-9.2101253242266538E-3</v>
      </c>
      <c r="AD80" s="11">
        <v>12722.85</v>
      </c>
      <c r="AE80" s="5">
        <f t="shared" si="14"/>
        <v>-6.3267919633868937E-3</v>
      </c>
    </row>
    <row r="81" spans="1:31" ht="13.8">
      <c r="A81" s="13">
        <v>45559</v>
      </c>
      <c r="B81" s="7">
        <v>1898.6</v>
      </c>
      <c r="C81" s="4">
        <f t="shared" si="0"/>
        <v>1.1330550216817094E-3</v>
      </c>
      <c r="D81" s="8">
        <v>563.1</v>
      </c>
      <c r="E81" s="4">
        <f t="shared" si="1"/>
        <v>5.163369434564676E-3</v>
      </c>
      <c r="F81" s="7">
        <v>2734.3</v>
      </c>
      <c r="G81" s="4">
        <f t="shared" si="2"/>
        <v>3.1221486445173603E-2</v>
      </c>
      <c r="H81" s="7">
        <v>1141.2</v>
      </c>
      <c r="I81" s="5">
        <f t="shared" si="3"/>
        <v>-1.8707548764861429E-2</v>
      </c>
      <c r="J81" s="7">
        <v>1637.1</v>
      </c>
      <c r="K81" s="5">
        <f t="shared" si="4"/>
        <v>1.8463959848474952E-2</v>
      </c>
      <c r="L81" s="7">
        <v>10842.05</v>
      </c>
      <c r="M81" s="9">
        <f t="shared" si="5"/>
        <v>-2.2192324246417053E-2</v>
      </c>
      <c r="N81" s="7">
        <v>1141.2</v>
      </c>
      <c r="O81" s="5">
        <f t="shared" si="6"/>
        <v>-1.8707548764861429E-2</v>
      </c>
      <c r="P81" s="7">
        <v>5375.8</v>
      </c>
      <c r="Q81" s="5">
        <f t="shared" si="7"/>
        <v>5.4890615548361236E-4</v>
      </c>
      <c r="R81" s="7">
        <v>1775.6</v>
      </c>
      <c r="S81" s="5">
        <f t="shared" si="8"/>
        <v>1.2923884678623477E-2</v>
      </c>
      <c r="T81" s="7">
        <v>6998</v>
      </c>
      <c r="U81" s="5">
        <f t="shared" si="9"/>
        <v>1.6235689729403625E-2</v>
      </c>
      <c r="V81" s="7">
        <v>3072.15</v>
      </c>
      <c r="W81" s="5">
        <f t="shared" si="10"/>
        <v>9.7309645864588745E-3</v>
      </c>
      <c r="X81" s="7">
        <v>2868.7</v>
      </c>
      <c r="Y81" s="5">
        <f t="shared" si="11"/>
        <v>8.2256016037052619E-3</v>
      </c>
      <c r="Z81" s="7">
        <v>7307.65</v>
      </c>
      <c r="AA81" s="5">
        <f t="shared" si="12"/>
        <v>-6.098245365271069E-3</v>
      </c>
      <c r="AB81" s="10">
        <v>705.1</v>
      </c>
      <c r="AC81" s="5">
        <f t="shared" si="13"/>
        <v>3.6942355170940665E-3</v>
      </c>
      <c r="AD81" s="11">
        <v>12799.15</v>
      </c>
      <c r="AE81" s="5">
        <f t="shared" si="14"/>
        <v>5.9791730517613764E-3</v>
      </c>
    </row>
    <row r="82" spans="1:31" ht="13.8">
      <c r="A82" s="13">
        <v>45560</v>
      </c>
      <c r="B82" s="7">
        <v>1895.3</v>
      </c>
      <c r="C82" s="4">
        <f t="shared" si="0"/>
        <v>-1.7396351154435896E-3</v>
      </c>
      <c r="D82" s="8">
        <v>555.95000000000005</v>
      </c>
      <c r="E82" s="4">
        <f t="shared" si="1"/>
        <v>-1.2778870111314527E-2</v>
      </c>
      <c r="F82" s="7">
        <v>2701.3</v>
      </c>
      <c r="G82" s="4">
        <f t="shared" si="2"/>
        <v>-1.2142322999494142E-2</v>
      </c>
      <c r="H82" s="7">
        <v>1118.45</v>
      </c>
      <c r="I82" s="5">
        <f t="shared" si="3"/>
        <v>-2.0136542135223669E-2</v>
      </c>
      <c r="J82" s="7">
        <v>1602.75</v>
      </c>
      <c r="K82" s="5">
        <f t="shared" si="4"/>
        <v>-2.1205479992929193E-2</v>
      </c>
      <c r="L82" s="7">
        <v>10686.35</v>
      </c>
      <c r="M82" s="9">
        <f t="shared" si="5"/>
        <v>-1.4464866388621414E-2</v>
      </c>
      <c r="N82" s="7">
        <v>1118.45</v>
      </c>
      <c r="O82" s="5">
        <f t="shared" si="6"/>
        <v>-2.0136542135223669E-2</v>
      </c>
      <c r="P82" s="7">
        <v>5394.3</v>
      </c>
      <c r="Q82" s="5">
        <f t="shared" si="7"/>
        <v>3.4354403756943846E-3</v>
      </c>
      <c r="R82" s="7">
        <v>1782.4</v>
      </c>
      <c r="S82" s="5">
        <f t="shared" si="8"/>
        <v>3.8223767730847691E-3</v>
      </c>
      <c r="T82" s="7">
        <v>6906.8</v>
      </c>
      <c r="U82" s="5">
        <f t="shared" si="9"/>
        <v>-1.3117960389358082E-2</v>
      </c>
      <c r="V82" s="7">
        <v>3018.5</v>
      </c>
      <c r="W82" s="5">
        <f t="shared" si="10"/>
        <v>-1.7617622964027913E-2</v>
      </c>
      <c r="X82" s="7">
        <v>2871.5</v>
      </c>
      <c r="Y82" s="5">
        <f t="shared" si="11"/>
        <v>9.755758412858948E-4</v>
      </c>
      <c r="Z82" s="7">
        <v>7113.85</v>
      </c>
      <c r="AA82" s="5">
        <f t="shared" si="12"/>
        <v>-2.6878156528736877E-2</v>
      </c>
      <c r="AB82" s="10">
        <v>689.2</v>
      </c>
      <c r="AC82" s="5">
        <f t="shared" si="13"/>
        <v>-2.2808132071220295E-2</v>
      </c>
      <c r="AD82" s="11">
        <v>13346.7</v>
      </c>
      <c r="AE82" s="5">
        <f t="shared" si="14"/>
        <v>4.1890400807710143E-2</v>
      </c>
    </row>
    <row r="83" spans="1:31" ht="13.8">
      <c r="A83" s="13">
        <v>45561</v>
      </c>
      <c r="B83" s="7">
        <v>1900.25</v>
      </c>
      <c r="C83" s="4">
        <f t="shared" si="0"/>
        <v>2.6083191138953068E-3</v>
      </c>
      <c r="D83" s="8">
        <v>543.70000000000005</v>
      </c>
      <c r="E83" s="4">
        <f t="shared" si="1"/>
        <v>-2.2280737997383226E-2</v>
      </c>
      <c r="F83" s="7">
        <v>2685.15</v>
      </c>
      <c r="G83" s="4">
        <f t="shared" si="2"/>
        <v>-5.9965462945761275E-3</v>
      </c>
      <c r="H83" s="7">
        <v>1123.6500000000001</v>
      </c>
      <c r="I83" s="5">
        <f t="shared" si="3"/>
        <v>4.6385168578803333E-3</v>
      </c>
      <c r="J83" s="7">
        <v>1606.95</v>
      </c>
      <c r="K83" s="5">
        <f t="shared" si="4"/>
        <v>2.6170685093101407E-3</v>
      </c>
      <c r="L83" s="7">
        <v>10815.3</v>
      </c>
      <c r="M83" s="9">
        <f t="shared" si="5"/>
        <v>1.1994572137186032E-2</v>
      </c>
      <c r="N83" s="7">
        <v>1123.6500000000001</v>
      </c>
      <c r="O83" s="5">
        <f t="shared" si="6"/>
        <v>4.6385168578803333E-3</v>
      </c>
      <c r="P83" s="7">
        <v>5379.3</v>
      </c>
      <c r="Q83" s="5">
        <f t="shared" si="7"/>
        <v>-2.7845863392738121E-3</v>
      </c>
      <c r="R83" s="7">
        <v>1783.85</v>
      </c>
      <c r="S83" s="5">
        <f t="shared" si="8"/>
        <v>8.1317915451929713E-4</v>
      </c>
      <c r="T83" s="7">
        <v>6874.25</v>
      </c>
      <c r="U83" s="5">
        <f t="shared" si="9"/>
        <v>-4.7238868634401276E-3</v>
      </c>
      <c r="V83" s="7">
        <v>3053.7</v>
      </c>
      <c r="W83" s="5">
        <f t="shared" si="10"/>
        <v>1.1593950889923014E-2</v>
      </c>
      <c r="X83" s="7">
        <v>2891.1</v>
      </c>
      <c r="Y83" s="5">
        <f t="shared" si="11"/>
        <v>6.80251122100027E-3</v>
      </c>
      <c r="Z83" s="7">
        <v>7136.95</v>
      </c>
      <c r="AA83" s="5">
        <f t="shared" si="12"/>
        <v>3.2419260998553831E-3</v>
      </c>
      <c r="AB83" s="10">
        <v>693.6</v>
      </c>
      <c r="AC83" s="5">
        <f t="shared" si="13"/>
        <v>6.3639208125574097E-3</v>
      </c>
      <c r="AD83" s="11">
        <v>13516</v>
      </c>
      <c r="AE83" s="5">
        <f t="shared" si="14"/>
        <v>1.2605005573754642E-2</v>
      </c>
    </row>
    <row r="84" spans="1:31" ht="13.8">
      <c r="A84" s="13">
        <v>45562</v>
      </c>
      <c r="B84" s="7">
        <v>1906.75</v>
      </c>
      <c r="C84" s="4">
        <f t="shared" si="0"/>
        <v>3.4147655981982016E-3</v>
      </c>
      <c r="D84" s="8">
        <v>556.1</v>
      </c>
      <c r="E84" s="4">
        <f t="shared" si="1"/>
        <v>2.2550510041643185E-2</v>
      </c>
      <c r="F84" s="7">
        <v>2592</v>
      </c>
      <c r="G84" s="4">
        <f t="shared" si="2"/>
        <v>-3.5306813832144956E-2</v>
      </c>
      <c r="H84" s="7">
        <v>1130.25</v>
      </c>
      <c r="I84" s="5">
        <f t="shared" si="3"/>
        <v>5.8565321127127482E-3</v>
      </c>
      <c r="J84" s="7">
        <v>1609.25</v>
      </c>
      <c r="K84" s="5">
        <f t="shared" si="4"/>
        <v>1.4302595560483859E-3</v>
      </c>
      <c r="L84" s="7">
        <v>10543.45</v>
      </c>
      <c r="M84" s="9">
        <f t="shared" si="5"/>
        <v>-2.5456984238911538E-2</v>
      </c>
      <c r="N84" s="7">
        <v>1130.25</v>
      </c>
      <c r="O84" s="5">
        <f t="shared" si="6"/>
        <v>5.8565321127127482E-3</v>
      </c>
      <c r="P84" s="7">
        <v>5457.9</v>
      </c>
      <c r="Q84" s="5">
        <f t="shared" si="7"/>
        <v>1.4505846204439496E-2</v>
      </c>
      <c r="R84" s="7">
        <v>1808.4</v>
      </c>
      <c r="S84" s="5">
        <f t="shared" si="8"/>
        <v>1.3668526532966024E-2</v>
      </c>
      <c r="T84" s="7">
        <v>6935.35</v>
      </c>
      <c r="U84" s="5">
        <f t="shared" si="9"/>
        <v>8.8489744379448218E-3</v>
      </c>
      <c r="V84" s="7">
        <v>3082.6</v>
      </c>
      <c r="W84" s="5">
        <f t="shared" si="10"/>
        <v>9.4194265862156158E-3</v>
      </c>
      <c r="X84" s="7">
        <v>2949.7</v>
      </c>
      <c r="Y84" s="5">
        <f t="shared" si="11"/>
        <v>2.0066417721981318E-2</v>
      </c>
      <c r="Z84" s="7">
        <v>6998.05</v>
      </c>
      <c r="AA84" s="5">
        <f t="shared" si="12"/>
        <v>-1.9653975401165234E-2</v>
      </c>
      <c r="AB84" s="10">
        <v>692.45</v>
      </c>
      <c r="AC84" s="5">
        <f t="shared" si="13"/>
        <v>-1.6593921776053536E-3</v>
      </c>
      <c r="AD84" s="11">
        <v>13647.7</v>
      </c>
      <c r="AE84" s="5">
        <f t="shared" si="14"/>
        <v>9.6968404130157882E-3</v>
      </c>
    </row>
    <row r="85" spans="1:31" ht="13.8">
      <c r="A85" s="13">
        <v>45565</v>
      </c>
      <c r="B85" s="7">
        <v>1875.6</v>
      </c>
      <c r="C85" s="4">
        <f t="shared" si="0"/>
        <v>-1.6471613828916792E-2</v>
      </c>
      <c r="D85" s="8">
        <v>558.6</v>
      </c>
      <c r="E85" s="4">
        <f t="shared" si="1"/>
        <v>4.4855193175581572E-3</v>
      </c>
      <c r="F85" s="7">
        <v>2520.6999999999998</v>
      </c>
      <c r="G85" s="4">
        <f t="shared" si="2"/>
        <v>-2.7893137762022475E-2</v>
      </c>
      <c r="H85" s="7">
        <v>1160</v>
      </c>
      <c r="I85" s="5">
        <f t="shared" si="3"/>
        <v>2.5981157925695698E-2</v>
      </c>
      <c r="J85" s="7">
        <v>1577.2</v>
      </c>
      <c r="K85" s="5">
        <f t="shared" si="4"/>
        <v>-2.0117108929253055E-2</v>
      </c>
      <c r="L85" s="7">
        <v>10494.7</v>
      </c>
      <c r="M85" s="9">
        <f t="shared" si="5"/>
        <v>-4.6344462088839522E-3</v>
      </c>
      <c r="N85" s="7">
        <v>1160</v>
      </c>
      <c r="O85" s="5">
        <f t="shared" si="6"/>
        <v>2.5981157925695698E-2</v>
      </c>
      <c r="P85" s="7">
        <v>5443.35</v>
      </c>
      <c r="Q85" s="5">
        <f t="shared" si="7"/>
        <v>-2.669420229796801E-3</v>
      </c>
      <c r="R85" s="7">
        <v>1796.1</v>
      </c>
      <c r="S85" s="5">
        <f t="shared" si="8"/>
        <v>-6.8248288210341537E-3</v>
      </c>
      <c r="T85" s="7">
        <v>7016.45</v>
      </c>
      <c r="U85" s="5">
        <f t="shared" si="9"/>
        <v>1.1625870993018563E-2</v>
      </c>
      <c r="V85" s="7">
        <v>3010.4</v>
      </c>
      <c r="W85" s="5">
        <f t="shared" si="10"/>
        <v>-2.3700436433391814E-2</v>
      </c>
      <c r="X85" s="7">
        <v>2839.85</v>
      </c>
      <c r="Y85" s="5">
        <f t="shared" si="11"/>
        <v>-3.7952236388351081E-2</v>
      </c>
      <c r="Z85" s="7">
        <v>6977.6</v>
      </c>
      <c r="AA85" s="5">
        <f t="shared" si="12"/>
        <v>-2.9265207121491085E-3</v>
      </c>
      <c r="AB85" s="10">
        <v>695.4</v>
      </c>
      <c r="AC85" s="5">
        <f t="shared" si="13"/>
        <v>4.2511862850342971E-3</v>
      </c>
      <c r="AD85" s="11">
        <v>14545.3</v>
      </c>
      <c r="AE85" s="5">
        <f t="shared" si="14"/>
        <v>6.3696908113951317E-2</v>
      </c>
    </row>
    <row r="86" spans="1:31" ht="13.8">
      <c r="A86" s="12">
        <v>45566</v>
      </c>
      <c r="B86" s="7">
        <v>1904.35</v>
      </c>
      <c r="C86" s="4">
        <f t="shared" si="0"/>
        <v>1.5212134771816462E-2</v>
      </c>
      <c r="D86" s="8">
        <v>579.15</v>
      </c>
      <c r="E86" s="4">
        <f t="shared" si="1"/>
        <v>3.6127857867278609E-2</v>
      </c>
      <c r="F86" s="7">
        <v>2578.9499999999998</v>
      </c>
      <c r="G86" s="4">
        <f t="shared" si="2"/>
        <v>2.2845698623823095E-2</v>
      </c>
      <c r="H86" s="7">
        <v>1127.2</v>
      </c>
      <c r="I86" s="5">
        <f t="shared" si="3"/>
        <v>-2.8683323515939836E-2</v>
      </c>
      <c r="J86" s="7">
        <v>1625.4</v>
      </c>
      <c r="K86" s="5">
        <f t="shared" si="4"/>
        <v>3.0102816315632424E-2</v>
      </c>
      <c r="L86" s="7">
        <v>10605.7</v>
      </c>
      <c r="M86" s="9">
        <f t="shared" si="5"/>
        <v>1.0521224615425286E-2</v>
      </c>
      <c r="N86" s="7">
        <v>1127.2</v>
      </c>
      <c r="O86" s="5">
        <f t="shared" si="6"/>
        <v>-2.8683323515939836E-2</v>
      </c>
      <c r="P86" s="7">
        <v>5423.8</v>
      </c>
      <c r="Q86" s="5">
        <f t="shared" si="7"/>
        <v>-3.5980033570129515E-3</v>
      </c>
      <c r="R86" s="7">
        <v>1816.5</v>
      </c>
      <c r="S86" s="5">
        <f t="shared" si="8"/>
        <v>1.1293925061840581E-2</v>
      </c>
      <c r="T86" s="7">
        <v>7126.45</v>
      </c>
      <c r="U86" s="5">
        <f t="shared" si="9"/>
        <v>1.5555822097881568E-2</v>
      </c>
      <c r="V86" s="7">
        <v>3015.6</v>
      </c>
      <c r="W86" s="5">
        <f t="shared" si="10"/>
        <v>1.725855058319156E-3</v>
      </c>
      <c r="X86" s="7">
        <v>2838.65</v>
      </c>
      <c r="Y86" s="5">
        <f t="shared" si="11"/>
        <v>-4.2264683203758558E-4</v>
      </c>
      <c r="Z86" s="7">
        <v>6819.3</v>
      </c>
      <c r="AA86" s="5">
        <f t="shared" si="12"/>
        <v>-2.2948190814954993E-2</v>
      </c>
      <c r="AB86" s="10">
        <v>693.65</v>
      </c>
      <c r="AC86" s="5">
        <f t="shared" si="13"/>
        <v>-2.5197090470264593E-3</v>
      </c>
      <c r="AD86" s="11">
        <v>14278.9</v>
      </c>
      <c r="AE86" s="5">
        <f t="shared" si="14"/>
        <v>-1.8484994246922643E-2</v>
      </c>
    </row>
    <row r="87" spans="1:31" ht="13.8">
      <c r="A87" s="12">
        <v>45568</v>
      </c>
      <c r="B87" s="7">
        <v>1893.4</v>
      </c>
      <c r="C87" s="4">
        <f t="shared" si="0"/>
        <v>-5.7665882924566574E-3</v>
      </c>
      <c r="D87" s="8">
        <v>595.45000000000005</v>
      </c>
      <c r="E87" s="4">
        <f t="shared" si="1"/>
        <v>2.7755910835649791E-2</v>
      </c>
      <c r="F87" s="7">
        <v>2537.8000000000002</v>
      </c>
      <c r="G87" s="4">
        <f t="shared" si="2"/>
        <v>-1.6084775371151466E-2</v>
      </c>
      <c r="H87" s="7">
        <v>1122.9000000000001</v>
      </c>
      <c r="I87" s="5">
        <f t="shared" si="3"/>
        <v>-3.8220570059774054E-3</v>
      </c>
      <c r="J87" s="7">
        <v>1604.05</v>
      </c>
      <c r="K87" s="5">
        <f t="shared" si="4"/>
        <v>-1.3222258308658108E-2</v>
      </c>
      <c r="L87" s="7">
        <v>10519.1</v>
      </c>
      <c r="M87" s="9">
        <f t="shared" si="5"/>
        <v>-8.1989401199246224E-3</v>
      </c>
      <c r="N87" s="7">
        <v>1122.9000000000001</v>
      </c>
      <c r="O87" s="5">
        <f t="shared" si="6"/>
        <v>-3.8220570059774054E-3</v>
      </c>
      <c r="P87" s="7">
        <v>5430.3</v>
      </c>
      <c r="Q87" s="5">
        <f t="shared" si="7"/>
        <v>1.1977042365590566E-3</v>
      </c>
      <c r="R87" s="7">
        <v>1778.55</v>
      </c>
      <c r="S87" s="5">
        <f t="shared" si="8"/>
        <v>-2.1113147089067433E-2</v>
      </c>
      <c r="T87" s="7">
        <v>7060.15</v>
      </c>
      <c r="U87" s="5">
        <f t="shared" si="9"/>
        <v>-9.3469164831716071E-3</v>
      </c>
      <c r="V87" s="7">
        <v>2921</v>
      </c>
      <c r="W87" s="5">
        <f t="shared" si="10"/>
        <v>-3.1872791949805766E-2</v>
      </c>
      <c r="X87" s="7">
        <v>2725.6</v>
      </c>
      <c r="Y87" s="5">
        <f t="shared" si="11"/>
        <v>-4.0639999680187201E-2</v>
      </c>
      <c r="Z87" s="7">
        <v>6596.2</v>
      </c>
      <c r="AA87" s="5">
        <f t="shared" si="12"/>
        <v>-3.326310164682892E-2</v>
      </c>
      <c r="AB87" s="10">
        <v>699.05</v>
      </c>
      <c r="AC87" s="5">
        <f t="shared" si="13"/>
        <v>7.7547599070990781E-3</v>
      </c>
      <c r="AD87" s="11">
        <v>14056.45</v>
      </c>
      <c r="AE87" s="5">
        <f t="shared" si="14"/>
        <v>-1.5701557961803479E-2</v>
      </c>
    </row>
    <row r="88" spans="1:31" ht="13.8">
      <c r="A88" s="12">
        <v>45569</v>
      </c>
      <c r="B88" s="7">
        <v>1918.15</v>
      </c>
      <c r="C88" s="4">
        <f t="shared" si="0"/>
        <v>1.2987025155694302E-2</v>
      </c>
      <c r="D88" s="8">
        <v>569.75</v>
      </c>
      <c r="E88" s="4">
        <f t="shared" si="1"/>
        <v>-4.411975408821131E-2</v>
      </c>
      <c r="F88" s="7">
        <v>2611.65</v>
      </c>
      <c r="G88" s="4">
        <f t="shared" si="2"/>
        <v>2.868464151790296E-2</v>
      </c>
      <c r="H88" s="7">
        <v>1108.3499999999999</v>
      </c>
      <c r="I88" s="5">
        <f t="shared" si="3"/>
        <v>-1.3042201675726832E-2</v>
      </c>
      <c r="J88" s="7">
        <v>1616.45</v>
      </c>
      <c r="K88" s="5">
        <f t="shared" si="4"/>
        <v>7.7007056528506177E-3</v>
      </c>
      <c r="L88" s="7">
        <v>10368.35</v>
      </c>
      <c r="M88" s="9">
        <f t="shared" si="5"/>
        <v>-1.4434755562852156E-2</v>
      </c>
      <c r="N88" s="7">
        <v>1108.3499999999999</v>
      </c>
      <c r="O88" s="5">
        <f t="shared" si="6"/>
        <v>-1.3042201675726832E-2</v>
      </c>
      <c r="P88" s="7">
        <v>5425.55</v>
      </c>
      <c r="Q88" s="5">
        <f t="shared" si="7"/>
        <v>-8.751042623345262E-4</v>
      </c>
      <c r="R88" s="7">
        <v>1776.6</v>
      </c>
      <c r="S88" s="5">
        <f t="shared" si="8"/>
        <v>-1.0970002365886828E-3</v>
      </c>
      <c r="T88" s="7">
        <v>7125.55</v>
      </c>
      <c r="U88" s="5">
        <f t="shared" si="9"/>
        <v>9.220618419574127E-3</v>
      </c>
      <c r="V88" s="7">
        <v>2846.6</v>
      </c>
      <c r="W88" s="5">
        <f t="shared" si="10"/>
        <v>-2.5800723751216E-2</v>
      </c>
      <c r="X88" s="7">
        <v>2687.5</v>
      </c>
      <c r="Y88" s="5">
        <f t="shared" si="11"/>
        <v>-1.407719391083853E-2</v>
      </c>
      <c r="Z88" s="7">
        <v>6627.4</v>
      </c>
      <c r="AA88" s="5">
        <f t="shared" si="12"/>
        <v>4.7188447768336328E-3</v>
      </c>
      <c r="AB88" s="10">
        <v>690.2</v>
      </c>
      <c r="AC88" s="5">
        <f t="shared" si="13"/>
        <v>-1.2740859769930482E-2</v>
      </c>
      <c r="AD88" s="11">
        <v>14015.5</v>
      </c>
      <c r="AE88" s="5">
        <f t="shared" si="14"/>
        <v>-2.917505128545612E-3</v>
      </c>
    </row>
    <row r="89" spans="1:31" ht="13.8">
      <c r="A89" s="12">
        <v>45572</v>
      </c>
      <c r="B89" s="7">
        <v>1934.3</v>
      </c>
      <c r="C89" s="4">
        <f t="shared" si="0"/>
        <v>8.3843240575668925E-3</v>
      </c>
      <c r="D89" s="8">
        <v>548.15</v>
      </c>
      <c r="E89" s="4">
        <f t="shared" si="1"/>
        <v>-3.86486960052446E-2</v>
      </c>
      <c r="F89" s="7">
        <v>2561.6999999999998</v>
      </c>
      <c r="G89" s="4">
        <f t="shared" si="2"/>
        <v>-1.9311104899047155E-2</v>
      </c>
      <c r="H89" s="7">
        <v>1109.3</v>
      </c>
      <c r="I89" s="5">
        <f t="shared" si="3"/>
        <v>8.5676284184772083E-4</v>
      </c>
      <c r="J89" s="7">
        <v>1618.55</v>
      </c>
      <c r="K89" s="5">
        <f t="shared" si="4"/>
        <v>1.2983000278064582E-3</v>
      </c>
      <c r="L89" s="7">
        <v>10335</v>
      </c>
      <c r="M89" s="9">
        <f t="shared" si="5"/>
        <v>-3.2217036224577869E-3</v>
      </c>
      <c r="N89" s="7">
        <v>1109.3</v>
      </c>
      <c r="O89" s="5">
        <f t="shared" si="6"/>
        <v>8.5676284184772083E-4</v>
      </c>
      <c r="P89" s="7">
        <v>5404.35</v>
      </c>
      <c r="Q89" s="5">
        <f t="shared" si="7"/>
        <v>-3.9150919360957928E-3</v>
      </c>
      <c r="R89" s="7">
        <v>1776.95</v>
      </c>
      <c r="S89" s="5">
        <f t="shared" si="8"/>
        <v>1.9698611311602245E-4</v>
      </c>
      <c r="T89" s="7">
        <v>7208.05</v>
      </c>
      <c r="U89" s="5">
        <f t="shared" si="9"/>
        <v>1.1511540860991201E-2</v>
      </c>
      <c r="V89" s="7">
        <v>2874.45</v>
      </c>
      <c r="W89" s="5">
        <f t="shared" si="10"/>
        <v>9.7360519460890152E-3</v>
      </c>
      <c r="X89" s="7">
        <v>2637.85</v>
      </c>
      <c r="Y89" s="5">
        <f t="shared" si="11"/>
        <v>-1.8647202033850157E-2</v>
      </c>
      <c r="Z89" s="7">
        <v>6407.1</v>
      </c>
      <c r="AA89" s="5">
        <f t="shared" si="12"/>
        <v>-3.3805819957504722E-2</v>
      </c>
      <c r="AB89" s="10">
        <v>678.8</v>
      </c>
      <c r="AC89" s="5">
        <f t="shared" si="13"/>
        <v>-1.6654877303831927E-2</v>
      </c>
      <c r="AD89" s="11">
        <v>13643.25</v>
      </c>
      <c r="AE89" s="5">
        <f t="shared" si="14"/>
        <v>-2.6918966213440778E-2</v>
      </c>
    </row>
    <row r="90" spans="1:31" ht="13.8">
      <c r="A90" s="12">
        <v>45573</v>
      </c>
      <c r="B90" s="7">
        <v>1948.55</v>
      </c>
      <c r="C90" s="4">
        <f t="shared" si="0"/>
        <v>7.3400023061707806E-3</v>
      </c>
      <c r="D90" s="8">
        <v>556.5</v>
      </c>
      <c r="E90" s="4">
        <f t="shared" si="1"/>
        <v>1.5118198595050493E-2</v>
      </c>
      <c r="F90" s="7">
        <v>2603.5500000000002</v>
      </c>
      <c r="G90" s="4">
        <f t="shared" si="2"/>
        <v>1.6204797753330256E-2</v>
      </c>
      <c r="H90" s="7">
        <v>1149.2</v>
      </c>
      <c r="I90" s="5">
        <f t="shared" si="3"/>
        <v>3.5336862360520555E-2</v>
      </c>
      <c r="J90" s="7">
        <v>1629.1</v>
      </c>
      <c r="K90" s="5">
        <f t="shared" si="4"/>
        <v>6.4970283810203196E-3</v>
      </c>
      <c r="L90" s="7">
        <v>10332.75</v>
      </c>
      <c r="M90" s="9">
        <f t="shared" si="5"/>
        <v>-2.1773052305048554E-4</v>
      </c>
      <c r="N90" s="7">
        <v>1149.2</v>
      </c>
      <c r="O90" s="5">
        <f t="shared" si="6"/>
        <v>3.5336862360520555E-2</v>
      </c>
      <c r="P90" s="7">
        <v>5547.05</v>
      </c>
      <c r="Q90" s="5">
        <f t="shared" si="7"/>
        <v>2.606207007380049E-2</v>
      </c>
      <c r="R90" s="7">
        <v>1789.45</v>
      </c>
      <c r="S90" s="5">
        <f t="shared" si="8"/>
        <v>7.0098986014363214E-3</v>
      </c>
      <c r="T90" s="7">
        <v>7321.95</v>
      </c>
      <c r="U90" s="5">
        <f t="shared" si="9"/>
        <v>1.5678228920473606E-2</v>
      </c>
      <c r="V90" s="7">
        <v>2901.1</v>
      </c>
      <c r="W90" s="5">
        <f t="shared" si="10"/>
        <v>9.2286238167964569E-3</v>
      </c>
      <c r="X90" s="7">
        <v>2740.55</v>
      </c>
      <c r="Y90" s="5">
        <f t="shared" si="11"/>
        <v>3.8194438763498928E-2</v>
      </c>
      <c r="Z90" s="7">
        <v>6884.55</v>
      </c>
      <c r="AA90" s="5">
        <f t="shared" si="12"/>
        <v>7.1873020103560378E-2</v>
      </c>
      <c r="AB90" s="10">
        <v>697.9</v>
      </c>
      <c r="AC90" s="5">
        <f t="shared" si="13"/>
        <v>2.7749292663034723E-2</v>
      </c>
      <c r="AD90" s="11">
        <v>14055.25</v>
      </c>
      <c r="AE90" s="5">
        <f t="shared" si="14"/>
        <v>2.9751097636324358E-2</v>
      </c>
    </row>
    <row r="91" spans="1:31" ht="13.8">
      <c r="A91" s="12">
        <v>45574</v>
      </c>
      <c r="B91" s="7">
        <v>1952.75</v>
      </c>
      <c r="C91" s="4">
        <f t="shared" si="0"/>
        <v>2.1531292761836785E-3</v>
      </c>
      <c r="D91" s="8">
        <v>573.65</v>
      </c>
      <c r="E91" s="4">
        <f t="shared" si="1"/>
        <v>3.0352283529552361E-2</v>
      </c>
      <c r="F91" s="7">
        <v>2686.8</v>
      </c>
      <c r="G91" s="4">
        <f t="shared" si="2"/>
        <v>3.1474996057709016E-2</v>
      </c>
      <c r="H91" s="7">
        <v>1163.0999999999999</v>
      </c>
      <c r="I91" s="5">
        <f t="shared" si="3"/>
        <v>1.2022806239858538E-2</v>
      </c>
      <c r="J91" s="7">
        <v>1658.8</v>
      </c>
      <c r="K91" s="5">
        <f t="shared" si="4"/>
        <v>1.8066734300102531E-2</v>
      </c>
      <c r="L91" s="7">
        <v>10473.4</v>
      </c>
      <c r="M91" s="9">
        <f t="shared" si="5"/>
        <v>1.3520246900799717E-2</v>
      </c>
      <c r="N91" s="7">
        <v>1163.0999999999999</v>
      </c>
      <c r="O91" s="5">
        <f t="shared" si="6"/>
        <v>1.2022806239858538E-2</v>
      </c>
      <c r="P91" s="7">
        <v>5989.75</v>
      </c>
      <c r="Q91" s="5">
        <f t="shared" si="7"/>
        <v>7.6783420115482323E-2</v>
      </c>
      <c r="R91" s="7">
        <v>1809.7</v>
      </c>
      <c r="S91" s="5">
        <f t="shared" si="8"/>
        <v>1.1252775616002447E-2</v>
      </c>
      <c r="T91" s="7">
        <v>7377.35</v>
      </c>
      <c r="U91" s="5">
        <f t="shared" si="9"/>
        <v>7.5378095980308361E-3</v>
      </c>
      <c r="V91" s="7">
        <v>2899.15</v>
      </c>
      <c r="W91" s="5">
        <f t="shared" si="10"/>
        <v>-6.7238483633167822E-4</v>
      </c>
      <c r="X91" s="7">
        <v>2782.55</v>
      </c>
      <c r="Y91" s="5">
        <f t="shared" si="11"/>
        <v>1.5209143274615861E-2</v>
      </c>
      <c r="Z91" s="7">
        <v>7087.5</v>
      </c>
      <c r="AA91" s="5">
        <f t="shared" si="12"/>
        <v>2.9052898486400167E-2</v>
      </c>
      <c r="AB91" s="10">
        <v>698.2</v>
      </c>
      <c r="AC91" s="5">
        <f t="shared" si="13"/>
        <v>4.2976864782970744E-4</v>
      </c>
      <c r="AD91" s="11">
        <v>14480.8</v>
      </c>
      <c r="AE91" s="5">
        <f t="shared" si="14"/>
        <v>2.9827642585583711E-2</v>
      </c>
    </row>
    <row r="92" spans="1:31" ht="13.8">
      <c r="A92" s="13">
        <v>45575</v>
      </c>
      <c r="B92" s="7">
        <v>1919</v>
      </c>
      <c r="C92" s="4">
        <f t="shared" si="0"/>
        <v>-1.7434418482706788E-2</v>
      </c>
      <c r="D92" s="8">
        <v>578.4</v>
      </c>
      <c r="E92" s="4">
        <f t="shared" si="1"/>
        <v>8.2462165994030383E-3</v>
      </c>
      <c r="F92" s="7">
        <v>2684</v>
      </c>
      <c r="G92" s="4">
        <f t="shared" si="2"/>
        <v>-1.042675301137121E-3</v>
      </c>
      <c r="H92" s="7">
        <v>1217.7</v>
      </c>
      <c r="I92" s="5">
        <f t="shared" si="3"/>
        <v>4.5874979167968732E-2</v>
      </c>
      <c r="J92" s="7">
        <v>1619.7</v>
      </c>
      <c r="K92" s="5">
        <f t="shared" si="4"/>
        <v>-2.3853502479875235E-2</v>
      </c>
      <c r="L92" s="7">
        <v>10747.05</v>
      </c>
      <c r="M92" s="9">
        <f t="shared" si="5"/>
        <v>2.5792588797864675E-2</v>
      </c>
      <c r="N92" s="7">
        <v>1217.7</v>
      </c>
      <c r="O92" s="5">
        <f t="shared" si="6"/>
        <v>4.5874979167968732E-2</v>
      </c>
      <c r="P92" s="7">
        <v>5942.15</v>
      </c>
      <c r="Q92" s="5">
        <f t="shared" si="7"/>
        <v>-7.978654281960958E-3</v>
      </c>
      <c r="R92" s="7">
        <v>1808.65</v>
      </c>
      <c r="S92" s="5">
        <f t="shared" si="8"/>
        <v>-5.8037504910972957E-4</v>
      </c>
      <c r="T92" s="7">
        <v>7281.5</v>
      </c>
      <c r="U92" s="5">
        <f t="shared" si="9"/>
        <v>-1.3077610596943059E-2</v>
      </c>
      <c r="V92" s="7">
        <v>2854.05</v>
      </c>
      <c r="W92" s="5">
        <f t="shared" si="10"/>
        <v>-1.5678552408559081E-2</v>
      </c>
      <c r="X92" s="7">
        <v>2793.5</v>
      </c>
      <c r="Y92" s="5">
        <f t="shared" si="11"/>
        <v>3.9275164590205167E-3</v>
      </c>
      <c r="Z92" s="7">
        <v>6893.8</v>
      </c>
      <c r="AA92" s="5">
        <f t="shared" si="12"/>
        <v>-2.7710212113987828E-2</v>
      </c>
      <c r="AB92" s="10">
        <v>685.1</v>
      </c>
      <c r="AC92" s="5">
        <f t="shared" si="13"/>
        <v>-1.894078166208232E-2</v>
      </c>
      <c r="AD92" s="11">
        <v>15960.15</v>
      </c>
      <c r="AE92" s="5">
        <f t="shared" si="14"/>
        <v>9.7271356423531741E-2</v>
      </c>
    </row>
    <row r="93" spans="1:31" ht="13.8">
      <c r="A93" s="13">
        <v>45576</v>
      </c>
      <c r="B93" s="7">
        <v>1935.1</v>
      </c>
      <c r="C93" s="4">
        <f t="shared" si="0"/>
        <v>8.3547877074016657E-3</v>
      </c>
      <c r="D93" s="8">
        <v>603.85</v>
      </c>
      <c r="E93" s="4">
        <f t="shared" si="1"/>
        <v>4.3060151876829392E-2</v>
      </c>
      <c r="F93" s="7">
        <v>2792.55</v>
      </c>
      <c r="G93" s="4">
        <f t="shared" si="2"/>
        <v>3.9646937794443372E-2</v>
      </c>
      <c r="H93" s="7">
        <v>1221.95</v>
      </c>
      <c r="I93" s="5">
        <f t="shared" si="3"/>
        <v>3.4841098511965126E-3</v>
      </c>
      <c r="J93" s="7">
        <v>1647.05</v>
      </c>
      <c r="K93" s="5">
        <f t="shared" si="4"/>
        <v>1.6744862051567111E-2</v>
      </c>
      <c r="L93" s="7">
        <v>10851.1</v>
      </c>
      <c r="M93" s="9">
        <f t="shared" si="5"/>
        <v>9.6351590267451919E-3</v>
      </c>
      <c r="N93" s="7">
        <v>1221.95</v>
      </c>
      <c r="O93" s="5">
        <f t="shared" si="6"/>
        <v>3.4841098511965126E-3</v>
      </c>
      <c r="P93" s="7">
        <v>6142.25</v>
      </c>
      <c r="Q93" s="5">
        <f t="shared" si="7"/>
        <v>3.3120103796856572E-2</v>
      </c>
      <c r="R93" s="7">
        <v>1839.65</v>
      </c>
      <c r="S93" s="5">
        <f t="shared" si="8"/>
        <v>1.6994625501058704E-2</v>
      </c>
      <c r="T93" s="7">
        <v>7380.6</v>
      </c>
      <c r="U93" s="5">
        <f t="shared" si="9"/>
        <v>1.3518051180159321E-2</v>
      </c>
      <c r="V93" s="7">
        <v>2876.35</v>
      </c>
      <c r="W93" s="5">
        <f t="shared" si="10"/>
        <v>7.783091083075456E-3</v>
      </c>
      <c r="X93" s="7">
        <v>2794.35</v>
      </c>
      <c r="Y93" s="5">
        <f t="shared" si="11"/>
        <v>3.0423150462389808E-4</v>
      </c>
      <c r="Z93" s="7">
        <v>7005.75</v>
      </c>
      <c r="AA93" s="5">
        <f t="shared" si="12"/>
        <v>1.6108783499048103E-2</v>
      </c>
      <c r="AB93" s="10">
        <v>685.5</v>
      </c>
      <c r="AC93" s="5">
        <f t="shared" si="13"/>
        <v>5.8368599351556487E-4</v>
      </c>
      <c r="AD93" s="11">
        <v>15899.2</v>
      </c>
      <c r="AE93" s="5">
        <f t="shared" si="14"/>
        <v>-3.8261969787758161E-3</v>
      </c>
    </row>
    <row r="94" spans="1:31" ht="13.8">
      <c r="A94" s="13">
        <v>45579</v>
      </c>
      <c r="B94" s="7">
        <v>1958.9</v>
      </c>
      <c r="C94" s="4">
        <f t="shared" si="0"/>
        <v>1.222408647425317E-2</v>
      </c>
      <c r="D94" s="8">
        <v>608.79999999999995</v>
      </c>
      <c r="E94" s="4">
        <f t="shared" si="1"/>
        <v>8.1639838260917467E-3</v>
      </c>
      <c r="F94" s="7">
        <v>2759.6</v>
      </c>
      <c r="G94" s="4">
        <f t="shared" si="2"/>
        <v>-1.1869415214062096E-2</v>
      </c>
      <c r="H94" s="7">
        <v>1189.2</v>
      </c>
      <c r="I94" s="5">
        <f t="shared" si="3"/>
        <v>-2.7167131240215726E-2</v>
      </c>
      <c r="J94" s="7">
        <v>1692.5</v>
      </c>
      <c r="K94" s="5">
        <f t="shared" si="4"/>
        <v>2.7220916842511881E-2</v>
      </c>
      <c r="L94" s="7">
        <v>10670.25</v>
      </c>
      <c r="M94" s="9">
        <f t="shared" si="5"/>
        <v>-1.6806962118841643E-2</v>
      </c>
      <c r="N94" s="7">
        <v>1189.2</v>
      </c>
      <c r="O94" s="5">
        <f t="shared" si="6"/>
        <v>-2.7167131240215726E-2</v>
      </c>
      <c r="P94" s="7">
        <v>6214.85</v>
      </c>
      <c r="Q94" s="5">
        <f t="shared" si="7"/>
        <v>1.1750464970310378E-2</v>
      </c>
      <c r="R94" s="7">
        <v>1855.9</v>
      </c>
      <c r="S94" s="5">
        <f t="shared" si="8"/>
        <v>8.7944174661545201E-3</v>
      </c>
      <c r="T94" s="7">
        <v>7432.1</v>
      </c>
      <c r="U94" s="5">
        <f t="shared" si="9"/>
        <v>6.9535206286680459E-3</v>
      </c>
      <c r="V94" s="7">
        <v>2962.6</v>
      </c>
      <c r="W94" s="5">
        <f t="shared" si="10"/>
        <v>2.9545131910356754E-2</v>
      </c>
      <c r="X94" s="7">
        <v>2830.4</v>
      </c>
      <c r="Y94" s="5">
        <f t="shared" si="11"/>
        <v>1.2818523001693699E-2</v>
      </c>
      <c r="Z94" s="7">
        <v>6926.85</v>
      </c>
      <c r="AA94" s="5">
        <f t="shared" si="12"/>
        <v>-1.1326076028764851E-2</v>
      </c>
      <c r="AB94" s="10">
        <v>689.35</v>
      </c>
      <c r="AC94" s="5">
        <f t="shared" si="13"/>
        <v>5.6006256152688573E-3</v>
      </c>
      <c r="AD94" s="11">
        <v>15921.85</v>
      </c>
      <c r="AE94" s="5">
        <f t="shared" si="14"/>
        <v>1.4235862000281634E-3</v>
      </c>
    </row>
    <row r="95" spans="1:31" ht="13.8">
      <c r="A95" s="13">
        <v>45580</v>
      </c>
      <c r="B95" s="7">
        <v>1959.3</v>
      </c>
      <c r="C95" s="4">
        <f t="shared" si="0"/>
        <v>2.0417538736631791E-4</v>
      </c>
      <c r="D95" s="8">
        <v>599.65</v>
      </c>
      <c r="E95" s="4">
        <f t="shared" si="1"/>
        <v>-1.5143654869745936E-2</v>
      </c>
      <c r="F95" s="7">
        <v>2747.3</v>
      </c>
      <c r="G95" s="4">
        <f t="shared" si="2"/>
        <v>-4.4671304923383738E-3</v>
      </c>
      <c r="H95" s="7">
        <v>1204</v>
      </c>
      <c r="I95" s="5">
        <f t="shared" si="3"/>
        <v>1.236853474482359E-2</v>
      </c>
      <c r="J95" s="7">
        <v>1675.35</v>
      </c>
      <c r="K95" s="5">
        <f t="shared" si="4"/>
        <v>-1.0184627131484816E-2</v>
      </c>
      <c r="L95" s="7">
        <v>10707.35</v>
      </c>
      <c r="M95" s="9">
        <f t="shared" si="5"/>
        <v>3.4709263197291586E-3</v>
      </c>
      <c r="N95" s="7">
        <v>1204</v>
      </c>
      <c r="O95" s="5">
        <f t="shared" si="6"/>
        <v>1.236853474482359E-2</v>
      </c>
      <c r="P95" s="7">
        <v>6106.7</v>
      </c>
      <c r="Q95" s="5">
        <f t="shared" si="7"/>
        <v>-1.7555060436277747E-2</v>
      </c>
      <c r="R95" s="7">
        <v>1870.1</v>
      </c>
      <c r="S95" s="5">
        <f t="shared" si="8"/>
        <v>7.6221517704152383E-3</v>
      </c>
      <c r="T95" s="7">
        <v>7469.95</v>
      </c>
      <c r="U95" s="5">
        <f t="shared" si="9"/>
        <v>5.0798489325711198E-3</v>
      </c>
      <c r="V95" s="7">
        <v>2929.8</v>
      </c>
      <c r="W95" s="5">
        <f t="shared" si="10"/>
        <v>-1.113309985228208E-2</v>
      </c>
      <c r="X95" s="7">
        <v>2833.6</v>
      </c>
      <c r="Y95" s="5">
        <f t="shared" si="11"/>
        <v>1.1299436230482118E-3</v>
      </c>
      <c r="Z95" s="7">
        <v>7008.9</v>
      </c>
      <c r="AA95" s="5">
        <f t="shared" si="12"/>
        <v>1.1775605635718372E-2</v>
      </c>
      <c r="AB95" s="10">
        <v>685.7</v>
      </c>
      <c r="AC95" s="5">
        <f t="shared" si="13"/>
        <v>-5.3089103273192091E-3</v>
      </c>
      <c r="AD95" s="11">
        <v>16118.45</v>
      </c>
      <c r="AE95" s="5">
        <f t="shared" si="14"/>
        <v>1.2272198914261082E-2</v>
      </c>
    </row>
    <row r="96" spans="1:31" ht="13.8">
      <c r="A96" s="13">
        <v>45581</v>
      </c>
      <c r="B96" s="7">
        <v>1920.1</v>
      </c>
      <c r="C96" s="4">
        <f t="shared" si="0"/>
        <v>-2.0209998577850281E-2</v>
      </c>
      <c r="D96" s="8">
        <v>609.04999999999995</v>
      </c>
      <c r="E96" s="4">
        <f t="shared" si="1"/>
        <v>1.5554214468237725E-2</v>
      </c>
      <c r="F96" s="7">
        <v>2711.4</v>
      </c>
      <c r="G96" s="4">
        <f t="shared" si="2"/>
        <v>-1.3153504534326161E-2</v>
      </c>
      <c r="H96" s="7">
        <v>1196.0999999999999</v>
      </c>
      <c r="I96" s="5">
        <f t="shared" si="3"/>
        <v>-6.5830828133474489E-3</v>
      </c>
      <c r="J96" s="7">
        <v>1660.3</v>
      </c>
      <c r="K96" s="5">
        <f t="shared" si="4"/>
        <v>-9.0237897412045968E-3</v>
      </c>
      <c r="L96" s="7">
        <v>10505.15</v>
      </c>
      <c r="M96" s="9">
        <f t="shared" si="5"/>
        <v>-1.9064808427154592E-2</v>
      </c>
      <c r="N96" s="7">
        <v>1196.0999999999999</v>
      </c>
      <c r="O96" s="5">
        <f t="shared" si="6"/>
        <v>-6.5830828133474489E-3</v>
      </c>
      <c r="P96" s="7">
        <v>6123.65</v>
      </c>
      <c r="Q96" s="5">
        <f t="shared" si="7"/>
        <v>2.7717948958156206E-3</v>
      </c>
      <c r="R96" s="7">
        <v>1865.25</v>
      </c>
      <c r="S96" s="5">
        <f t="shared" si="8"/>
        <v>-2.5968130030505293E-3</v>
      </c>
      <c r="T96" s="7">
        <v>7204.25</v>
      </c>
      <c r="U96" s="5">
        <f t="shared" si="9"/>
        <v>-3.6217176027510373E-2</v>
      </c>
      <c r="V96" s="7">
        <v>2911.35</v>
      </c>
      <c r="W96" s="5">
        <f t="shared" si="10"/>
        <v>-6.3172701808238687E-3</v>
      </c>
      <c r="X96" s="7">
        <v>2774.15</v>
      </c>
      <c r="Y96" s="5">
        <f t="shared" si="11"/>
        <v>-2.1203594075698891E-2</v>
      </c>
      <c r="Z96" s="7">
        <v>7101.3</v>
      </c>
      <c r="AA96" s="5">
        <f t="shared" si="12"/>
        <v>1.3097095832433753E-2</v>
      </c>
      <c r="AB96" s="10">
        <v>679.55</v>
      </c>
      <c r="AC96" s="5">
        <f t="shared" si="13"/>
        <v>-9.0093998889626097E-3</v>
      </c>
      <c r="AD96" s="11">
        <v>16072.4</v>
      </c>
      <c r="AE96" s="5">
        <f t="shared" si="14"/>
        <v>-2.8610634023369108E-3</v>
      </c>
    </row>
    <row r="97" spans="1:31" ht="13.8">
      <c r="A97" s="13">
        <v>45582</v>
      </c>
      <c r="B97" s="7">
        <v>1968.1</v>
      </c>
      <c r="C97" s="4">
        <f t="shared" si="0"/>
        <v>2.4691342330520883E-2</v>
      </c>
      <c r="D97" s="8">
        <v>594.45000000000005</v>
      </c>
      <c r="E97" s="4">
        <f t="shared" si="1"/>
        <v>-2.4263757841414123E-2</v>
      </c>
      <c r="F97" s="7">
        <v>2683.85</v>
      </c>
      <c r="G97" s="4">
        <f t="shared" si="2"/>
        <v>-1.0212775851653052E-2</v>
      </c>
      <c r="H97" s="7">
        <v>1152.4000000000001</v>
      </c>
      <c r="I97" s="5">
        <f t="shared" si="3"/>
        <v>-3.7219539845045405E-2</v>
      </c>
      <c r="J97" s="7">
        <v>1699</v>
      </c>
      <c r="K97" s="5">
        <f t="shared" si="4"/>
        <v>2.3041533758191322E-2</v>
      </c>
      <c r="L97" s="7">
        <v>10402.75</v>
      </c>
      <c r="M97" s="9">
        <f t="shared" si="5"/>
        <v>-9.7954188391936488E-3</v>
      </c>
      <c r="N97" s="7">
        <v>1152.4000000000001</v>
      </c>
      <c r="O97" s="5">
        <f t="shared" si="6"/>
        <v>-3.7219539845045405E-2</v>
      </c>
      <c r="P97" s="7">
        <v>6077.4</v>
      </c>
      <c r="Q97" s="5">
        <f t="shared" si="7"/>
        <v>-7.5813510354069656E-3</v>
      </c>
      <c r="R97" s="7">
        <v>1867.8</v>
      </c>
      <c r="S97" s="5">
        <f t="shared" si="8"/>
        <v>1.3661753239937961E-3</v>
      </c>
      <c r="T97" s="7">
        <v>7257.25</v>
      </c>
      <c r="U97" s="5">
        <f t="shared" si="9"/>
        <v>7.3298395452809821E-3</v>
      </c>
      <c r="V97" s="7">
        <v>3080.2</v>
      </c>
      <c r="W97" s="5">
        <f t="shared" si="10"/>
        <v>5.6377638809519313E-2</v>
      </c>
      <c r="X97" s="7">
        <v>2679.25</v>
      </c>
      <c r="Y97" s="5">
        <f t="shared" si="11"/>
        <v>-3.4807489359763751E-2</v>
      </c>
      <c r="Z97" s="7">
        <v>6955.45</v>
      </c>
      <c r="AA97" s="5">
        <f t="shared" si="12"/>
        <v>-2.0752340942486559E-2</v>
      </c>
      <c r="AB97" s="10">
        <v>666.1</v>
      </c>
      <c r="AC97" s="5">
        <f t="shared" si="13"/>
        <v>-1.9991004982222421E-2</v>
      </c>
      <c r="AD97" s="11">
        <v>15802.65</v>
      </c>
      <c r="AE97" s="5">
        <f t="shared" si="14"/>
        <v>-1.6925867718687128E-2</v>
      </c>
    </row>
    <row r="98" spans="1:31" ht="13.8">
      <c r="A98" s="13">
        <v>45583</v>
      </c>
      <c r="B98" s="7">
        <v>1879.6</v>
      </c>
      <c r="C98" s="4">
        <f t="shared" si="0"/>
        <v>-4.6009622100731042E-2</v>
      </c>
      <c r="D98" s="8">
        <v>597.25</v>
      </c>
      <c r="E98" s="4">
        <f t="shared" si="1"/>
        <v>4.6991779013651445E-3</v>
      </c>
      <c r="F98" s="7">
        <v>2647.2</v>
      </c>
      <c r="G98" s="4">
        <f t="shared" si="2"/>
        <v>-1.3749853186233637E-2</v>
      </c>
      <c r="H98" s="7">
        <v>1129.8499999999999</v>
      </c>
      <c r="I98" s="5">
        <f t="shared" si="3"/>
        <v>-1.9761843677999085E-2</v>
      </c>
      <c r="J98" s="7">
        <v>1687.9</v>
      </c>
      <c r="K98" s="5">
        <f t="shared" si="4"/>
        <v>-6.5546899770498679E-3</v>
      </c>
      <c r="L98" s="7">
        <v>10240.4</v>
      </c>
      <c r="M98" s="9">
        <f t="shared" si="5"/>
        <v>-1.5729512922187737E-2</v>
      </c>
      <c r="N98" s="7">
        <v>1129.8499999999999</v>
      </c>
      <c r="O98" s="5">
        <f t="shared" si="6"/>
        <v>-1.9761843677999085E-2</v>
      </c>
      <c r="P98" s="7">
        <v>6022.25</v>
      </c>
      <c r="Q98" s="5">
        <f t="shared" si="7"/>
        <v>-9.1160292938005684E-3</v>
      </c>
      <c r="R98" s="7">
        <v>1857.7</v>
      </c>
      <c r="S98" s="5">
        <f t="shared" si="8"/>
        <v>-5.4221042782589234E-3</v>
      </c>
      <c r="T98" s="7">
        <v>7210.4</v>
      </c>
      <c r="U98" s="5">
        <f t="shared" si="9"/>
        <v>-6.4765409396040519E-3</v>
      </c>
      <c r="V98" s="7">
        <v>3095.75</v>
      </c>
      <c r="W98" s="5">
        <f t="shared" si="10"/>
        <v>5.0356731708429171E-3</v>
      </c>
      <c r="X98" s="7">
        <v>2715.9</v>
      </c>
      <c r="Y98" s="5">
        <f t="shared" si="11"/>
        <v>1.358648555639797E-2</v>
      </c>
      <c r="Z98" s="7">
        <v>6756.45</v>
      </c>
      <c r="AA98" s="5">
        <f t="shared" si="12"/>
        <v>-2.902792074842039E-2</v>
      </c>
      <c r="AB98" s="10">
        <v>669.3</v>
      </c>
      <c r="AC98" s="5">
        <f t="shared" si="13"/>
        <v>4.7925806874626487E-3</v>
      </c>
      <c r="AD98" s="11">
        <v>15531.55</v>
      </c>
      <c r="AE98" s="5">
        <f t="shared" si="14"/>
        <v>-1.7304208482502092E-2</v>
      </c>
    </row>
    <row r="99" spans="1:31" ht="13.8">
      <c r="A99" s="13">
        <v>45586</v>
      </c>
      <c r="B99" s="7">
        <v>1852.75</v>
      </c>
      <c r="C99" s="4">
        <f t="shared" si="0"/>
        <v>-1.4387966397192302E-2</v>
      </c>
      <c r="D99" s="8">
        <v>590.79999999999995</v>
      </c>
      <c r="E99" s="4">
        <f t="shared" si="1"/>
        <v>-1.0858235548694226E-2</v>
      </c>
      <c r="F99" s="7">
        <v>2647</v>
      </c>
      <c r="G99" s="4">
        <f t="shared" si="2"/>
        <v>-7.5554380301114075E-5</v>
      </c>
      <c r="H99" s="7">
        <v>1117</v>
      </c>
      <c r="I99" s="5">
        <f t="shared" si="3"/>
        <v>-1.1438360463173697E-2</v>
      </c>
      <c r="J99" s="7">
        <v>1701.2</v>
      </c>
      <c r="K99" s="5">
        <f t="shared" si="4"/>
        <v>7.8487316845964102E-3</v>
      </c>
      <c r="L99" s="7">
        <v>10304.299999999999</v>
      </c>
      <c r="M99" s="9">
        <f t="shared" si="5"/>
        <v>6.2206024965571543E-3</v>
      </c>
      <c r="N99" s="7">
        <v>1117</v>
      </c>
      <c r="O99" s="5">
        <f t="shared" si="6"/>
        <v>-1.1438360463173697E-2</v>
      </c>
      <c r="P99" s="7">
        <v>5925</v>
      </c>
      <c r="Q99" s="5">
        <f t="shared" si="7"/>
        <v>-1.628025662367396E-2</v>
      </c>
      <c r="R99" s="7">
        <v>1843.6</v>
      </c>
      <c r="S99" s="5">
        <f t="shared" si="8"/>
        <v>-7.6189815510053095E-3</v>
      </c>
      <c r="T99" s="7">
        <v>6825.25</v>
      </c>
      <c r="U99" s="5">
        <f t="shared" si="9"/>
        <v>-5.4895457823272861E-2</v>
      </c>
      <c r="V99" s="7">
        <v>2985.5</v>
      </c>
      <c r="W99" s="5">
        <f t="shared" si="10"/>
        <v>-3.6262966108160863E-2</v>
      </c>
      <c r="X99" s="7">
        <v>2737.7</v>
      </c>
      <c r="Y99" s="5">
        <f t="shared" si="11"/>
        <v>7.9947616672773423E-3</v>
      </c>
      <c r="Z99" s="7">
        <v>6667.6</v>
      </c>
      <c r="AA99" s="5">
        <f t="shared" si="12"/>
        <v>-1.3237629100614857E-2</v>
      </c>
      <c r="AB99" s="10">
        <v>661.95</v>
      </c>
      <c r="AC99" s="5">
        <f t="shared" si="13"/>
        <v>-1.1042365722930433E-2</v>
      </c>
      <c r="AD99" s="11">
        <v>14931.45</v>
      </c>
      <c r="AE99" s="5">
        <f t="shared" si="14"/>
        <v>-3.9403712277623987E-2</v>
      </c>
    </row>
    <row r="100" spans="1:31" ht="13.8">
      <c r="A100" s="13">
        <v>45587</v>
      </c>
      <c r="B100" s="7">
        <v>1851.6</v>
      </c>
      <c r="C100" s="4">
        <f t="shared" si="0"/>
        <v>-6.2089167435279034E-4</v>
      </c>
      <c r="D100" s="8">
        <v>555.70000000000005</v>
      </c>
      <c r="E100" s="4">
        <f t="shared" si="1"/>
        <v>-6.1248970371349055E-2</v>
      </c>
      <c r="F100" s="7">
        <v>2565.9499999999998</v>
      </c>
      <c r="G100" s="4">
        <f t="shared" si="2"/>
        <v>-3.1098142822036344E-2</v>
      </c>
      <c r="H100" s="7">
        <v>1057.8499999999999</v>
      </c>
      <c r="I100" s="5">
        <f t="shared" si="3"/>
        <v>-5.4407973639874312E-2</v>
      </c>
      <c r="J100" s="7">
        <v>1696.55</v>
      </c>
      <c r="K100" s="5">
        <f t="shared" si="4"/>
        <v>-2.7371071462321019E-3</v>
      </c>
      <c r="L100" s="7">
        <v>10296.75</v>
      </c>
      <c r="M100" s="9">
        <f t="shared" si="5"/>
        <v>-7.3297238131239434E-4</v>
      </c>
      <c r="N100" s="7">
        <v>1057.8499999999999</v>
      </c>
      <c r="O100" s="5">
        <f t="shared" si="6"/>
        <v>-5.4407973639874312E-2</v>
      </c>
      <c r="P100" s="7">
        <v>5817.95</v>
      </c>
      <c r="Q100" s="5">
        <f t="shared" si="7"/>
        <v>-1.8232721003676948E-2</v>
      </c>
      <c r="R100" s="7">
        <v>1822.75</v>
      </c>
      <c r="S100" s="5">
        <f t="shared" si="8"/>
        <v>-1.1373832159813505E-2</v>
      </c>
      <c r="T100" s="7">
        <v>6800.25</v>
      </c>
      <c r="U100" s="5">
        <f t="shared" si="9"/>
        <v>-3.6695942246519645E-3</v>
      </c>
      <c r="V100" s="7">
        <v>2977.65</v>
      </c>
      <c r="W100" s="5">
        <f t="shared" si="10"/>
        <v>-2.6328381927592385E-3</v>
      </c>
      <c r="X100" s="7">
        <v>2662.5</v>
      </c>
      <c r="Y100" s="5">
        <f t="shared" si="11"/>
        <v>-2.7852620799101082E-2</v>
      </c>
      <c r="Z100" s="7">
        <v>6282.05</v>
      </c>
      <c r="AA100" s="5">
        <f t="shared" si="12"/>
        <v>-5.956361475336882E-2</v>
      </c>
      <c r="AB100" s="10">
        <v>657</v>
      </c>
      <c r="AC100" s="5">
        <f t="shared" si="13"/>
        <v>-7.5060058990554191E-3</v>
      </c>
      <c r="AD100" s="11">
        <v>13880.55</v>
      </c>
      <c r="AE100" s="5">
        <f t="shared" si="14"/>
        <v>-7.2981147074275762E-2</v>
      </c>
    </row>
    <row r="101" spans="1:31" ht="13.8">
      <c r="A101" s="13">
        <v>45588</v>
      </c>
      <c r="B101" s="7">
        <v>1873.4</v>
      </c>
      <c r="C101" s="4">
        <f t="shared" si="0"/>
        <v>1.1704831617914871E-2</v>
      </c>
      <c r="D101" s="8">
        <v>565.70000000000005</v>
      </c>
      <c r="E101" s="4">
        <f t="shared" si="1"/>
        <v>1.7835322063234352E-2</v>
      </c>
      <c r="F101" s="7">
        <v>2529.6</v>
      </c>
      <c r="G101" s="4">
        <f t="shared" si="2"/>
        <v>-1.4267592949857378E-2</v>
      </c>
      <c r="H101" s="7">
        <v>1072.95</v>
      </c>
      <c r="I101" s="5">
        <f t="shared" si="3"/>
        <v>1.4173317793176083E-2</v>
      </c>
      <c r="J101" s="7">
        <v>1735.95</v>
      </c>
      <c r="K101" s="5">
        <f t="shared" si="4"/>
        <v>2.2958036728950089E-2</v>
      </c>
      <c r="L101" s="7">
        <v>10216.85</v>
      </c>
      <c r="M101" s="9">
        <f t="shared" si="5"/>
        <v>-7.7899933755039875E-3</v>
      </c>
      <c r="N101" s="7">
        <v>1072.95</v>
      </c>
      <c r="O101" s="5">
        <f t="shared" si="6"/>
        <v>1.4173317793176083E-2</v>
      </c>
      <c r="P101" s="7">
        <v>5727.6</v>
      </c>
      <c r="Q101" s="5">
        <f t="shared" si="7"/>
        <v>-1.5651371199803754E-2</v>
      </c>
      <c r="R101" s="7">
        <v>1845.75</v>
      </c>
      <c r="S101" s="5">
        <f t="shared" si="8"/>
        <v>1.2539349252735173E-2</v>
      </c>
      <c r="T101" s="7">
        <v>7557.8</v>
      </c>
      <c r="U101" s="5">
        <f t="shared" si="9"/>
        <v>0.10562076633804224</v>
      </c>
      <c r="V101" s="7">
        <v>3119.85</v>
      </c>
      <c r="W101" s="5">
        <f t="shared" si="10"/>
        <v>4.6650524930430808E-2</v>
      </c>
      <c r="X101" s="7">
        <v>2562.9499999999998</v>
      </c>
      <c r="Y101" s="5">
        <f t="shared" si="11"/>
        <v>-3.8106592232507681E-2</v>
      </c>
      <c r="Z101" s="7">
        <v>6838.45</v>
      </c>
      <c r="AA101" s="5">
        <f t="shared" si="12"/>
        <v>8.486473743438272E-2</v>
      </c>
      <c r="AB101" s="10">
        <v>656.6</v>
      </c>
      <c r="AC101" s="5">
        <f t="shared" si="13"/>
        <v>-6.0901341711812774E-4</v>
      </c>
      <c r="AD101" s="11">
        <v>13744.1</v>
      </c>
      <c r="AE101" s="5">
        <f t="shared" si="14"/>
        <v>-9.8789385361828363E-3</v>
      </c>
    </row>
    <row r="102" spans="1:31" ht="13.8">
      <c r="A102" s="13">
        <v>45589</v>
      </c>
      <c r="B102" s="7">
        <v>1863.35</v>
      </c>
      <c r="C102" s="4">
        <f t="shared" si="0"/>
        <v>-5.3790187901691013E-3</v>
      </c>
      <c r="D102" s="8">
        <v>557</v>
      </c>
      <c r="E102" s="4">
        <f t="shared" si="1"/>
        <v>-1.5498662421826095E-2</v>
      </c>
      <c r="F102" s="7">
        <v>2504.25</v>
      </c>
      <c r="G102" s="4">
        <f t="shared" si="2"/>
        <v>-1.0071898963333966E-2</v>
      </c>
      <c r="H102" s="7">
        <v>1050.25</v>
      </c>
      <c r="I102" s="5">
        <f t="shared" si="3"/>
        <v>-2.1383633173011174E-2</v>
      </c>
      <c r="J102" s="7">
        <v>1735.75</v>
      </c>
      <c r="K102" s="5">
        <f t="shared" si="4"/>
        <v>-1.1521732881369897E-4</v>
      </c>
      <c r="L102" s="7">
        <v>10117.299999999999</v>
      </c>
      <c r="M102" s="9">
        <f t="shared" si="5"/>
        <v>-9.7914882448656686E-3</v>
      </c>
      <c r="N102" s="7">
        <v>1050.25</v>
      </c>
      <c r="O102" s="5">
        <f t="shared" si="6"/>
        <v>-2.1383633173011174E-2</v>
      </c>
      <c r="P102" s="7">
        <v>5736.65</v>
      </c>
      <c r="Q102" s="5">
        <f t="shared" si="7"/>
        <v>1.5788214457802157E-3</v>
      </c>
      <c r="R102" s="7">
        <v>1844.9</v>
      </c>
      <c r="S102" s="5">
        <f t="shared" si="8"/>
        <v>-4.6062347555525334E-4</v>
      </c>
      <c r="T102" s="7">
        <v>7699.05</v>
      </c>
      <c r="U102" s="5">
        <f t="shared" si="9"/>
        <v>1.8516802074559566E-2</v>
      </c>
      <c r="V102" s="7">
        <v>3098.75</v>
      </c>
      <c r="W102" s="5">
        <f t="shared" si="10"/>
        <v>-6.7861193753185238E-3</v>
      </c>
      <c r="X102" s="7">
        <v>2482.35</v>
      </c>
      <c r="Y102" s="5">
        <f t="shared" si="11"/>
        <v>-3.1953246652110953E-2</v>
      </c>
      <c r="Z102" s="7">
        <v>6482.6</v>
      </c>
      <c r="AA102" s="5">
        <f t="shared" si="12"/>
        <v>-5.3439433308789426E-2</v>
      </c>
      <c r="AB102" s="10">
        <v>634.25</v>
      </c>
      <c r="AC102" s="5">
        <f t="shared" si="13"/>
        <v>-3.4631806588101118E-2</v>
      </c>
      <c r="AD102" s="11">
        <v>13767.25</v>
      </c>
      <c r="AE102" s="5">
        <f t="shared" si="14"/>
        <v>1.6829421648859541E-3</v>
      </c>
    </row>
    <row r="103" spans="1:31" ht="13.8">
      <c r="A103" s="13">
        <v>45590</v>
      </c>
      <c r="B103" s="7">
        <v>1862.05</v>
      </c>
      <c r="C103" s="4">
        <f t="shared" si="0"/>
        <v>-6.9791166197828356E-4</v>
      </c>
      <c r="D103" s="8">
        <v>539.6</v>
      </c>
      <c r="E103" s="4">
        <f t="shared" si="1"/>
        <v>-3.1737115593683175E-2</v>
      </c>
      <c r="F103" s="7">
        <v>2455.9</v>
      </c>
      <c r="G103" s="4">
        <f t="shared" si="2"/>
        <v>-1.9495995666162114E-2</v>
      </c>
      <c r="H103" s="7">
        <v>1033.6500000000001</v>
      </c>
      <c r="I103" s="5">
        <f t="shared" si="3"/>
        <v>-1.5932003578164679E-2</v>
      </c>
      <c r="J103" s="7">
        <v>1716.45</v>
      </c>
      <c r="K103" s="5">
        <f t="shared" si="4"/>
        <v>-1.1181392201549317E-2</v>
      </c>
      <c r="L103" s="7">
        <v>10156.450000000001</v>
      </c>
      <c r="M103" s="9">
        <f t="shared" si="5"/>
        <v>3.8621418004950317E-3</v>
      </c>
      <c r="N103" s="7">
        <v>1033.6500000000001</v>
      </c>
      <c r="O103" s="5">
        <f t="shared" si="6"/>
        <v>-1.5932003578164679E-2</v>
      </c>
      <c r="P103" s="7">
        <v>5780.75</v>
      </c>
      <c r="Q103" s="5">
        <f t="shared" si="7"/>
        <v>7.658015788445445E-3</v>
      </c>
      <c r="R103" s="7">
        <v>1852.35</v>
      </c>
      <c r="S103" s="5">
        <f t="shared" si="8"/>
        <v>4.0300277682213306E-3</v>
      </c>
      <c r="T103" s="7">
        <v>7739.85</v>
      </c>
      <c r="U103" s="5">
        <f t="shared" si="9"/>
        <v>5.2853629441431127E-3</v>
      </c>
      <c r="V103" s="7">
        <v>3041.05</v>
      </c>
      <c r="W103" s="5">
        <f t="shared" si="10"/>
        <v>-1.879595384732146E-2</v>
      </c>
      <c r="X103" s="7">
        <v>2449.8000000000002</v>
      </c>
      <c r="Y103" s="5">
        <f t="shared" si="11"/>
        <v>-1.319930357947671E-2</v>
      </c>
      <c r="Z103" s="7">
        <v>6300.85</v>
      </c>
      <c r="AA103" s="5">
        <f t="shared" si="12"/>
        <v>-2.8437119527582971E-2</v>
      </c>
      <c r="AB103" s="10">
        <v>640.1</v>
      </c>
      <c r="AC103" s="5">
        <f t="shared" si="13"/>
        <v>9.1812156685664569E-3</v>
      </c>
      <c r="AD103" s="11">
        <v>13309.45</v>
      </c>
      <c r="AE103" s="5">
        <f t="shared" si="14"/>
        <v>-3.3818274043347779E-2</v>
      </c>
    </row>
    <row r="104" spans="1:31" ht="13.8">
      <c r="A104" s="13">
        <v>45593</v>
      </c>
      <c r="B104" s="7">
        <v>1865.35</v>
      </c>
      <c r="C104" s="4">
        <f t="shared" si="0"/>
        <v>1.7706717080009458E-3</v>
      </c>
      <c r="D104" s="8">
        <v>552.85</v>
      </c>
      <c r="E104" s="4">
        <f t="shared" si="1"/>
        <v>2.4258592654809986E-2</v>
      </c>
      <c r="F104" s="7">
        <v>2426.8000000000002</v>
      </c>
      <c r="G104" s="4">
        <f t="shared" si="2"/>
        <v>-1.1919775757568614E-2</v>
      </c>
      <c r="H104" s="7">
        <v>1047.9000000000001</v>
      </c>
      <c r="I104" s="5">
        <f t="shared" si="3"/>
        <v>1.3691934009569379E-2</v>
      </c>
      <c r="J104" s="7">
        <v>1702.55</v>
      </c>
      <c r="K104" s="5">
        <f t="shared" si="4"/>
        <v>-8.1310772637901534E-3</v>
      </c>
      <c r="L104" s="7">
        <v>10223.85</v>
      </c>
      <c r="M104" s="9">
        <f t="shared" si="5"/>
        <v>6.6142545222387557E-3</v>
      </c>
      <c r="N104" s="7">
        <v>1047.9000000000001</v>
      </c>
      <c r="O104" s="5">
        <f t="shared" si="6"/>
        <v>1.3691934009569379E-2</v>
      </c>
      <c r="P104" s="7">
        <v>5814.4</v>
      </c>
      <c r="Q104" s="5">
        <f t="shared" si="7"/>
        <v>5.8041671677749864E-3</v>
      </c>
      <c r="R104" s="7">
        <v>1871.75</v>
      </c>
      <c r="S104" s="5">
        <f t="shared" si="8"/>
        <v>1.0418718878853527E-2</v>
      </c>
      <c r="T104" s="7">
        <v>7705.35</v>
      </c>
      <c r="U104" s="5">
        <f t="shared" si="9"/>
        <v>-4.4674147798204307E-3</v>
      </c>
      <c r="V104" s="7">
        <v>3012.85</v>
      </c>
      <c r="W104" s="5">
        <f t="shared" si="10"/>
        <v>-9.3163758792266897E-3</v>
      </c>
      <c r="X104" s="7">
        <v>2462.35</v>
      </c>
      <c r="Y104" s="5">
        <f t="shared" si="11"/>
        <v>5.1097899317598498E-3</v>
      </c>
      <c r="Z104" s="7">
        <v>6266.5</v>
      </c>
      <c r="AA104" s="5">
        <f t="shared" si="12"/>
        <v>-5.4665598619975386E-3</v>
      </c>
      <c r="AB104" s="10">
        <v>634</v>
      </c>
      <c r="AC104" s="5">
        <f t="shared" si="13"/>
        <v>-9.5754597107318047E-3</v>
      </c>
      <c r="AD104" s="11">
        <v>13609.7</v>
      </c>
      <c r="AE104" s="5">
        <f t="shared" si="14"/>
        <v>2.2308464565528603E-2</v>
      </c>
    </row>
    <row r="105" spans="1:31" ht="13.8">
      <c r="A105" s="13">
        <v>45594</v>
      </c>
      <c r="B105" s="7">
        <v>1839.3</v>
      </c>
      <c r="C105" s="4">
        <f t="shared" si="0"/>
        <v>-1.4063638594131938E-2</v>
      </c>
      <c r="D105" s="8">
        <v>556.65</v>
      </c>
      <c r="E105" s="4">
        <f t="shared" si="1"/>
        <v>6.8499591863054815E-3</v>
      </c>
      <c r="F105" s="7">
        <v>2528.6999999999998</v>
      </c>
      <c r="G105" s="4">
        <f t="shared" si="2"/>
        <v>4.1131819603403168E-2</v>
      </c>
      <c r="H105" s="7">
        <v>1046.75</v>
      </c>
      <c r="I105" s="5">
        <f t="shared" si="3"/>
        <v>-1.0980355816433461E-3</v>
      </c>
      <c r="J105" s="7">
        <v>1698.5</v>
      </c>
      <c r="K105" s="5">
        <f t="shared" si="4"/>
        <v>-2.3816185674047242E-3</v>
      </c>
      <c r="L105" s="7">
        <v>10355.25</v>
      </c>
      <c r="M105" s="9">
        <f t="shared" si="5"/>
        <v>1.2770411316183096E-2</v>
      </c>
      <c r="N105" s="7">
        <v>1046.75</v>
      </c>
      <c r="O105" s="5">
        <f t="shared" si="6"/>
        <v>-1.0980355816433461E-3</v>
      </c>
      <c r="P105" s="7">
        <v>5803.35</v>
      </c>
      <c r="Q105" s="5">
        <f t="shared" si="7"/>
        <v>-1.9022621991569323E-3</v>
      </c>
      <c r="R105" s="7">
        <v>1871.75</v>
      </c>
      <c r="S105" s="5">
        <f t="shared" si="8"/>
        <v>0</v>
      </c>
      <c r="T105" s="7">
        <v>7753.75</v>
      </c>
      <c r="U105" s="5">
        <f t="shared" si="9"/>
        <v>6.2617045161276284E-3</v>
      </c>
      <c r="V105" s="7">
        <v>3022.5</v>
      </c>
      <c r="W105" s="5">
        <f t="shared" si="10"/>
        <v>3.1978288660956208E-3</v>
      </c>
      <c r="X105" s="7">
        <v>2447.1999999999998</v>
      </c>
      <c r="Y105" s="5">
        <f t="shared" si="11"/>
        <v>-6.1716646486514645E-3</v>
      </c>
      <c r="Z105" s="7">
        <v>6361</v>
      </c>
      <c r="AA105" s="5">
        <f t="shared" si="12"/>
        <v>1.4967612627227277E-2</v>
      </c>
      <c r="AB105" s="10">
        <v>629.15</v>
      </c>
      <c r="AC105" s="5">
        <f t="shared" si="13"/>
        <v>-7.6792523992490315E-3</v>
      </c>
      <c r="AD105" s="11">
        <v>14253.55</v>
      </c>
      <c r="AE105" s="5">
        <f t="shared" si="14"/>
        <v>4.6223224691034334E-2</v>
      </c>
    </row>
    <row r="106" spans="1:31" ht="13.8">
      <c r="A106" s="13">
        <v>45595</v>
      </c>
      <c r="B106" s="7">
        <v>1802.1</v>
      </c>
      <c r="C106" s="4">
        <f t="shared" si="0"/>
        <v>-2.0432412912526562E-2</v>
      </c>
      <c r="D106" s="8">
        <v>554.79999999999995</v>
      </c>
      <c r="E106" s="4">
        <f t="shared" si="1"/>
        <v>-3.3289877340397594E-3</v>
      </c>
      <c r="F106" s="7">
        <v>2627.8</v>
      </c>
      <c r="G106" s="4">
        <f t="shared" si="2"/>
        <v>3.8441657536175691E-2</v>
      </c>
      <c r="H106" s="7">
        <v>1063.8499999999999</v>
      </c>
      <c r="I106" s="5">
        <f t="shared" si="3"/>
        <v>1.6204277620474085E-2</v>
      </c>
      <c r="J106" s="7">
        <v>1684.95</v>
      </c>
      <c r="K106" s="5">
        <f t="shared" si="4"/>
        <v>-8.0096188449506316E-3</v>
      </c>
      <c r="L106" s="7">
        <v>10223.299999999999</v>
      </c>
      <c r="M106" s="9">
        <f t="shared" si="5"/>
        <v>-1.2824208544660912E-2</v>
      </c>
      <c r="N106" s="7">
        <v>1063.8499999999999</v>
      </c>
      <c r="O106" s="5">
        <f t="shared" si="6"/>
        <v>1.6204277620474085E-2</v>
      </c>
      <c r="P106" s="7">
        <v>5886.6</v>
      </c>
      <c r="Q106" s="5">
        <f t="shared" si="7"/>
        <v>1.4243244394705224E-2</v>
      </c>
      <c r="R106" s="7">
        <v>1838.8</v>
      </c>
      <c r="S106" s="5">
        <f t="shared" si="8"/>
        <v>-1.7760637178721669E-2</v>
      </c>
      <c r="T106" s="7">
        <v>7742.4</v>
      </c>
      <c r="U106" s="5">
        <f t="shared" si="9"/>
        <v>-1.4648802482732102E-3</v>
      </c>
      <c r="V106" s="7">
        <v>3007</v>
      </c>
      <c r="W106" s="5">
        <f t="shared" si="10"/>
        <v>-5.1413995004186523E-3</v>
      </c>
      <c r="X106" s="7">
        <v>2458.9</v>
      </c>
      <c r="Y106" s="5">
        <f t="shared" si="11"/>
        <v>4.7695816147971153E-3</v>
      </c>
      <c r="Z106" s="7">
        <v>6352.8</v>
      </c>
      <c r="AA106" s="5">
        <f t="shared" si="12"/>
        <v>-1.2899370978030065E-3</v>
      </c>
      <c r="AB106" s="10">
        <v>651.15</v>
      </c>
      <c r="AC106" s="5">
        <f t="shared" si="13"/>
        <v>3.4370328375735282E-2</v>
      </c>
      <c r="AD106" s="11">
        <v>13695.85</v>
      </c>
      <c r="AE106" s="5">
        <f t="shared" si="14"/>
        <v>-3.9913131259135405E-2</v>
      </c>
    </row>
    <row r="107" spans="1:31" ht="13.8">
      <c r="A107" s="13">
        <v>45596</v>
      </c>
      <c r="B107" s="7">
        <v>1757.25</v>
      </c>
      <c r="C107" s="4">
        <f t="shared" si="0"/>
        <v>-2.5202564468210654E-2</v>
      </c>
      <c r="D107" s="8">
        <v>569.6</v>
      </c>
      <c r="E107" s="4">
        <f t="shared" si="1"/>
        <v>2.6326671657089646E-2</v>
      </c>
      <c r="F107" s="7">
        <v>2667.35</v>
      </c>
      <c r="G107" s="4">
        <f t="shared" si="2"/>
        <v>1.4938475959717822E-2</v>
      </c>
      <c r="H107" s="7">
        <v>1085.3</v>
      </c>
      <c r="I107" s="5">
        <f t="shared" si="3"/>
        <v>1.9962042932242404E-2</v>
      </c>
      <c r="J107" s="7">
        <v>1608.65</v>
      </c>
      <c r="K107" s="5">
        <f t="shared" si="4"/>
        <v>-4.6340571839528256E-2</v>
      </c>
      <c r="L107" s="7">
        <v>10249.5</v>
      </c>
      <c r="M107" s="9">
        <f t="shared" si="5"/>
        <v>2.5594949692320092E-3</v>
      </c>
      <c r="N107" s="7">
        <v>1085.3</v>
      </c>
      <c r="O107" s="5">
        <f t="shared" si="6"/>
        <v>1.9962042932242404E-2</v>
      </c>
      <c r="P107" s="7">
        <v>5889.65</v>
      </c>
      <c r="Q107" s="5">
        <f t="shared" si="7"/>
        <v>5.179917322061259E-4</v>
      </c>
      <c r="R107" s="7">
        <v>1766.05</v>
      </c>
      <c r="S107" s="5">
        <f t="shared" si="8"/>
        <v>-4.0367770598179468E-2</v>
      </c>
      <c r="T107" s="7">
        <v>7624.1</v>
      </c>
      <c r="U107" s="5">
        <f t="shared" si="9"/>
        <v>-1.539743431674445E-2</v>
      </c>
      <c r="V107" s="7">
        <v>2879.55</v>
      </c>
      <c r="W107" s="5">
        <f t="shared" si="10"/>
        <v>-4.3308872066840372E-2</v>
      </c>
      <c r="X107" s="7">
        <v>2493.6999999999998</v>
      </c>
      <c r="Y107" s="5">
        <f t="shared" si="11"/>
        <v>1.405345586036303E-2</v>
      </c>
      <c r="Z107" s="7">
        <v>6625.15</v>
      </c>
      <c r="AA107" s="5">
        <f t="shared" si="12"/>
        <v>4.1977352526540439E-2</v>
      </c>
      <c r="AB107" s="10">
        <v>640</v>
      </c>
      <c r="AC107" s="5">
        <f t="shared" si="13"/>
        <v>-1.7271854059994724E-2</v>
      </c>
      <c r="AD107" s="11">
        <v>13819</v>
      </c>
      <c r="AE107" s="5">
        <f t="shared" si="14"/>
        <v>8.9515895847397508E-3</v>
      </c>
    </row>
    <row r="108" spans="1:31" ht="13.8">
      <c r="A108" s="12">
        <v>45597</v>
      </c>
      <c r="B108" s="7">
        <v>1760.85</v>
      </c>
      <c r="C108" s="4">
        <f t="shared" si="0"/>
        <v>2.0465599366260817E-3</v>
      </c>
      <c r="D108" s="8">
        <v>570.20000000000005</v>
      </c>
      <c r="E108" s="4">
        <f t="shared" si="1"/>
        <v>1.0528163808055475E-3</v>
      </c>
      <c r="F108" s="7">
        <v>2680.7</v>
      </c>
      <c r="G108" s="4">
        <f t="shared" si="2"/>
        <v>4.9924842620913314E-3</v>
      </c>
      <c r="H108" s="7">
        <v>1115.8499999999999</v>
      </c>
      <c r="I108" s="5">
        <f t="shared" si="3"/>
        <v>2.7759999853490674E-2</v>
      </c>
      <c r="J108" s="7">
        <v>1603.65</v>
      </c>
      <c r="K108" s="5">
        <f t="shared" si="4"/>
        <v>-3.1130367885410749E-3</v>
      </c>
      <c r="L108" s="7">
        <v>10332.549999999999</v>
      </c>
      <c r="M108" s="9">
        <f t="shared" si="5"/>
        <v>8.0701825851637495E-3</v>
      </c>
      <c r="N108" s="7">
        <v>1115.8499999999999</v>
      </c>
      <c r="O108" s="5">
        <f t="shared" si="6"/>
        <v>2.7759999853490674E-2</v>
      </c>
      <c r="P108" s="7">
        <v>5903.55</v>
      </c>
      <c r="Q108" s="5">
        <f t="shared" si="7"/>
        <v>2.3572917336523742E-3</v>
      </c>
      <c r="R108" s="7">
        <v>1757.4</v>
      </c>
      <c r="S108" s="5">
        <f t="shared" si="8"/>
        <v>-4.9099702721505907E-3</v>
      </c>
      <c r="T108" s="7">
        <v>7552.7</v>
      </c>
      <c r="U108" s="5">
        <f t="shared" si="9"/>
        <v>-9.409167514522386E-3</v>
      </c>
      <c r="V108" s="7">
        <v>2894.15</v>
      </c>
      <c r="W108" s="5">
        <f t="shared" si="10"/>
        <v>5.0574263018003194E-3</v>
      </c>
      <c r="X108" s="7">
        <v>2509.6999999999998</v>
      </c>
      <c r="Y108" s="5">
        <f t="shared" si="11"/>
        <v>6.3956727583121412E-3</v>
      </c>
      <c r="Z108" s="7">
        <v>6700.05</v>
      </c>
      <c r="AA108" s="5">
        <f t="shared" si="12"/>
        <v>1.1241975930237061E-2</v>
      </c>
      <c r="AB108" s="10">
        <v>645.95000000000005</v>
      </c>
      <c r="AC108" s="5">
        <f t="shared" si="13"/>
        <v>9.2539250525926972E-3</v>
      </c>
      <c r="AD108" s="11">
        <v>13923.75</v>
      </c>
      <c r="AE108" s="5">
        <f t="shared" si="14"/>
        <v>7.5515583559148045E-3</v>
      </c>
    </row>
    <row r="109" spans="1:31" ht="13.8">
      <c r="A109" s="12">
        <v>45600</v>
      </c>
      <c r="B109" s="7">
        <v>1763.65</v>
      </c>
      <c r="C109" s="4">
        <f t="shared" si="0"/>
        <v>1.5888781892796826E-3</v>
      </c>
      <c r="D109" s="8">
        <v>549.95000000000005</v>
      </c>
      <c r="E109" s="4">
        <f t="shared" si="1"/>
        <v>-3.6159811475445995E-2</v>
      </c>
      <c r="F109" s="7">
        <v>2731.2</v>
      </c>
      <c r="G109" s="4">
        <f t="shared" si="2"/>
        <v>1.8663118610645117E-2</v>
      </c>
      <c r="H109" s="7">
        <v>1053.5999999999999</v>
      </c>
      <c r="I109" s="5">
        <f t="shared" si="3"/>
        <v>-5.7403574876388738E-2</v>
      </c>
      <c r="J109" s="7">
        <v>1638.4</v>
      </c>
      <c r="K109" s="5">
        <f t="shared" si="4"/>
        <v>2.1437874717570131E-2</v>
      </c>
      <c r="L109" s="7">
        <v>10658.25</v>
      </c>
      <c r="M109" s="9">
        <f t="shared" si="5"/>
        <v>3.1035133665974199E-2</v>
      </c>
      <c r="N109" s="7">
        <v>1053.5999999999999</v>
      </c>
      <c r="O109" s="5">
        <f t="shared" si="6"/>
        <v>-5.7403574876388738E-2</v>
      </c>
      <c r="P109" s="7">
        <v>5901.75</v>
      </c>
      <c r="Q109" s="5">
        <f t="shared" si="7"/>
        <v>-3.049477800562246E-4</v>
      </c>
      <c r="R109" s="7">
        <v>1762.95</v>
      </c>
      <c r="S109" s="5">
        <f t="shared" si="8"/>
        <v>3.1530981852300995E-3</v>
      </c>
      <c r="T109" s="7">
        <v>7543.25</v>
      </c>
      <c r="U109" s="5">
        <f t="shared" si="9"/>
        <v>-1.2519915917040944E-3</v>
      </c>
      <c r="V109" s="7">
        <v>2870.15</v>
      </c>
      <c r="W109" s="5">
        <f t="shared" si="10"/>
        <v>-8.3271650272173942E-3</v>
      </c>
      <c r="X109" s="7">
        <v>2412.15</v>
      </c>
      <c r="Y109" s="5">
        <f t="shared" si="11"/>
        <v>-3.9644758102022545E-2</v>
      </c>
      <c r="Z109" s="7">
        <v>6839.25</v>
      </c>
      <c r="AA109" s="5">
        <f t="shared" si="12"/>
        <v>2.0563087444105614E-2</v>
      </c>
      <c r="AB109" s="10">
        <v>634.95000000000005</v>
      </c>
      <c r="AC109" s="5">
        <f t="shared" si="13"/>
        <v>-1.7175845771267812E-2</v>
      </c>
      <c r="AD109" s="11">
        <v>13969.4</v>
      </c>
      <c r="AE109" s="5">
        <f t="shared" si="14"/>
        <v>3.2732079924581501E-3</v>
      </c>
    </row>
    <row r="110" spans="1:31" ht="13.8">
      <c r="A110" s="12">
        <v>45601</v>
      </c>
      <c r="B110" s="7">
        <v>1754.2</v>
      </c>
      <c r="C110" s="4">
        <f t="shared" si="0"/>
        <v>-5.3726126646391932E-3</v>
      </c>
      <c r="D110" s="8">
        <v>550.4</v>
      </c>
      <c r="E110" s="4">
        <f t="shared" si="1"/>
        <v>8.1792161600803429E-4</v>
      </c>
      <c r="F110" s="7">
        <v>2714.25</v>
      </c>
      <c r="G110" s="4">
        <f t="shared" si="2"/>
        <v>-6.2254009282145884E-3</v>
      </c>
      <c r="H110" s="7">
        <v>1032.25</v>
      </c>
      <c r="I110" s="5">
        <f t="shared" si="3"/>
        <v>-2.0471985662871624E-2</v>
      </c>
      <c r="J110" s="7">
        <v>1632.65</v>
      </c>
      <c r="K110" s="5">
        <f t="shared" si="4"/>
        <v>-3.5156943015544084E-3</v>
      </c>
      <c r="L110" s="7">
        <v>10600.35</v>
      </c>
      <c r="M110" s="9">
        <f t="shared" si="5"/>
        <v>-5.4472207171083311E-3</v>
      </c>
      <c r="N110" s="7">
        <v>1032.25</v>
      </c>
      <c r="O110" s="5">
        <f t="shared" si="6"/>
        <v>-2.0471985662871624E-2</v>
      </c>
      <c r="P110" s="7">
        <v>5811.25</v>
      </c>
      <c r="Q110" s="5">
        <f t="shared" si="7"/>
        <v>-1.5453223078407961E-2</v>
      </c>
      <c r="R110" s="7">
        <v>1773.55</v>
      </c>
      <c r="S110" s="5">
        <f t="shared" si="8"/>
        <v>5.9946454083119804E-3</v>
      </c>
      <c r="T110" s="7">
        <v>7546.5</v>
      </c>
      <c r="U110" s="5">
        <f t="shared" si="9"/>
        <v>4.3075598339976164E-4</v>
      </c>
      <c r="V110" s="7">
        <v>2857.7</v>
      </c>
      <c r="W110" s="5">
        <f t="shared" si="10"/>
        <v>-4.3471877254857129E-3</v>
      </c>
      <c r="X110" s="7">
        <v>2458.4</v>
      </c>
      <c r="Y110" s="5">
        <f t="shared" si="11"/>
        <v>1.8992265848131518E-2</v>
      </c>
      <c r="Z110" s="7">
        <v>6843.85</v>
      </c>
      <c r="AA110" s="5">
        <f t="shared" si="12"/>
        <v>6.7236228242043851E-4</v>
      </c>
      <c r="AB110" s="10">
        <v>634</v>
      </c>
      <c r="AC110" s="5">
        <f t="shared" si="13"/>
        <v>-1.4973011978165927E-3</v>
      </c>
      <c r="AD110" s="11">
        <v>13986.3</v>
      </c>
      <c r="AE110" s="5">
        <f t="shared" si="14"/>
        <v>1.2090559033560624E-3</v>
      </c>
    </row>
    <row r="111" spans="1:31" ht="13.8">
      <c r="A111" s="12">
        <v>45602</v>
      </c>
      <c r="B111" s="7">
        <v>1823.7</v>
      </c>
      <c r="C111" s="4">
        <f t="shared" si="0"/>
        <v>3.8854491905505301E-2</v>
      </c>
      <c r="D111" s="8">
        <v>576.45000000000005</v>
      </c>
      <c r="E111" s="4">
        <f t="shared" si="1"/>
        <v>4.6243319059828841E-2</v>
      </c>
      <c r="F111" s="7">
        <v>2748.85</v>
      </c>
      <c r="G111" s="4">
        <f t="shared" si="2"/>
        <v>1.2666970268072815E-2</v>
      </c>
      <c r="H111" s="7">
        <v>1080.6500000000001</v>
      </c>
      <c r="I111" s="5">
        <f t="shared" si="3"/>
        <v>4.5821826163727791E-2</v>
      </c>
      <c r="J111" s="7">
        <v>1693.55</v>
      </c>
      <c r="K111" s="5">
        <f t="shared" si="4"/>
        <v>3.6622455931433373E-2</v>
      </c>
      <c r="L111" s="7">
        <v>10590.2</v>
      </c>
      <c r="M111" s="9">
        <f t="shared" si="5"/>
        <v>-9.5797426458807356E-4</v>
      </c>
      <c r="N111" s="7">
        <v>1080.6500000000001</v>
      </c>
      <c r="O111" s="5">
        <f t="shared" si="6"/>
        <v>4.5821826163727791E-2</v>
      </c>
      <c r="P111" s="7">
        <v>5954.15</v>
      </c>
      <c r="Q111" s="5">
        <f t="shared" si="7"/>
        <v>2.4292761401049055E-2</v>
      </c>
      <c r="R111" s="7">
        <v>1838.4</v>
      </c>
      <c r="S111" s="5">
        <f t="shared" si="8"/>
        <v>3.5912440439206585E-2</v>
      </c>
      <c r="T111" s="7">
        <v>7829.5</v>
      </c>
      <c r="U111" s="5">
        <f t="shared" si="9"/>
        <v>3.6814771386014598E-2</v>
      </c>
      <c r="V111" s="7">
        <v>2896.4</v>
      </c>
      <c r="W111" s="5">
        <f t="shared" si="10"/>
        <v>1.3451481043879875E-2</v>
      </c>
      <c r="X111" s="7">
        <v>2485.9</v>
      </c>
      <c r="Y111" s="5">
        <f t="shared" si="11"/>
        <v>1.1124035183859748E-2</v>
      </c>
      <c r="Z111" s="7">
        <v>7106.85</v>
      </c>
      <c r="AA111" s="5">
        <f t="shared" si="12"/>
        <v>3.7708668887977984E-2</v>
      </c>
      <c r="AB111" s="10">
        <v>648.70000000000005</v>
      </c>
      <c r="AC111" s="5">
        <f t="shared" si="13"/>
        <v>2.2921405781783782E-2</v>
      </c>
      <c r="AD111" s="11">
        <v>14817.25</v>
      </c>
      <c r="AE111" s="5">
        <f t="shared" si="14"/>
        <v>5.7713763522486305E-2</v>
      </c>
    </row>
    <row r="112" spans="1:31" ht="13.8">
      <c r="A112" s="12">
        <v>45603</v>
      </c>
      <c r="B112" s="7">
        <v>1803.05</v>
      </c>
      <c r="C112" s="4">
        <f t="shared" si="0"/>
        <v>-1.1387729045468271E-2</v>
      </c>
      <c r="D112" s="8">
        <v>572.1</v>
      </c>
      <c r="E112" s="4">
        <f t="shared" si="1"/>
        <v>-7.5748044044796443E-3</v>
      </c>
      <c r="F112" s="7">
        <v>2727</v>
      </c>
      <c r="G112" s="4">
        <f t="shared" si="2"/>
        <v>-7.9805385344457174E-3</v>
      </c>
      <c r="H112" s="7">
        <v>1077.0999999999999</v>
      </c>
      <c r="I112" s="5">
        <f t="shared" si="3"/>
        <v>-3.2904675732029795E-3</v>
      </c>
      <c r="J112" s="7">
        <v>1651</v>
      </c>
      <c r="K112" s="5">
        <f t="shared" si="4"/>
        <v>-2.5445752554939693E-2</v>
      </c>
      <c r="L112" s="7">
        <v>10498.85</v>
      </c>
      <c r="M112" s="9">
        <f t="shared" si="5"/>
        <v>-8.6633178204636192E-3</v>
      </c>
      <c r="N112" s="7">
        <v>1077.0999999999999</v>
      </c>
      <c r="O112" s="5">
        <f t="shared" si="6"/>
        <v>-3.2904675732029795E-3</v>
      </c>
      <c r="P112" s="7">
        <v>5959.95</v>
      </c>
      <c r="Q112" s="5">
        <f t="shared" si="7"/>
        <v>9.7363635661679897E-4</v>
      </c>
      <c r="R112" s="7">
        <v>1831.95</v>
      </c>
      <c r="S112" s="5">
        <f t="shared" si="8"/>
        <v>-3.5146548092840828E-3</v>
      </c>
      <c r="T112" s="7">
        <v>7853.35</v>
      </c>
      <c r="U112" s="5">
        <f t="shared" si="9"/>
        <v>3.0415413507503034E-3</v>
      </c>
      <c r="V112" s="7">
        <v>2839.15</v>
      </c>
      <c r="W112" s="5">
        <f t="shared" si="10"/>
        <v>-1.9963874931981034E-2</v>
      </c>
      <c r="X112" s="7">
        <v>2479.4499999999998</v>
      </c>
      <c r="Y112" s="5">
        <f t="shared" si="11"/>
        <v>-2.5980056301883442E-3</v>
      </c>
      <c r="Z112" s="7">
        <v>6946.25</v>
      </c>
      <c r="AA112" s="5">
        <f t="shared" si="12"/>
        <v>-2.2857162058152049E-2</v>
      </c>
      <c r="AB112" s="10">
        <v>631.65</v>
      </c>
      <c r="AC112" s="5">
        <f t="shared" si="13"/>
        <v>-2.6634916942963348E-2</v>
      </c>
      <c r="AD112" s="11">
        <v>14353.85</v>
      </c>
      <c r="AE112" s="5">
        <f t="shared" si="14"/>
        <v>-3.1773843691051712E-2</v>
      </c>
    </row>
    <row r="113" spans="1:31" ht="13.8">
      <c r="A113" s="12">
        <v>45604</v>
      </c>
      <c r="B113" s="7">
        <v>1829.95</v>
      </c>
      <c r="C113" s="4">
        <f t="shared" si="0"/>
        <v>1.4808968680513086E-2</v>
      </c>
      <c r="D113" s="8">
        <v>584.5</v>
      </c>
      <c r="E113" s="4">
        <f t="shared" si="1"/>
        <v>2.1442979637639907E-2</v>
      </c>
      <c r="F113" s="7">
        <v>2659.5</v>
      </c>
      <c r="G113" s="4">
        <f t="shared" si="2"/>
        <v>-2.5063968663216276E-2</v>
      </c>
      <c r="H113" s="7">
        <v>1050.3</v>
      </c>
      <c r="I113" s="5">
        <f t="shared" si="3"/>
        <v>-2.5196406727994787E-2</v>
      </c>
      <c r="J113" s="7">
        <v>1681.35</v>
      </c>
      <c r="K113" s="5">
        <f t="shared" si="4"/>
        <v>1.8215877215085993E-2</v>
      </c>
      <c r="L113" s="7">
        <v>10488.3</v>
      </c>
      <c r="M113" s="9">
        <f t="shared" si="5"/>
        <v>-1.005377184481722E-3</v>
      </c>
      <c r="N113" s="7">
        <v>1050.3</v>
      </c>
      <c r="O113" s="5">
        <f t="shared" si="6"/>
        <v>-2.5196406727994787E-2</v>
      </c>
      <c r="P113" s="7">
        <v>5949.85</v>
      </c>
      <c r="Q113" s="5">
        <f t="shared" si="7"/>
        <v>-1.6960826245980543E-3</v>
      </c>
      <c r="R113" s="7">
        <v>1837.5</v>
      </c>
      <c r="S113" s="5">
        <f t="shared" si="8"/>
        <v>3.0249788017845027E-3</v>
      </c>
      <c r="T113" s="7">
        <v>7953.8</v>
      </c>
      <c r="U113" s="5">
        <f t="shared" si="9"/>
        <v>1.270960953391502E-2</v>
      </c>
      <c r="V113" s="7">
        <v>2858.35</v>
      </c>
      <c r="W113" s="5">
        <f t="shared" si="10"/>
        <v>6.7398236701366656E-3</v>
      </c>
      <c r="X113" s="7">
        <v>2467.9</v>
      </c>
      <c r="Y113" s="5">
        <f t="shared" si="11"/>
        <v>-4.6691748041439354E-3</v>
      </c>
      <c r="Z113" s="7">
        <v>6695.75</v>
      </c>
      <c r="AA113" s="5">
        <f t="shared" si="12"/>
        <v>-3.6728948844634741E-2</v>
      </c>
      <c r="AB113" s="10">
        <v>629.85</v>
      </c>
      <c r="AC113" s="5">
        <f t="shared" si="13"/>
        <v>-2.8537474777344169E-3</v>
      </c>
      <c r="AD113" s="11">
        <v>14039.35</v>
      </c>
      <c r="AE113" s="5">
        <f t="shared" si="14"/>
        <v>-2.2154097674848921E-2</v>
      </c>
    </row>
    <row r="114" spans="1:31" ht="13.8">
      <c r="A114" s="13">
        <v>45607</v>
      </c>
      <c r="B114" s="7">
        <v>1860.1</v>
      </c>
      <c r="C114" s="4">
        <f t="shared" si="0"/>
        <v>1.6341605645073785E-2</v>
      </c>
      <c r="D114" s="8">
        <v>572.29999999999995</v>
      </c>
      <c r="E114" s="4">
        <f t="shared" si="1"/>
        <v>-2.109345149706664E-2</v>
      </c>
      <c r="F114" s="7">
        <v>2646.65</v>
      </c>
      <c r="G114" s="4">
        <f t="shared" si="2"/>
        <v>-4.8434458583472969E-3</v>
      </c>
      <c r="H114" s="7">
        <v>1041.95</v>
      </c>
      <c r="I114" s="5">
        <f t="shared" si="3"/>
        <v>-7.9818801116308766E-3</v>
      </c>
      <c r="J114" s="7">
        <v>1704.15</v>
      </c>
      <c r="K114" s="5">
        <f t="shared" si="4"/>
        <v>1.3469410548809268E-2</v>
      </c>
      <c r="L114" s="7">
        <v>10851.45</v>
      </c>
      <c r="M114" s="9">
        <f t="shared" si="5"/>
        <v>3.4038361439059125E-2</v>
      </c>
      <c r="N114" s="7">
        <v>1041.95</v>
      </c>
      <c r="O114" s="5">
        <f t="shared" si="6"/>
        <v>-7.9818801116308766E-3</v>
      </c>
      <c r="P114" s="7">
        <v>5899.95</v>
      </c>
      <c r="Q114" s="5">
        <f t="shared" si="7"/>
        <v>-8.4221328562321743E-3</v>
      </c>
      <c r="R114" s="7">
        <v>1867.3</v>
      </c>
      <c r="S114" s="5">
        <f t="shared" si="8"/>
        <v>1.6087585138042461E-2</v>
      </c>
      <c r="T114" s="7">
        <v>8066.9</v>
      </c>
      <c r="U114" s="5">
        <f t="shared" si="9"/>
        <v>1.4119467808002082E-2</v>
      </c>
      <c r="V114" s="7">
        <v>2861.5</v>
      </c>
      <c r="W114" s="5">
        <f t="shared" si="10"/>
        <v>1.1014275963354934E-3</v>
      </c>
      <c r="X114" s="7">
        <v>2460.5</v>
      </c>
      <c r="Y114" s="5">
        <f t="shared" si="11"/>
        <v>-3.0030052597696567E-3</v>
      </c>
      <c r="Z114" s="7">
        <v>6636.15</v>
      </c>
      <c r="AA114" s="5">
        <f t="shared" si="12"/>
        <v>-8.9410207163269917E-3</v>
      </c>
      <c r="AB114" s="10">
        <v>617.1</v>
      </c>
      <c r="AC114" s="5">
        <f t="shared" si="13"/>
        <v>-2.0450610471290768E-2</v>
      </c>
      <c r="AD114" s="11">
        <v>13491.8</v>
      </c>
      <c r="AE114" s="5">
        <f t="shared" si="14"/>
        <v>-3.9782007739298894E-2</v>
      </c>
    </row>
    <row r="115" spans="1:31" ht="13.8">
      <c r="A115" s="13">
        <v>45608</v>
      </c>
      <c r="B115" s="7">
        <v>1868.8</v>
      </c>
      <c r="C115" s="4">
        <f t="shared" si="0"/>
        <v>4.6662639310027778E-3</v>
      </c>
      <c r="D115" s="8">
        <v>562.15</v>
      </c>
      <c r="E115" s="4">
        <f t="shared" si="1"/>
        <v>-1.7894611219287985E-2</v>
      </c>
      <c r="F115" s="7">
        <v>2622.1</v>
      </c>
      <c r="G115" s="4">
        <f t="shared" si="2"/>
        <v>-9.3191659023221379E-3</v>
      </c>
      <c r="H115" s="7">
        <v>1028.3</v>
      </c>
      <c r="I115" s="5">
        <f t="shared" si="3"/>
        <v>-1.3187004281953914E-2</v>
      </c>
      <c r="J115" s="7">
        <v>1687</v>
      </c>
      <c r="K115" s="5">
        <f t="shared" si="4"/>
        <v>-1.0114649138054944E-2</v>
      </c>
      <c r="L115" s="7">
        <v>10794.15</v>
      </c>
      <c r="M115" s="9">
        <f t="shared" si="5"/>
        <v>-5.2943909012393908E-3</v>
      </c>
      <c r="N115" s="7">
        <v>1028.3</v>
      </c>
      <c r="O115" s="5">
        <f t="shared" si="6"/>
        <v>-1.3187004281953914E-2</v>
      </c>
      <c r="P115" s="7">
        <v>5810.7</v>
      </c>
      <c r="Q115" s="5">
        <f t="shared" si="7"/>
        <v>-1.5242830765326979E-2</v>
      </c>
      <c r="R115" s="7">
        <v>1872.85</v>
      </c>
      <c r="S115" s="5">
        <f t="shared" si="8"/>
        <v>2.9677975875926272E-3</v>
      </c>
      <c r="T115" s="7">
        <v>8099.25</v>
      </c>
      <c r="U115" s="5">
        <f t="shared" si="9"/>
        <v>4.0021951028137645E-3</v>
      </c>
      <c r="V115" s="7">
        <v>2853.45</v>
      </c>
      <c r="W115" s="5">
        <f t="shared" si="10"/>
        <v>-2.8171743668970271E-3</v>
      </c>
      <c r="X115" s="7">
        <v>2440.3000000000002</v>
      </c>
      <c r="Y115" s="5">
        <f t="shared" si="11"/>
        <v>-8.2435987569456394E-3</v>
      </c>
      <c r="Z115" s="7">
        <v>6583.7</v>
      </c>
      <c r="AA115" s="5">
        <f t="shared" si="12"/>
        <v>-7.9350787204551815E-3</v>
      </c>
      <c r="AB115" s="10">
        <v>595.54999999999995</v>
      </c>
      <c r="AC115" s="5">
        <f t="shared" si="13"/>
        <v>-3.5545737000111308E-2</v>
      </c>
      <c r="AD115" s="11">
        <v>12952.8</v>
      </c>
      <c r="AE115" s="5">
        <f t="shared" si="14"/>
        <v>-4.0770112499957663E-2</v>
      </c>
    </row>
    <row r="116" spans="1:31" ht="13.8">
      <c r="A116" s="13">
        <v>45609</v>
      </c>
      <c r="B116" s="7">
        <v>1868.4</v>
      </c>
      <c r="C116" s="4">
        <f t="shared" si="0"/>
        <v>-2.1406400595484735E-4</v>
      </c>
      <c r="D116" s="8">
        <v>532.4</v>
      </c>
      <c r="E116" s="4">
        <f t="shared" si="1"/>
        <v>-5.4373631674812087E-2</v>
      </c>
      <c r="F116" s="7">
        <v>2532.15</v>
      </c>
      <c r="G116" s="4">
        <f t="shared" si="2"/>
        <v>-3.4906779206195365E-2</v>
      </c>
      <c r="H116" s="7">
        <v>979.2</v>
      </c>
      <c r="I116" s="5">
        <f t="shared" si="3"/>
        <v>-4.8926320477083167E-2</v>
      </c>
      <c r="J116" s="7">
        <v>1675.6</v>
      </c>
      <c r="K116" s="5">
        <f t="shared" si="4"/>
        <v>-6.7804934730885816E-3</v>
      </c>
      <c r="L116" s="7">
        <v>10528.65</v>
      </c>
      <c r="M116" s="9">
        <f t="shared" si="5"/>
        <v>-2.4904207910422381E-2</v>
      </c>
      <c r="N116" s="7">
        <v>979.2</v>
      </c>
      <c r="O116" s="5">
        <f t="shared" si="6"/>
        <v>-4.8926320477083167E-2</v>
      </c>
      <c r="P116" s="7">
        <v>5770.1</v>
      </c>
      <c r="Q116" s="5">
        <f t="shared" si="7"/>
        <v>-7.0116341418079466E-3</v>
      </c>
      <c r="R116" s="7">
        <v>1864.75</v>
      </c>
      <c r="S116" s="5">
        <f t="shared" si="8"/>
        <v>-4.3343389773542835E-3</v>
      </c>
      <c r="T116" s="7">
        <v>8056.2</v>
      </c>
      <c r="U116" s="5">
        <f t="shared" si="9"/>
        <v>-5.3294834742613961E-3</v>
      </c>
      <c r="V116" s="7">
        <v>2845.35</v>
      </c>
      <c r="W116" s="5">
        <f t="shared" si="10"/>
        <v>-2.8427056414183334E-3</v>
      </c>
      <c r="X116" s="7">
        <v>2385.75</v>
      </c>
      <c r="Y116" s="5">
        <f t="shared" si="11"/>
        <v>-2.2607442251724008E-2</v>
      </c>
      <c r="Z116" s="7">
        <v>6302.45</v>
      </c>
      <c r="AA116" s="5">
        <f t="shared" si="12"/>
        <v>-4.3658450641886191E-2</v>
      </c>
      <c r="AB116" s="10">
        <v>597.20000000000005</v>
      </c>
      <c r="AC116" s="5">
        <f t="shared" si="13"/>
        <v>2.7667173381256049E-3</v>
      </c>
      <c r="AD116" s="11">
        <v>12121.25</v>
      </c>
      <c r="AE116" s="5">
        <f t="shared" si="14"/>
        <v>-6.6351870353786729E-2</v>
      </c>
    </row>
    <row r="117" spans="1:31" ht="13.8">
      <c r="A117" s="13">
        <v>45610</v>
      </c>
      <c r="B117" s="7">
        <v>1864.55</v>
      </c>
      <c r="C117" s="4">
        <f t="shared" si="0"/>
        <v>-2.0627125276664144E-3</v>
      </c>
      <c r="D117" s="8">
        <v>533.9</v>
      </c>
      <c r="E117" s="4">
        <f t="shared" si="1"/>
        <v>2.8134689851840706E-3</v>
      </c>
      <c r="F117" s="7">
        <v>2597.65</v>
      </c>
      <c r="G117" s="4">
        <f t="shared" si="2"/>
        <v>2.5538445924989335E-2</v>
      </c>
      <c r="H117" s="7">
        <v>989.55</v>
      </c>
      <c r="I117" s="5">
        <f t="shared" si="3"/>
        <v>1.0514382578927874E-2</v>
      </c>
      <c r="J117" s="7">
        <v>1687.5</v>
      </c>
      <c r="K117" s="5">
        <f t="shared" si="4"/>
        <v>7.0768336738050441E-3</v>
      </c>
      <c r="L117" s="7">
        <v>10850.1</v>
      </c>
      <c r="M117" s="9">
        <f t="shared" si="5"/>
        <v>3.0074183735158785E-2</v>
      </c>
      <c r="N117" s="7">
        <v>989.55</v>
      </c>
      <c r="O117" s="5">
        <f t="shared" si="6"/>
        <v>1.0514382578927874E-2</v>
      </c>
      <c r="P117" s="7">
        <v>5750.1</v>
      </c>
      <c r="Q117" s="5">
        <f t="shared" si="7"/>
        <v>-3.4721654299781327E-3</v>
      </c>
      <c r="R117" s="7">
        <v>1858.95</v>
      </c>
      <c r="S117" s="5">
        <f t="shared" si="8"/>
        <v>-3.115183656279667E-3</v>
      </c>
      <c r="T117" s="7">
        <v>8074</v>
      </c>
      <c r="U117" s="5">
        <f t="shared" si="9"/>
        <v>2.2070411061686983E-3</v>
      </c>
      <c r="V117" s="7">
        <v>2839.3</v>
      </c>
      <c r="W117" s="5">
        <f t="shared" si="10"/>
        <v>-2.1285399397389039E-3</v>
      </c>
      <c r="X117" s="7">
        <v>2396.15</v>
      </c>
      <c r="Y117" s="5">
        <f t="shared" si="11"/>
        <v>4.3497423189745484E-3</v>
      </c>
      <c r="Z117" s="7">
        <v>6114.6</v>
      </c>
      <c r="AA117" s="5">
        <f t="shared" si="12"/>
        <v>-3.0259092608124712E-2</v>
      </c>
      <c r="AB117" s="10">
        <v>592.25</v>
      </c>
      <c r="AC117" s="5">
        <f t="shared" si="13"/>
        <v>-8.323222626140582E-3</v>
      </c>
      <c r="AD117" s="11">
        <v>11782.35</v>
      </c>
      <c r="AE117" s="5">
        <f t="shared" si="14"/>
        <v>-2.8357461646655258E-2</v>
      </c>
    </row>
    <row r="118" spans="1:31" ht="13.8">
      <c r="A118" s="13">
        <v>45614</v>
      </c>
      <c r="B118" s="7">
        <v>1811.45</v>
      </c>
      <c r="C118" s="4">
        <f t="shared" si="0"/>
        <v>-2.8892107581355839E-2</v>
      </c>
      <c r="D118" s="8">
        <v>529.1</v>
      </c>
      <c r="E118" s="4">
        <f t="shared" si="1"/>
        <v>-9.0311055960543597E-3</v>
      </c>
      <c r="F118" s="7">
        <v>2597.9</v>
      </c>
      <c r="G118" s="4">
        <f t="shared" si="2"/>
        <v>9.6236202208842733E-5</v>
      </c>
      <c r="H118" s="7">
        <v>939.65</v>
      </c>
      <c r="I118" s="5">
        <f t="shared" si="3"/>
        <v>-5.1742828834379674E-2</v>
      </c>
      <c r="J118" s="7">
        <v>1660.8</v>
      </c>
      <c r="K118" s="5">
        <f t="shared" si="4"/>
        <v>-1.594872977511546E-2</v>
      </c>
      <c r="L118" s="7">
        <v>10684.75</v>
      </c>
      <c r="M118" s="9">
        <f t="shared" si="5"/>
        <v>-1.5356805322382512E-2</v>
      </c>
      <c r="N118" s="7">
        <v>939.65</v>
      </c>
      <c r="O118" s="5">
        <f t="shared" si="6"/>
        <v>-5.1742828834379674E-2</v>
      </c>
      <c r="P118" s="7">
        <v>5766.65</v>
      </c>
      <c r="Q118" s="5">
        <f t="shared" si="7"/>
        <v>2.874076695656569E-3</v>
      </c>
      <c r="R118" s="7">
        <v>1835</v>
      </c>
      <c r="S118" s="5">
        <f t="shared" si="8"/>
        <v>-1.2967330690322311E-2</v>
      </c>
      <c r="T118" s="7">
        <v>8006.6</v>
      </c>
      <c r="U118" s="5">
        <f t="shared" si="9"/>
        <v>-8.3828208763569827E-3</v>
      </c>
      <c r="V118" s="7">
        <v>2758.15</v>
      </c>
      <c r="W118" s="5">
        <f t="shared" si="10"/>
        <v>-2.8997377789659246E-2</v>
      </c>
      <c r="X118" s="7">
        <v>2416</v>
      </c>
      <c r="Y118" s="5">
        <f t="shared" si="11"/>
        <v>8.2499974383679706E-3</v>
      </c>
      <c r="Z118" s="7">
        <v>6016.3</v>
      </c>
      <c r="AA118" s="5">
        <f t="shared" si="12"/>
        <v>-1.6206901655069154E-2</v>
      </c>
      <c r="AB118" s="10">
        <v>595.15</v>
      </c>
      <c r="AC118" s="5">
        <f t="shared" si="13"/>
        <v>4.8846315749939348E-3</v>
      </c>
      <c r="AD118" s="11">
        <v>11392.15</v>
      </c>
      <c r="AE118" s="5">
        <f t="shared" si="14"/>
        <v>-3.3678127272198259E-2</v>
      </c>
    </row>
    <row r="119" spans="1:31" ht="13.8">
      <c r="A119" s="13">
        <v>45615</v>
      </c>
      <c r="B119" s="7">
        <v>1824.75</v>
      </c>
      <c r="C119" s="4">
        <f t="shared" si="0"/>
        <v>7.3153618128109161E-3</v>
      </c>
      <c r="D119" s="8">
        <v>552.65</v>
      </c>
      <c r="E119" s="4">
        <f t="shared" si="1"/>
        <v>4.3547439846878325E-2</v>
      </c>
      <c r="F119" s="7">
        <v>2574.4</v>
      </c>
      <c r="G119" s="4">
        <f t="shared" si="2"/>
        <v>-9.086929104586642E-3</v>
      </c>
      <c r="H119" s="7">
        <v>966.4</v>
      </c>
      <c r="I119" s="5">
        <f t="shared" si="3"/>
        <v>2.8070361677940681E-2</v>
      </c>
      <c r="J119" s="7">
        <v>1699.65</v>
      </c>
      <c r="K119" s="5">
        <f t="shared" si="4"/>
        <v>2.3122933523115931E-2</v>
      </c>
      <c r="L119" s="7">
        <v>10555.3</v>
      </c>
      <c r="M119" s="9">
        <f t="shared" si="5"/>
        <v>-1.2189387766549219E-2</v>
      </c>
      <c r="N119" s="7">
        <v>966.4</v>
      </c>
      <c r="O119" s="5">
        <f t="shared" si="6"/>
        <v>2.8070361677940681E-2</v>
      </c>
      <c r="P119" s="7">
        <v>5900.85</v>
      </c>
      <c r="Q119" s="5">
        <f t="shared" si="7"/>
        <v>2.3005085673479E-2</v>
      </c>
      <c r="R119" s="7">
        <v>1820.55</v>
      </c>
      <c r="S119" s="5">
        <f t="shared" si="8"/>
        <v>-7.9058282681904995E-3</v>
      </c>
      <c r="T119" s="7">
        <v>8116.5</v>
      </c>
      <c r="U119" s="5">
        <f t="shared" si="9"/>
        <v>1.3632825214370403E-2</v>
      </c>
      <c r="V119" s="7">
        <v>2789.25</v>
      </c>
      <c r="W119" s="5">
        <f t="shared" si="10"/>
        <v>1.1212577361845716E-2</v>
      </c>
      <c r="X119" s="7">
        <v>2429.25</v>
      </c>
      <c r="Y119" s="5">
        <f t="shared" si="11"/>
        <v>5.4692876648428698E-3</v>
      </c>
      <c r="Z119" s="7">
        <v>5985.65</v>
      </c>
      <c r="AA119" s="5">
        <f t="shared" si="12"/>
        <v>-5.1075144671926861E-3</v>
      </c>
      <c r="AB119" s="10">
        <v>590.95000000000005</v>
      </c>
      <c r="AC119" s="5">
        <f t="shared" si="13"/>
        <v>-7.0820631556390524E-3</v>
      </c>
      <c r="AD119" s="11">
        <v>11729.4</v>
      </c>
      <c r="AE119" s="5">
        <f t="shared" si="14"/>
        <v>2.9173988744226418E-2</v>
      </c>
    </row>
    <row r="120" spans="1:31" ht="13.8">
      <c r="A120" s="13">
        <v>45617</v>
      </c>
      <c r="B120" s="7">
        <v>1834.05</v>
      </c>
      <c r="C120" s="4">
        <f t="shared" si="0"/>
        <v>5.0836449265671138E-3</v>
      </c>
      <c r="D120" s="8">
        <v>544.85</v>
      </c>
      <c r="E120" s="4">
        <f t="shared" si="1"/>
        <v>-1.4214362334069214E-2</v>
      </c>
      <c r="F120" s="7">
        <v>2558.65</v>
      </c>
      <c r="G120" s="4">
        <f t="shared" si="2"/>
        <v>-6.1367216091285015E-3</v>
      </c>
      <c r="H120" s="7">
        <v>926.9</v>
      </c>
      <c r="I120" s="5">
        <f t="shared" si="3"/>
        <v>-4.1732142298763458E-2</v>
      </c>
      <c r="J120" s="7">
        <v>1702.25</v>
      </c>
      <c r="K120" s="5">
        <f t="shared" si="4"/>
        <v>1.5285578683907897E-3</v>
      </c>
      <c r="L120" s="7">
        <v>10420.950000000001</v>
      </c>
      <c r="M120" s="9">
        <f t="shared" si="5"/>
        <v>-1.2809900450176381E-2</v>
      </c>
      <c r="N120" s="7">
        <v>926.9</v>
      </c>
      <c r="O120" s="5">
        <f t="shared" si="6"/>
        <v>-4.1732142298763458E-2</v>
      </c>
      <c r="P120" s="7">
        <v>5977.1</v>
      </c>
      <c r="Q120" s="5">
        <f t="shared" si="7"/>
        <v>1.2839092172048613E-2</v>
      </c>
      <c r="R120" s="7">
        <v>1836.35</v>
      </c>
      <c r="S120" s="5">
        <f t="shared" si="8"/>
        <v>8.6412526003001189E-3</v>
      </c>
      <c r="T120" s="7">
        <v>8210.1</v>
      </c>
      <c r="U120" s="5">
        <f t="shared" si="9"/>
        <v>1.146607688936126E-2</v>
      </c>
      <c r="V120" s="7">
        <v>2786.2</v>
      </c>
      <c r="W120" s="5">
        <f t="shared" si="10"/>
        <v>-1.0940822011646638E-3</v>
      </c>
      <c r="X120" s="7">
        <v>2388.4499999999998</v>
      </c>
      <c r="Y120" s="5">
        <f t="shared" si="11"/>
        <v>-1.6937947749003694E-2</v>
      </c>
      <c r="Z120" s="7">
        <v>5852.85</v>
      </c>
      <c r="AA120" s="5">
        <f t="shared" si="12"/>
        <v>-2.2436215860756809E-2</v>
      </c>
      <c r="AB120" s="10">
        <v>591.04999999999995</v>
      </c>
      <c r="AC120" s="5">
        <f t="shared" si="13"/>
        <v>1.6920473813628352E-4</v>
      </c>
      <c r="AD120" s="11">
        <v>11411.7</v>
      </c>
      <c r="AE120" s="5">
        <f t="shared" si="14"/>
        <v>-2.7459365574047562E-2</v>
      </c>
    </row>
    <row r="121" spans="1:31" ht="13.8">
      <c r="A121" s="13">
        <v>45618</v>
      </c>
      <c r="B121" s="7">
        <v>1902.25</v>
      </c>
      <c r="C121" s="4">
        <f t="shared" si="0"/>
        <v>3.6510759798323321E-2</v>
      </c>
      <c r="D121" s="8">
        <v>559.5</v>
      </c>
      <c r="E121" s="4">
        <f t="shared" si="1"/>
        <v>2.6533000329084788E-2</v>
      </c>
      <c r="F121" s="7">
        <v>2551.6</v>
      </c>
      <c r="G121" s="4">
        <f t="shared" si="2"/>
        <v>-2.7591622611900014E-3</v>
      </c>
      <c r="H121" s="7">
        <v>935.4</v>
      </c>
      <c r="I121" s="5">
        <f t="shared" si="3"/>
        <v>9.1285604099987563E-3</v>
      </c>
      <c r="J121" s="7">
        <v>1747.45</v>
      </c>
      <c r="K121" s="5">
        <f t="shared" si="4"/>
        <v>2.6206677032259047E-2</v>
      </c>
      <c r="L121" s="7">
        <v>10458.299999999999</v>
      </c>
      <c r="M121" s="9">
        <f t="shared" si="5"/>
        <v>3.57771853301306E-3</v>
      </c>
      <c r="N121" s="7">
        <v>935.4</v>
      </c>
      <c r="O121" s="5">
        <f t="shared" si="6"/>
        <v>9.1285604099987563E-3</v>
      </c>
      <c r="P121" s="7">
        <v>5998.35</v>
      </c>
      <c r="Q121" s="5">
        <f t="shared" si="7"/>
        <v>3.5489309050570172E-3</v>
      </c>
      <c r="R121" s="7">
        <v>1898.4</v>
      </c>
      <c r="S121" s="5">
        <f t="shared" si="8"/>
        <v>3.3231520300773539E-2</v>
      </c>
      <c r="T121" s="7">
        <v>8327.5</v>
      </c>
      <c r="U121" s="5">
        <f t="shared" si="9"/>
        <v>1.4198187427573632E-2</v>
      </c>
      <c r="V121" s="7">
        <v>2883.55</v>
      </c>
      <c r="W121" s="5">
        <f t="shared" si="10"/>
        <v>3.4343513671154215E-2</v>
      </c>
      <c r="X121" s="7">
        <v>2414.25</v>
      </c>
      <c r="Y121" s="5">
        <f t="shared" si="11"/>
        <v>1.0744059876482638E-2</v>
      </c>
      <c r="Z121" s="7">
        <v>5626.2</v>
      </c>
      <c r="AA121" s="5">
        <f t="shared" si="12"/>
        <v>-3.9494463426049904E-2</v>
      </c>
      <c r="AB121" s="10">
        <v>599.15</v>
      </c>
      <c r="AC121" s="5">
        <f t="shared" si="13"/>
        <v>1.3611367932139681E-2</v>
      </c>
      <c r="AD121" s="11">
        <v>11513.05</v>
      </c>
      <c r="AE121" s="5">
        <f t="shared" si="14"/>
        <v>8.8420297108554279E-3</v>
      </c>
    </row>
    <row r="122" spans="1:31" ht="13.8">
      <c r="A122" s="13">
        <v>45621</v>
      </c>
      <c r="B122" s="7">
        <v>1889.7</v>
      </c>
      <c r="C122" s="4">
        <f t="shared" si="0"/>
        <v>-6.6193097606391006E-3</v>
      </c>
      <c r="D122" s="8">
        <v>575.04999999999995</v>
      </c>
      <c r="E122" s="4">
        <f t="shared" si="1"/>
        <v>2.741346578661032E-2</v>
      </c>
      <c r="F122" s="7">
        <v>2610.1</v>
      </c>
      <c r="G122" s="4">
        <f t="shared" si="2"/>
        <v>2.2667921391214742E-2</v>
      </c>
      <c r="H122" s="7">
        <v>994.15</v>
      </c>
      <c r="I122" s="5">
        <f t="shared" si="3"/>
        <v>6.091385541230445E-2</v>
      </c>
      <c r="J122" s="7">
        <v>1732.6</v>
      </c>
      <c r="K122" s="5">
        <f t="shared" si="4"/>
        <v>-8.5344119392953399E-3</v>
      </c>
      <c r="L122" s="7">
        <v>10591.55</v>
      </c>
      <c r="M122" s="9">
        <f t="shared" si="5"/>
        <v>1.2660591870121002E-2</v>
      </c>
      <c r="N122" s="7">
        <v>994.15</v>
      </c>
      <c r="O122" s="5">
        <f t="shared" si="6"/>
        <v>6.091385541230445E-2</v>
      </c>
      <c r="P122" s="7">
        <v>6138.45</v>
      </c>
      <c r="Q122" s="5">
        <f t="shared" si="7"/>
        <v>2.3087835884590274E-2</v>
      </c>
      <c r="R122" s="7">
        <v>1891.7</v>
      </c>
      <c r="S122" s="5">
        <f t="shared" si="8"/>
        <v>-3.5355304499361897E-3</v>
      </c>
      <c r="T122" s="7">
        <v>8611.6</v>
      </c>
      <c r="U122" s="5">
        <f t="shared" si="9"/>
        <v>3.3546840519339247E-2</v>
      </c>
      <c r="V122" s="7">
        <v>2982.4</v>
      </c>
      <c r="W122" s="5">
        <f t="shared" si="10"/>
        <v>3.3706171547993408E-2</v>
      </c>
      <c r="X122" s="7">
        <v>2458.35</v>
      </c>
      <c r="Y122" s="5">
        <f t="shared" si="11"/>
        <v>1.8101713330918812E-2</v>
      </c>
      <c r="Z122" s="7">
        <v>5758.9</v>
      </c>
      <c r="AA122" s="5">
        <f t="shared" si="12"/>
        <v>2.3312225576563369E-2</v>
      </c>
      <c r="AB122" s="10">
        <v>607.79999999999995</v>
      </c>
      <c r="AC122" s="5">
        <f t="shared" si="13"/>
        <v>1.4333896354167115E-2</v>
      </c>
      <c r="AD122" s="11">
        <v>11660.2</v>
      </c>
      <c r="AE122" s="5">
        <f t="shared" si="14"/>
        <v>1.270015883510347E-2</v>
      </c>
    </row>
    <row r="123" spans="1:31" ht="13.8">
      <c r="A123" s="13">
        <v>45622</v>
      </c>
      <c r="B123" s="7">
        <v>1924.15</v>
      </c>
      <c r="C123" s="4">
        <f t="shared" si="0"/>
        <v>1.8066225468697655E-2</v>
      </c>
      <c r="D123" s="8">
        <v>595.29999999999995</v>
      </c>
      <c r="E123" s="4">
        <f t="shared" si="1"/>
        <v>3.4608486620753942E-2</v>
      </c>
      <c r="F123" s="7">
        <v>2580.6</v>
      </c>
      <c r="G123" s="4">
        <f t="shared" si="2"/>
        <v>-1.1366604741269316E-2</v>
      </c>
      <c r="H123" s="7">
        <v>1032.0999999999999</v>
      </c>
      <c r="I123" s="5">
        <f t="shared" si="3"/>
        <v>3.7462739867797315E-2</v>
      </c>
      <c r="J123" s="7">
        <v>1745.4</v>
      </c>
      <c r="K123" s="5">
        <f t="shared" si="4"/>
        <v>7.3605852731711075E-3</v>
      </c>
      <c r="L123" s="7">
        <v>10476.25</v>
      </c>
      <c r="M123" s="9">
        <f t="shared" si="5"/>
        <v>-1.0945722966904966E-2</v>
      </c>
      <c r="N123" s="7">
        <v>1032.0999999999999</v>
      </c>
      <c r="O123" s="5">
        <f t="shared" si="6"/>
        <v>3.7462739867797315E-2</v>
      </c>
      <c r="P123" s="7">
        <v>6072.5</v>
      </c>
      <c r="Q123" s="5">
        <f t="shared" si="7"/>
        <v>-1.080188539902101E-2</v>
      </c>
      <c r="R123" s="7">
        <v>1899.55</v>
      </c>
      <c r="S123" s="5">
        <f t="shared" si="8"/>
        <v>4.1411203261303544E-3</v>
      </c>
      <c r="T123" s="7">
        <v>8616.5499999999993</v>
      </c>
      <c r="U123" s="5">
        <f t="shared" si="9"/>
        <v>5.7464093779214501E-4</v>
      </c>
      <c r="V123" s="7">
        <v>2999.1</v>
      </c>
      <c r="W123" s="5">
        <f t="shared" si="10"/>
        <v>5.5838981499726371E-3</v>
      </c>
      <c r="X123" s="7">
        <v>2424.6</v>
      </c>
      <c r="Y123" s="5">
        <f t="shared" si="11"/>
        <v>-1.3823830865462992E-2</v>
      </c>
      <c r="Z123" s="7">
        <v>5771.6</v>
      </c>
      <c r="AA123" s="5">
        <f t="shared" si="12"/>
        <v>2.2028541929028705E-3</v>
      </c>
      <c r="AB123" s="10">
        <v>628.35</v>
      </c>
      <c r="AC123" s="5">
        <f t="shared" si="13"/>
        <v>3.325145557846091E-2</v>
      </c>
      <c r="AD123" s="11">
        <v>12337.2</v>
      </c>
      <c r="AE123" s="5">
        <f t="shared" si="14"/>
        <v>5.643775492063282E-2</v>
      </c>
    </row>
    <row r="124" spans="1:31" ht="13.8">
      <c r="A124" s="13">
        <v>45623</v>
      </c>
      <c r="B124" s="7">
        <v>1924.5</v>
      </c>
      <c r="C124" s="4">
        <f t="shared" si="0"/>
        <v>1.8188195911016781E-4</v>
      </c>
      <c r="D124" s="8">
        <v>582.95000000000005</v>
      </c>
      <c r="E124" s="4">
        <f t="shared" si="1"/>
        <v>-2.0964060780043859E-2</v>
      </c>
      <c r="F124" s="7">
        <v>2557</v>
      </c>
      <c r="G124" s="4">
        <f t="shared" si="2"/>
        <v>-9.1872337265589445E-3</v>
      </c>
      <c r="H124" s="7">
        <v>1116.75</v>
      </c>
      <c r="I124" s="5">
        <f t="shared" si="3"/>
        <v>7.8827119660340561E-2</v>
      </c>
      <c r="J124" s="7">
        <v>1756.8</v>
      </c>
      <c r="K124" s="5">
        <f t="shared" si="4"/>
        <v>6.5102165860005433E-3</v>
      </c>
      <c r="L124" s="7">
        <v>10221.85</v>
      </c>
      <c r="M124" s="9">
        <f t="shared" si="5"/>
        <v>-2.4583204424607107E-2</v>
      </c>
      <c r="N124" s="7">
        <v>1116.75</v>
      </c>
      <c r="O124" s="5">
        <f t="shared" si="6"/>
        <v>7.8827119660340561E-2</v>
      </c>
      <c r="P124" s="7">
        <v>5999.2</v>
      </c>
      <c r="Q124" s="5">
        <f t="shared" si="7"/>
        <v>-1.2144254889147939E-2</v>
      </c>
      <c r="R124" s="7">
        <v>1891.05</v>
      </c>
      <c r="S124" s="5">
        <f t="shared" si="8"/>
        <v>-4.4847856523599263E-3</v>
      </c>
      <c r="T124" s="7">
        <v>8672.9</v>
      </c>
      <c r="U124" s="5">
        <f t="shared" si="9"/>
        <v>6.5184490572751811E-3</v>
      </c>
      <c r="V124" s="7">
        <v>3017</v>
      </c>
      <c r="W124" s="5">
        <f t="shared" si="10"/>
        <v>5.9507165178164408E-3</v>
      </c>
      <c r="X124" s="7">
        <v>2440.65</v>
      </c>
      <c r="Y124" s="5">
        <f t="shared" si="11"/>
        <v>6.5978349409547476E-3</v>
      </c>
      <c r="Z124" s="7">
        <v>5820.75</v>
      </c>
      <c r="AA124" s="5">
        <f t="shared" si="12"/>
        <v>8.4797809792571625E-3</v>
      </c>
      <c r="AB124" s="10">
        <v>649.9</v>
      </c>
      <c r="AC124" s="5">
        <f t="shared" si="13"/>
        <v>3.3721168839149641E-2</v>
      </c>
      <c r="AD124" s="11">
        <v>12138.6</v>
      </c>
      <c r="AE124" s="5">
        <f t="shared" si="14"/>
        <v>-1.6228630625250134E-2</v>
      </c>
    </row>
    <row r="125" spans="1:31" ht="13.8">
      <c r="A125" s="13">
        <v>45624</v>
      </c>
      <c r="B125" s="7">
        <v>1856.65</v>
      </c>
      <c r="C125" s="4">
        <f t="shared" si="0"/>
        <v>-3.5892405171553468E-2</v>
      </c>
      <c r="D125" s="8">
        <v>583.65</v>
      </c>
      <c r="E125" s="4">
        <f t="shared" si="1"/>
        <v>1.2000687193717025E-3</v>
      </c>
      <c r="F125" s="7">
        <v>2560.4</v>
      </c>
      <c r="G125" s="4">
        <f t="shared" si="2"/>
        <v>1.3287999766617763E-3</v>
      </c>
      <c r="H125" s="7">
        <v>1169.95</v>
      </c>
      <c r="I125" s="5">
        <f t="shared" si="3"/>
        <v>4.6538331603670796E-2</v>
      </c>
      <c r="J125" s="7">
        <v>1713.35</v>
      </c>
      <c r="K125" s="5">
        <f t="shared" si="4"/>
        <v>-2.5043453954964275E-2</v>
      </c>
      <c r="L125" s="7">
        <v>10326.450000000001</v>
      </c>
      <c r="M125" s="9">
        <f t="shared" si="5"/>
        <v>1.0180978815887098E-2</v>
      </c>
      <c r="N125" s="7">
        <v>1169.95</v>
      </c>
      <c r="O125" s="5">
        <f t="shared" si="6"/>
        <v>4.6538331603670796E-2</v>
      </c>
      <c r="P125" s="7">
        <v>5951.8</v>
      </c>
      <c r="Q125" s="5">
        <f t="shared" si="7"/>
        <v>-7.932432189354308E-3</v>
      </c>
      <c r="R125" s="7">
        <v>1840.9</v>
      </c>
      <c r="S125" s="5">
        <f t="shared" si="8"/>
        <v>-2.6877647892871628E-2</v>
      </c>
      <c r="T125" s="7">
        <v>8661.0499999999993</v>
      </c>
      <c r="U125" s="5">
        <f t="shared" si="9"/>
        <v>-1.3672592624336397E-3</v>
      </c>
      <c r="V125" s="7">
        <v>2957.6</v>
      </c>
      <c r="W125" s="5">
        <f t="shared" si="10"/>
        <v>-1.9884831536638947E-2</v>
      </c>
      <c r="X125" s="7">
        <v>2415.4499999999998</v>
      </c>
      <c r="Y125" s="5">
        <f t="shared" si="11"/>
        <v>-1.0378792121323048E-2</v>
      </c>
      <c r="Z125" s="7">
        <v>5874.7</v>
      </c>
      <c r="AA125" s="5">
        <f t="shared" si="12"/>
        <v>9.225875476412862E-3</v>
      </c>
      <c r="AB125" s="10">
        <v>644.85</v>
      </c>
      <c r="AC125" s="5">
        <f t="shared" si="13"/>
        <v>-7.8007732899028435E-3</v>
      </c>
      <c r="AD125" s="11">
        <v>12223.1</v>
      </c>
      <c r="AE125" s="5">
        <f t="shared" si="14"/>
        <v>6.9371463299267907E-3</v>
      </c>
    </row>
    <row r="126" spans="1:31" ht="13.8">
      <c r="A126" s="13">
        <v>45625</v>
      </c>
      <c r="B126" s="7">
        <v>1857.85</v>
      </c>
      <c r="C126" s="4">
        <f t="shared" si="0"/>
        <v>6.4611659267536903E-4</v>
      </c>
      <c r="D126" s="8">
        <v>584.29999999999995</v>
      </c>
      <c r="E126" s="4">
        <f t="shared" si="1"/>
        <v>1.1130614617191243E-3</v>
      </c>
      <c r="F126" s="7">
        <v>2561.1999999999998</v>
      </c>
      <c r="G126" s="4">
        <f t="shared" si="2"/>
        <v>3.1240237679877207E-4</v>
      </c>
      <c r="H126" s="7">
        <v>1150</v>
      </c>
      <c r="I126" s="5">
        <f t="shared" si="3"/>
        <v>-1.719907047860314E-2</v>
      </c>
      <c r="J126" s="7">
        <v>1712.3</v>
      </c>
      <c r="K126" s="5">
        <f t="shared" si="4"/>
        <v>-6.1302236532167738E-4</v>
      </c>
      <c r="L126" s="7">
        <v>10468.25</v>
      </c>
      <c r="M126" s="9">
        <f t="shared" si="5"/>
        <v>1.3638301868449002E-2</v>
      </c>
      <c r="N126" s="7">
        <v>1150</v>
      </c>
      <c r="O126" s="5">
        <f t="shared" si="6"/>
        <v>-1.719907047860314E-2</v>
      </c>
      <c r="P126" s="7">
        <v>6172.7</v>
      </c>
      <c r="Q126" s="5">
        <f t="shared" si="7"/>
        <v>3.6442648678680897E-2</v>
      </c>
      <c r="R126" s="7">
        <v>1848.05</v>
      </c>
      <c r="S126" s="5">
        <f t="shared" si="8"/>
        <v>3.8764466601547481E-3</v>
      </c>
      <c r="T126" s="7">
        <v>8685.85</v>
      </c>
      <c r="U126" s="5">
        <f t="shared" si="9"/>
        <v>2.8593024570685017E-3</v>
      </c>
      <c r="V126" s="7">
        <v>2974.55</v>
      </c>
      <c r="W126" s="5">
        <f t="shared" si="10"/>
        <v>5.7146384120825618E-3</v>
      </c>
      <c r="X126" s="7">
        <v>2434.4499999999998</v>
      </c>
      <c r="Y126" s="5">
        <f t="shared" si="11"/>
        <v>7.8352531815592506E-3</v>
      </c>
      <c r="Z126" s="7">
        <v>5673.15</v>
      </c>
      <c r="AA126" s="5">
        <f t="shared" si="12"/>
        <v>-3.4910475865273051E-2</v>
      </c>
      <c r="AB126" s="10">
        <v>644.95000000000005</v>
      </c>
      <c r="AC126" s="5">
        <f t="shared" si="13"/>
        <v>1.5506280074481824E-4</v>
      </c>
      <c r="AD126" s="11">
        <v>11978.55</v>
      </c>
      <c r="AE126" s="5">
        <f t="shared" si="14"/>
        <v>-2.0210053755674123E-2</v>
      </c>
    </row>
    <row r="127" spans="1:31" ht="13.8">
      <c r="A127" s="12">
        <v>45628</v>
      </c>
      <c r="B127" s="7">
        <v>1879.8</v>
      </c>
      <c r="C127" s="4">
        <f t="shared" si="0"/>
        <v>1.1745483041278247E-2</v>
      </c>
      <c r="D127" s="8">
        <v>595.04999999999995</v>
      </c>
      <c r="E127" s="4">
        <f t="shared" si="1"/>
        <v>1.8230886068057565E-2</v>
      </c>
      <c r="F127" s="7">
        <v>2616.4499999999998</v>
      </c>
      <c r="G127" s="4">
        <f t="shared" si="2"/>
        <v>2.1342538487606387E-2</v>
      </c>
      <c r="H127" s="7">
        <v>1151.8499999999999</v>
      </c>
      <c r="I127" s="5">
        <f t="shared" si="3"/>
        <v>1.6074030873665058E-3</v>
      </c>
      <c r="J127" s="7">
        <v>1745.95</v>
      </c>
      <c r="K127" s="5">
        <f t="shared" si="4"/>
        <v>1.9461324110271818E-2</v>
      </c>
      <c r="L127" s="7">
        <v>10403.299999999999</v>
      </c>
      <c r="M127" s="9">
        <f t="shared" si="5"/>
        <v>-6.2238031825123385E-3</v>
      </c>
      <c r="N127" s="7">
        <v>1151.8499999999999</v>
      </c>
      <c r="O127" s="5">
        <f t="shared" si="6"/>
        <v>1.6074030873665058E-3</v>
      </c>
      <c r="P127" s="7">
        <v>6255.35</v>
      </c>
      <c r="Q127" s="5">
        <f t="shared" si="7"/>
        <v>1.3300754094880868E-2</v>
      </c>
      <c r="R127" s="7">
        <v>1871.5</v>
      </c>
      <c r="S127" s="5">
        <f t="shared" si="8"/>
        <v>1.260921923181235E-2</v>
      </c>
      <c r="T127" s="7">
        <v>8710.7000000000007</v>
      </c>
      <c r="U127" s="5">
        <f t="shared" si="9"/>
        <v>2.856890234186824E-3</v>
      </c>
      <c r="V127" s="7">
        <v>3050</v>
      </c>
      <c r="W127" s="5">
        <f t="shared" si="10"/>
        <v>2.5048823566952611E-2</v>
      </c>
      <c r="X127" s="7">
        <v>2493.4</v>
      </c>
      <c r="Y127" s="5">
        <f t="shared" si="11"/>
        <v>2.3926382597200938E-2</v>
      </c>
      <c r="Z127" s="7">
        <v>5757.15</v>
      </c>
      <c r="AA127" s="5">
        <f t="shared" si="12"/>
        <v>1.469804155998268E-2</v>
      </c>
      <c r="AB127" s="10">
        <v>646.54999999999995</v>
      </c>
      <c r="AC127" s="5">
        <f t="shared" si="13"/>
        <v>2.4777403307153101E-3</v>
      </c>
      <c r="AD127" s="11">
        <v>12264.3</v>
      </c>
      <c r="AE127" s="5">
        <f t="shared" si="14"/>
        <v>2.357505280631858E-2</v>
      </c>
    </row>
    <row r="128" spans="1:31" ht="13.8">
      <c r="A128" s="12">
        <v>45629</v>
      </c>
      <c r="B128" s="7">
        <v>1892.1</v>
      </c>
      <c r="C128" s="4">
        <f t="shared" si="0"/>
        <v>6.5219351515141558E-3</v>
      </c>
      <c r="D128" s="8">
        <v>534.15</v>
      </c>
      <c r="E128" s="4">
        <f t="shared" si="1"/>
        <v>-0.10796873723655231</v>
      </c>
      <c r="F128" s="7">
        <v>2559</v>
      </c>
      <c r="G128" s="4">
        <f t="shared" si="2"/>
        <v>-2.2201879972464592E-2</v>
      </c>
      <c r="H128" s="7">
        <v>1152.2</v>
      </c>
      <c r="I128" s="5">
        <f t="shared" si="3"/>
        <v>3.0381285362062431E-4</v>
      </c>
      <c r="J128" s="7">
        <v>1749.5</v>
      </c>
      <c r="K128" s="5">
        <f t="shared" si="4"/>
        <v>2.0312127025455692E-3</v>
      </c>
      <c r="L128" s="7">
        <v>10683</v>
      </c>
      <c r="M128" s="9">
        <f t="shared" si="5"/>
        <v>2.653062945555475E-2</v>
      </c>
      <c r="N128" s="7">
        <v>1152.2</v>
      </c>
      <c r="O128" s="5">
        <f t="shared" si="6"/>
        <v>3.0381285362062431E-4</v>
      </c>
      <c r="P128" s="7">
        <v>6210.55</v>
      </c>
      <c r="Q128" s="5">
        <f t="shared" si="7"/>
        <v>-7.1876387379753064E-3</v>
      </c>
      <c r="R128" s="7">
        <v>1890.75</v>
      </c>
      <c r="S128" s="5">
        <f t="shared" si="8"/>
        <v>1.0233327391655193E-2</v>
      </c>
      <c r="T128" s="7">
        <v>8718.25</v>
      </c>
      <c r="U128" s="5">
        <f t="shared" si="9"/>
        <v>8.6637467802192457E-4</v>
      </c>
      <c r="V128" s="7">
        <v>3018.95</v>
      </c>
      <c r="W128" s="5">
        <f t="shared" si="10"/>
        <v>-1.0232501807188567E-2</v>
      </c>
      <c r="X128" s="7">
        <v>2556.1999999999998</v>
      </c>
      <c r="Y128" s="5">
        <f t="shared" si="11"/>
        <v>2.4874539786739293E-2</v>
      </c>
      <c r="Z128" s="7">
        <v>5701.3</v>
      </c>
      <c r="AA128" s="5">
        <f t="shared" si="12"/>
        <v>-9.7483415794489929E-3</v>
      </c>
      <c r="AB128" s="10">
        <v>641.70000000000005</v>
      </c>
      <c r="AC128" s="5">
        <f t="shared" si="13"/>
        <v>-7.5296299853908795E-3</v>
      </c>
      <c r="AD128" s="11">
        <v>12220.95</v>
      </c>
      <c r="AE128" s="5">
        <f t="shared" si="14"/>
        <v>-3.5409109805859687E-3</v>
      </c>
    </row>
    <row r="129" spans="1:31" ht="13.8">
      <c r="A129" s="12">
        <v>45630</v>
      </c>
      <c r="B129" s="7">
        <v>1889.25</v>
      </c>
      <c r="C129" s="4">
        <f t="shared" si="0"/>
        <v>-1.5073984368858997E-3</v>
      </c>
      <c r="D129" s="8">
        <v>543.04999999999995</v>
      </c>
      <c r="E129" s="4">
        <f t="shared" si="1"/>
        <v>1.6524698334148661E-2</v>
      </c>
      <c r="F129" s="7">
        <v>2596.15</v>
      </c>
      <c r="G129" s="4">
        <f t="shared" si="2"/>
        <v>1.4413021196771453E-2</v>
      </c>
      <c r="H129" s="7">
        <v>1215.8</v>
      </c>
      <c r="I129" s="5">
        <f t="shared" si="3"/>
        <v>5.3729138016339335E-2</v>
      </c>
      <c r="J129" s="7">
        <v>1759.6</v>
      </c>
      <c r="K129" s="5">
        <f t="shared" si="4"/>
        <v>5.756477666821881E-3</v>
      </c>
      <c r="L129" s="7">
        <v>10607.15</v>
      </c>
      <c r="M129" s="9">
        <f t="shared" si="5"/>
        <v>-7.1253909358080063E-3</v>
      </c>
      <c r="N129" s="7">
        <v>1215.8</v>
      </c>
      <c r="O129" s="5">
        <f t="shared" si="6"/>
        <v>5.3729138016339335E-2</v>
      </c>
      <c r="P129" s="7">
        <v>6256.5</v>
      </c>
      <c r="Q129" s="5">
        <f t="shared" si="7"/>
        <v>7.3714644716978668E-3</v>
      </c>
      <c r="R129" s="7">
        <v>1897.65</v>
      </c>
      <c r="S129" s="5">
        <f t="shared" si="8"/>
        <v>3.6427027926493943E-3</v>
      </c>
      <c r="T129" s="7">
        <v>8765.9</v>
      </c>
      <c r="U129" s="5">
        <f t="shared" si="9"/>
        <v>5.4506645129881641E-3</v>
      </c>
      <c r="V129" s="7">
        <v>3017.7</v>
      </c>
      <c r="W129" s="5">
        <f t="shared" si="10"/>
        <v>-4.1413698586657279E-4</v>
      </c>
      <c r="X129" s="7">
        <v>2518.6999999999998</v>
      </c>
      <c r="Y129" s="5">
        <f t="shared" si="11"/>
        <v>-1.4778885316282235E-2</v>
      </c>
      <c r="Z129" s="7">
        <v>5625.2</v>
      </c>
      <c r="AA129" s="5">
        <f t="shared" si="12"/>
        <v>-1.3437715997938799E-2</v>
      </c>
      <c r="AB129" s="10">
        <v>631.6</v>
      </c>
      <c r="AC129" s="5">
        <f t="shared" si="13"/>
        <v>-1.5864622374982661E-2</v>
      </c>
      <c r="AD129" s="11">
        <v>12105.55</v>
      </c>
      <c r="AE129" s="5">
        <f t="shared" si="14"/>
        <v>-9.4876670010800804E-3</v>
      </c>
    </row>
    <row r="130" spans="1:31" ht="13.8">
      <c r="A130" s="12">
        <v>45631</v>
      </c>
      <c r="B130" s="7">
        <v>1934.85</v>
      </c>
      <c r="C130" s="4">
        <f t="shared" si="0"/>
        <v>2.3849879178425484E-2</v>
      </c>
      <c r="D130" s="8">
        <v>566.95000000000005</v>
      </c>
      <c r="E130" s="4">
        <f t="shared" si="1"/>
        <v>4.3069719691803975E-2</v>
      </c>
      <c r="F130" s="7">
        <v>2615.5</v>
      </c>
      <c r="G130" s="4">
        <f t="shared" si="2"/>
        <v>7.4257054541053465E-3</v>
      </c>
      <c r="H130" s="7">
        <v>1222.7</v>
      </c>
      <c r="I130" s="5">
        <f t="shared" si="3"/>
        <v>5.6592318355222666E-3</v>
      </c>
      <c r="J130" s="7">
        <v>1786.95</v>
      </c>
      <c r="K130" s="5">
        <f t="shared" si="4"/>
        <v>1.5423745438915309E-2</v>
      </c>
      <c r="L130" s="7">
        <v>10742.95</v>
      </c>
      <c r="M130" s="9">
        <f t="shared" si="5"/>
        <v>1.2721423452203942E-2</v>
      </c>
      <c r="N130" s="7">
        <v>1222.7</v>
      </c>
      <c r="O130" s="5">
        <f t="shared" si="6"/>
        <v>5.6592318355222666E-3</v>
      </c>
      <c r="P130" s="7">
        <v>6096.2</v>
      </c>
      <c r="Q130" s="5">
        <f t="shared" si="7"/>
        <v>-2.5955297077861105E-2</v>
      </c>
      <c r="R130" s="7">
        <v>1924</v>
      </c>
      <c r="S130" s="5">
        <f t="shared" si="8"/>
        <v>1.3790073696863431E-2</v>
      </c>
      <c r="T130" s="7">
        <v>8817.7999999999993</v>
      </c>
      <c r="U130" s="5">
        <f t="shared" si="9"/>
        <v>5.9032115785766738E-3</v>
      </c>
      <c r="V130" s="7">
        <v>3051.3</v>
      </c>
      <c r="W130" s="5">
        <f t="shared" si="10"/>
        <v>1.1072777491258182E-2</v>
      </c>
      <c r="X130" s="7">
        <v>2512.1999999999998</v>
      </c>
      <c r="Y130" s="5">
        <f t="shared" si="11"/>
        <v>-2.5840321281791197E-3</v>
      </c>
      <c r="Z130" s="7">
        <v>5617.05</v>
      </c>
      <c r="AA130" s="5">
        <f t="shared" si="12"/>
        <v>-1.4498879544089121E-3</v>
      </c>
      <c r="AB130" s="10">
        <v>633.25</v>
      </c>
      <c r="AC130" s="5">
        <f t="shared" si="13"/>
        <v>2.6090065002974919E-3</v>
      </c>
      <c r="AD130" s="11">
        <v>11899.25</v>
      </c>
      <c r="AE130" s="5">
        <f t="shared" si="14"/>
        <v>-1.7188652206963577E-2</v>
      </c>
    </row>
    <row r="131" spans="1:31" ht="13.8">
      <c r="A131" s="12">
        <v>45632</v>
      </c>
      <c r="B131" s="7">
        <v>1922.4</v>
      </c>
      <c r="C131" s="4">
        <f t="shared" si="0"/>
        <v>-6.4553986569955727E-3</v>
      </c>
      <c r="D131" s="8">
        <v>575.65</v>
      </c>
      <c r="E131" s="4">
        <f t="shared" si="1"/>
        <v>1.5228720701824464E-2</v>
      </c>
      <c r="F131" s="7">
        <v>2586.4499999999998</v>
      </c>
      <c r="G131" s="4">
        <f t="shared" si="2"/>
        <v>-1.1169004696415494E-2</v>
      </c>
      <c r="H131" s="7">
        <v>1219.8</v>
      </c>
      <c r="I131" s="5">
        <f t="shared" si="3"/>
        <v>-2.3746172877885182E-3</v>
      </c>
      <c r="J131" s="7">
        <v>1782.8</v>
      </c>
      <c r="K131" s="5">
        <f t="shared" si="4"/>
        <v>-2.3250938410791467E-3</v>
      </c>
      <c r="L131" s="7">
        <v>10675.85</v>
      </c>
      <c r="M131" s="9">
        <f t="shared" si="5"/>
        <v>-6.2655442426433209E-3</v>
      </c>
      <c r="N131" s="7">
        <v>1219.8</v>
      </c>
      <c r="O131" s="5">
        <f t="shared" si="6"/>
        <v>-2.3746172877885182E-3</v>
      </c>
      <c r="P131" s="7">
        <v>6130.75</v>
      </c>
      <c r="Q131" s="5">
        <f t="shared" si="7"/>
        <v>5.6514653217407344E-3</v>
      </c>
      <c r="R131" s="7">
        <v>1922.7</v>
      </c>
      <c r="S131" s="5">
        <f t="shared" si="8"/>
        <v>-6.759040473608859E-4</v>
      </c>
      <c r="T131" s="7">
        <v>8901.4500000000007</v>
      </c>
      <c r="U131" s="5">
        <f t="shared" si="9"/>
        <v>9.4417790176546928E-3</v>
      </c>
      <c r="V131" s="7">
        <v>3053.95</v>
      </c>
      <c r="W131" s="5">
        <f t="shared" si="10"/>
        <v>8.6810537370995348E-4</v>
      </c>
      <c r="X131" s="7">
        <v>2521.5500000000002</v>
      </c>
      <c r="Y131" s="5">
        <f t="shared" si="11"/>
        <v>3.7149285336134843E-3</v>
      </c>
      <c r="Z131" s="7">
        <v>5594.45</v>
      </c>
      <c r="AA131" s="5">
        <f t="shared" si="12"/>
        <v>-4.0315801830284872E-3</v>
      </c>
      <c r="AB131" s="10">
        <v>633.65</v>
      </c>
      <c r="AC131" s="5">
        <f t="shared" si="13"/>
        <v>6.3146264628845337E-4</v>
      </c>
      <c r="AD131" s="11">
        <v>12074.95</v>
      </c>
      <c r="AE131" s="5">
        <f t="shared" si="14"/>
        <v>1.4657685822086295E-2</v>
      </c>
    </row>
    <row r="132" spans="1:31" ht="13.8">
      <c r="A132" s="12">
        <v>45635</v>
      </c>
      <c r="B132" s="7">
        <v>1923.65</v>
      </c>
      <c r="C132" s="4">
        <f t="shared" si="0"/>
        <v>6.5001757336104844E-4</v>
      </c>
      <c r="D132" s="8">
        <v>580.1</v>
      </c>
      <c r="E132" s="4">
        <f t="shared" si="1"/>
        <v>7.7006653523452916E-3</v>
      </c>
      <c r="F132" s="7">
        <v>2639.35</v>
      </c>
      <c r="G132" s="4">
        <f t="shared" si="2"/>
        <v>2.0246395589719132E-2</v>
      </c>
      <c r="H132" s="7">
        <v>1216.5999999999999</v>
      </c>
      <c r="I132" s="5">
        <f t="shared" si="3"/>
        <v>-2.626827975751052E-3</v>
      </c>
      <c r="J132" s="7">
        <v>1777.85</v>
      </c>
      <c r="K132" s="5">
        <f t="shared" si="4"/>
        <v>-2.7803930118748899E-3</v>
      </c>
      <c r="L132" s="7">
        <v>11122</v>
      </c>
      <c r="M132" s="9">
        <f t="shared" si="5"/>
        <v>4.0940947527869177E-2</v>
      </c>
      <c r="N132" s="7">
        <v>1216.5999999999999</v>
      </c>
      <c r="O132" s="5">
        <f t="shared" si="6"/>
        <v>-2.626827975751052E-3</v>
      </c>
      <c r="P132" s="7">
        <v>5959.65</v>
      </c>
      <c r="Q132" s="5">
        <f t="shared" si="7"/>
        <v>-2.8305337046179168E-2</v>
      </c>
      <c r="R132" s="7">
        <v>1909.9</v>
      </c>
      <c r="S132" s="5">
        <f t="shared" si="8"/>
        <v>-6.6795635291819642E-3</v>
      </c>
      <c r="T132" s="7">
        <v>8918.6</v>
      </c>
      <c r="U132" s="5">
        <f t="shared" si="9"/>
        <v>1.9247987850593477E-3</v>
      </c>
      <c r="V132" s="7">
        <v>3104.6</v>
      </c>
      <c r="W132" s="5">
        <f t="shared" si="10"/>
        <v>1.6449047918972757E-2</v>
      </c>
      <c r="X132" s="7">
        <v>2488.85</v>
      </c>
      <c r="Y132" s="5">
        <f t="shared" si="11"/>
        <v>-1.3053035401925895E-2</v>
      </c>
      <c r="Z132" s="7">
        <v>5677.75</v>
      </c>
      <c r="AA132" s="5">
        <f t="shared" si="12"/>
        <v>1.4779992617047542E-2</v>
      </c>
      <c r="AB132" s="10">
        <v>607.75</v>
      </c>
      <c r="AC132" s="5">
        <f t="shared" si="13"/>
        <v>-4.1733138331840391E-2</v>
      </c>
      <c r="AD132" s="11">
        <v>12452.8</v>
      </c>
      <c r="AE132" s="5">
        <f t="shared" si="14"/>
        <v>3.0812438479672698E-2</v>
      </c>
    </row>
    <row r="133" spans="1:31" ht="13.8">
      <c r="A133" s="13">
        <v>45636</v>
      </c>
      <c r="B133" s="7">
        <v>1948.55</v>
      </c>
      <c r="C133" s="4">
        <f t="shared" si="0"/>
        <v>1.286108321860247E-2</v>
      </c>
      <c r="D133" s="8">
        <v>582.79999999999995</v>
      </c>
      <c r="E133" s="4">
        <f t="shared" si="1"/>
        <v>4.6435718490310494E-3</v>
      </c>
      <c r="F133" s="7">
        <v>2666.4</v>
      </c>
      <c r="G133" s="4">
        <f t="shared" si="2"/>
        <v>1.0196573289560614E-2</v>
      </c>
      <c r="H133" s="7">
        <v>1207.25</v>
      </c>
      <c r="I133" s="5">
        <f t="shared" si="3"/>
        <v>-7.715037132953591E-3</v>
      </c>
      <c r="J133" s="7">
        <v>1763.55</v>
      </c>
      <c r="K133" s="5">
        <f t="shared" si="4"/>
        <v>-8.0759460786660447E-3</v>
      </c>
      <c r="L133" s="7">
        <v>11197.75</v>
      </c>
      <c r="M133" s="9">
        <f t="shared" si="5"/>
        <v>6.7877364968608519E-3</v>
      </c>
      <c r="N133" s="7">
        <v>1207.25</v>
      </c>
      <c r="O133" s="5">
        <f t="shared" si="6"/>
        <v>-7.715037132953591E-3</v>
      </c>
      <c r="P133" s="7">
        <v>5932.6</v>
      </c>
      <c r="Q133" s="5">
        <f t="shared" si="7"/>
        <v>-4.5491890349150998E-3</v>
      </c>
      <c r="R133" s="7">
        <v>1936.35</v>
      </c>
      <c r="S133" s="5">
        <f t="shared" si="8"/>
        <v>1.3753872971719013E-2</v>
      </c>
      <c r="T133" s="7">
        <v>9008.5499999999993</v>
      </c>
      <c r="U133" s="5">
        <f t="shared" si="9"/>
        <v>1.0035142770581013E-2</v>
      </c>
      <c r="V133" s="7">
        <v>3181.8</v>
      </c>
      <c r="W133" s="5">
        <f t="shared" si="10"/>
        <v>2.4562191778796528E-2</v>
      </c>
      <c r="X133" s="7">
        <v>2520.1999999999998</v>
      </c>
      <c r="Y133" s="5">
        <f t="shared" si="11"/>
        <v>1.2517507050752405E-2</v>
      </c>
      <c r="Z133" s="7">
        <v>5800.65</v>
      </c>
      <c r="AA133" s="5">
        <f t="shared" si="12"/>
        <v>2.1414952745067835E-2</v>
      </c>
      <c r="AB133" s="10">
        <v>613.9</v>
      </c>
      <c r="AC133" s="5">
        <f t="shared" si="13"/>
        <v>1.0068435237217805E-2</v>
      </c>
      <c r="AD133" s="11">
        <v>12501.35</v>
      </c>
      <c r="AE133" s="5">
        <f t="shared" si="14"/>
        <v>3.8911412536887496E-3</v>
      </c>
    </row>
    <row r="134" spans="1:31" ht="13.8">
      <c r="A134" s="13">
        <v>45637</v>
      </c>
      <c r="B134" s="7">
        <v>1974.15</v>
      </c>
      <c r="C134" s="4">
        <f t="shared" si="0"/>
        <v>1.305241973421958E-2</v>
      </c>
      <c r="D134" s="8">
        <v>585.29999999999995</v>
      </c>
      <c r="E134" s="4">
        <f t="shared" si="1"/>
        <v>4.2804619761254332E-3</v>
      </c>
      <c r="F134" s="7">
        <v>2624.35</v>
      </c>
      <c r="G134" s="4">
        <f t="shared" si="2"/>
        <v>-1.5896001678083149E-2</v>
      </c>
      <c r="H134" s="7">
        <v>1212.05</v>
      </c>
      <c r="I134" s="5">
        <f t="shared" si="3"/>
        <v>3.96809515009289E-3</v>
      </c>
      <c r="J134" s="7">
        <v>1762.8</v>
      </c>
      <c r="K134" s="5">
        <f t="shared" si="4"/>
        <v>-4.2536901402789618E-4</v>
      </c>
      <c r="L134" s="7">
        <v>11167.75</v>
      </c>
      <c r="M134" s="9">
        <f t="shared" si="5"/>
        <v>-2.6827048795923705E-3</v>
      </c>
      <c r="N134" s="7">
        <v>1212.05</v>
      </c>
      <c r="O134" s="5">
        <f t="shared" si="6"/>
        <v>3.96809515009289E-3</v>
      </c>
      <c r="P134" s="7">
        <v>5927.95</v>
      </c>
      <c r="Q134" s="5">
        <f t="shared" si="7"/>
        <v>-7.8411207545148079E-4</v>
      </c>
      <c r="R134" s="7">
        <v>1930.9</v>
      </c>
      <c r="S134" s="5">
        <f t="shared" si="8"/>
        <v>-2.8185421723349248E-3</v>
      </c>
      <c r="T134" s="7">
        <v>8996.2000000000007</v>
      </c>
      <c r="U134" s="5">
        <f t="shared" si="9"/>
        <v>-1.3718604187107628E-3</v>
      </c>
      <c r="V134" s="7">
        <v>3184.55</v>
      </c>
      <c r="W134" s="5">
        <f t="shared" si="10"/>
        <v>8.6391736899132845E-4</v>
      </c>
      <c r="X134" s="7">
        <v>2531.4499999999998</v>
      </c>
      <c r="Y134" s="5">
        <f t="shared" si="11"/>
        <v>4.4539976436244891E-3</v>
      </c>
      <c r="Z134" s="7">
        <v>5988.45</v>
      </c>
      <c r="AA134" s="5">
        <f t="shared" si="12"/>
        <v>3.1862633795707307E-2</v>
      </c>
      <c r="AB134" s="10">
        <v>632.9</v>
      </c>
      <c r="AC134" s="5">
        <f t="shared" si="13"/>
        <v>3.0480383347809024E-2</v>
      </c>
      <c r="AD134" s="11">
        <v>12645.3</v>
      </c>
      <c r="AE134" s="5">
        <f t="shared" si="14"/>
        <v>1.1448966156232731E-2</v>
      </c>
    </row>
    <row r="135" spans="1:31" ht="13.8">
      <c r="A135" s="13">
        <v>45638</v>
      </c>
      <c r="B135" s="7">
        <v>1987</v>
      </c>
      <c r="C135" s="4">
        <f t="shared" si="0"/>
        <v>6.4880376033744722E-3</v>
      </c>
      <c r="D135" s="8">
        <v>589.29999999999995</v>
      </c>
      <c r="E135" s="4">
        <f t="shared" si="1"/>
        <v>6.810855546692497E-3</v>
      </c>
      <c r="F135" s="7">
        <v>2650.45</v>
      </c>
      <c r="G135" s="4">
        <f t="shared" si="2"/>
        <v>9.8961905692654846E-3</v>
      </c>
      <c r="H135" s="7">
        <v>1227</v>
      </c>
      <c r="I135" s="5">
        <f t="shared" si="3"/>
        <v>1.2259024807167182E-2</v>
      </c>
      <c r="J135" s="7">
        <v>1789.6</v>
      </c>
      <c r="K135" s="5">
        <f t="shared" si="4"/>
        <v>1.5088677208087972E-2</v>
      </c>
      <c r="L135" s="7">
        <v>11273.45</v>
      </c>
      <c r="M135" s="9">
        <f t="shared" si="5"/>
        <v>9.4202432721072673E-3</v>
      </c>
      <c r="N135" s="7">
        <v>1227</v>
      </c>
      <c r="O135" s="5">
        <f t="shared" si="6"/>
        <v>1.2259024807167182E-2</v>
      </c>
      <c r="P135" s="7">
        <v>5951.7</v>
      </c>
      <c r="Q135" s="5">
        <f t="shared" si="7"/>
        <v>3.9984396243924088E-3</v>
      </c>
      <c r="R135" s="7">
        <v>1936.2</v>
      </c>
      <c r="S135" s="5">
        <f t="shared" si="8"/>
        <v>2.7410738374781243E-3</v>
      </c>
      <c r="T135" s="7">
        <v>9195.9500000000007</v>
      </c>
      <c r="U135" s="5">
        <f t="shared" si="9"/>
        <v>2.1960903786471631E-2</v>
      </c>
      <c r="V135" s="7">
        <v>3190.35</v>
      </c>
      <c r="W135" s="5">
        <f t="shared" si="10"/>
        <v>1.819636888532842E-3</v>
      </c>
      <c r="X135" s="7">
        <v>2523.75</v>
      </c>
      <c r="Y135" s="5">
        <f t="shared" si="11"/>
        <v>-3.0463704521700272E-3</v>
      </c>
      <c r="Z135" s="7">
        <v>5984.4</v>
      </c>
      <c r="AA135" s="5">
        <f t="shared" si="12"/>
        <v>-6.7653067640069365E-4</v>
      </c>
      <c r="AB135" s="10">
        <v>635.9</v>
      </c>
      <c r="AC135" s="5">
        <f t="shared" si="13"/>
        <v>4.7288864921024428E-3</v>
      </c>
      <c r="AD135" s="11">
        <v>13130.7</v>
      </c>
      <c r="AE135" s="5">
        <f t="shared" si="14"/>
        <v>3.7667395284318166E-2</v>
      </c>
    </row>
    <row r="136" spans="1:31" ht="13.8">
      <c r="A136" s="13">
        <v>45639</v>
      </c>
      <c r="B136" s="7">
        <v>1999.7</v>
      </c>
      <c r="C136" s="4">
        <f t="shared" si="0"/>
        <v>6.3712057391403865E-3</v>
      </c>
      <c r="D136" s="8">
        <v>584.79999999999995</v>
      </c>
      <c r="E136" s="4">
        <f t="shared" si="1"/>
        <v>-7.6654834082989474E-3</v>
      </c>
      <c r="F136" s="7">
        <v>2641.85</v>
      </c>
      <c r="G136" s="4">
        <f t="shared" si="2"/>
        <v>-3.250007584538177E-3</v>
      </c>
      <c r="H136" s="7">
        <v>1260.95</v>
      </c>
      <c r="I136" s="5">
        <f t="shared" si="3"/>
        <v>2.7293239397304863E-2</v>
      </c>
      <c r="J136" s="7">
        <v>1796.4</v>
      </c>
      <c r="K136" s="5">
        <f t="shared" si="4"/>
        <v>3.7925310376632328E-3</v>
      </c>
      <c r="L136" s="7">
        <v>11131.75</v>
      </c>
      <c r="M136" s="9">
        <f t="shared" si="5"/>
        <v>-1.2649018022657979E-2</v>
      </c>
      <c r="N136" s="7">
        <v>1260.95</v>
      </c>
      <c r="O136" s="5">
        <f t="shared" si="6"/>
        <v>2.7293239397304863E-2</v>
      </c>
      <c r="P136" s="7">
        <v>5876.7</v>
      </c>
      <c r="Q136" s="5">
        <f t="shared" si="7"/>
        <v>-1.2681513159371683E-2</v>
      </c>
      <c r="R136" s="7">
        <v>1968.8</v>
      </c>
      <c r="S136" s="5">
        <f t="shared" si="8"/>
        <v>1.6696930790874944E-2</v>
      </c>
      <c r="T136" s="7">
        <v>9300.75</v>
      </c>
      <c r="U136" s="5">
        <f t="shared" si="9"/>
        <v>1.1331872329286089E-2</v>
      </c>
      <c r="V136" s="7">
        <v>3195.4</v>
      </c>
      <c r="W136" s="5">
        <f t="shared" si="10"/>
        <v>1.5816469648074376E-3</v>
      </c>
      <c r="X136" s="7">
        <v>2521.9</v>
      </c>
      <c r="Y136" s="5">
        <f t="shared" si="11"/>
        <v>-7.3330495888574451E-4</v>
      </c>
      <c r="Z136" s="7">
        <v>6051.45</v>
      </c>
      <c r="AA136" s="5">
        <f t="shared" si="12"/>
        <v>1.1141829390169906E-2</v>
      </c>
      <c r="AB136" s="10">
        <v>639.79999999999995</v>
      </c>
      <c r="AC136" s="5">
        <f t="shared" si="13"/>
        <v>6.114309242055525E-3</v>
      </c>
      <c r="AD136" s="11">
        <v>12990</v>
      </c>
      <c r="AE136" s="5">
        <f t="shared" si="14"/>
        <v>-1.0773169234718046E-2</v>
      </c>
    </row>
    <row r="137" spans="1:31" ht="13.8">
      <c r="A137" s="13">
        <v>45642</v>
      </c>
      <c r="B137" s="7">
        <v>1980.05</v>
      </c>
      <c r="C137" s="4">
        <f t="shared" si="0"/>
        <v>-9.8750723959634794E-3</v>
      </c>
      <c r="D137" s="8">
        <v>584.1</v>
      </c>
      <c r="E137" s="4">
        <f t="shared" si="1"/>
        <v>-1.1977073893049521E-3</v>
      </c>
      <c r="F137" s="7">
        <v>2690.75</v>
      </c>
      <c r="G137" s="4">
        <f t="shared" si="2"/>
        <v>1.8340535844233414E-2</v>
      </c>
      <c r="H137" s="7">
        <v>1286.8</v>
      </c>
      <c r="I137" s="5">
        <f t="shared" si="3"/>
        <v>2.0293111256654995E-2</v>
      </c>
      <c r="J137" s="7">
        <v>1775.55</v>
      </c>
      <c r="K137" s="5">
        <f t="shared" si="4"/>
        <v>-1.1674428145570726E-2</v>
      </c>
      <c r="L137" s="7">
        <v>11023.5</v>
      </c>
      <c r="M137" s="9">
        <f t="shared" si="5"/>
        <v>-9.7720279771913356E-3</v>
      </c>
      <c r="N137" s="7">
        <v>1286.8</v>
      </c>
      <c r="O137" s="5">
        <f t="shared" si="6"/>
        <v>2.0293111256654995E-2</v>
      </c>
      <c r="P137" s="7">
        <v>5856.45</v>
      </c>
      <c r="Q137" s="5">
        <f t="shared" si="7"/>
        <v>-3.4517619063908641E-3</v>
      </c>
      <c r="R137" s="7">
        <v>1954.4</v>
      </c>
      <c r="S137" s="5">
        <f t="shared" si="8"/>
        <v>-7.3409791333153337E-3</v>
      </c>
      <c r="T137" s="7">
        <v>9284.7000000000007</v>
      </c>
      <c r="U137" s="5">
        <f t="shared" si="9"/>
        <v>-1.7271579638762067E-3</v>
      </c>
      <c r="V137" s="7">
        <v>3197.3</v>
      </c>
      <c r="W137" s="5">
        <f t="shared" si="10"/>
        <v>5.9442803696283918E-4</v>
      </c>
      <c r="X137" s="7">
        <v>2527.9</v>
      </c>
      <c r="Y137" s="5">
        <f t="shared" si="11"/>
        <v>2.3763328541639844E-3</v>
      </c>
      <c r="Z137" s="7">
        <v>6003</v>
      </c>
      <c r="AA137" s="5">
        <f t="shared" si="12"/>
        <v>-8.0385684784040276E-3</v>
      </c>
      <c r="AB137" s="10">
        <v>645.1</v>
      </c>
      <c r="AC137" s="5">
        <f t="shared" si="13"/>
        <v>8.2497160227785488E-3</v>
      </c>
      <c r="AD137" s="11">
        <v>13171.95</v>
      </c>
      <c r="AE137" s="5">
        <f t="shared" si="14"/>
        <v>1.3909737893642936E-2</v>
      </c>
    </row>
    <row r="138" spans="1:31" ht="13.8">
      <c r="A138" s="13">
        <v>45643</v>
      </c>
      <c r="B138" s="7">
        <v>1976.6</v>
      </c>
      <c r="C138" s="4">
        <f t="shared" si="0"/>
        <v>-1.7438999529102918E-3</v>
      </c>
      <c r="D138" s="8">
        <v>589.75</v>
      </c>
      <c r="E138" s="4">
        <f t="shared" si="1"/>
        <v>9.6265172415207472E-3</v>
      </c>
      <c r="F138" s="7">
        <v>2661.8</v>
      </c>
      <c r="G138" s="4">
        <f t="shared" si="2"/>
        <v>-1.0817379491951802E-2</v>
      </c>
      <c r="H138" s="7">
        <v>1280.3499999999999</v>
      </c>
      <c r="I138" s="5">
        <f t="shared" si="3"/>
        <v>-5.0250383284282819E-3</v>
      </c>
      <c r="J138" s="7">
        <v>1770.75</v>
      </c>
      <c r="K138" s="5">
        <f t="shared" si="4"/>
        <v>-2.7070484342802902E-3</v>
      </c>
      <c r="L138" s="7">
        <v>11270</v>
      </c>
      <c r="M138" s="9">
        <f t="shared" si="5"/>
        <v>2.2114970396786435E-2</v>
      </c>
      <c r="N138" s="7">
        <v>1280.3499999999999</v>
      </c>
      <c r="O138" s="5">
        <f t="shared" si="6"/>
        <v>-5.0250383284282819E-3</v>
      </c>
      <c r="P138" s="7">
        <v>5847.4</v>
      </c>
      <c r="Q138" s="5">
        <f t="shared" si="7"/>
        <v>-1.5464999643215317E-3</v>
      </c>
      <c r="R138" s="7">
        <v>1950.6</v>
      </c>
      <c r="S138" s="5">
        <f t="shared" si="8"/>
        <v>-1.9462234056161064E-3</v>
      </c>
      <c r="T138" s="7">
        <v>9402.9500000000007</v>
      </c>
      <c r="U138" s="5">
        <f t="shared" si="9"/>
        <v>1.2655585723947069E-2</v>
      </c>
      <c r="V138" s="7">
        <v>3181.2</v>
      </c>
      <c r="W138" s="5">
        <f t="shared" si="10"/>
        <v>-5.0482195474539464E-3</v>
      </c>
      <c r="X138" s="7">
        <v>2453.0500000000002</v>
      </c>
      <c r="Y138" s="5">
        <f t="shared" si="11"/>
        <v>-3.0056770267331126E-2</v>
      </c>
      <c r="Z138" s="7">
        <v>5892.55</v>
      </c>
      <c r="AA138" s="5">
        <f t="shared" si="12"/>
        <v>-1.8570503114808123E-2</v>
      </c>
      <c r="AB138" s="10">
        <v>633.45000000000005</v>
      </c>
      <c r="AC138" s="5">
        <f t="shared" si="13"/>
        <v>-1.8224273490133697E-2</v>
      </c>
      <c r="AD138" s="11">
        <v>13199</v>
      </c>
      <c r="AE138" s="5">
        <f t="shared" si="14"/>
        <v>2.0515005706662945E-3</v>
      </c>
    </row>
    <row r="139" spans="1:31" ht="13.8">
      <c r="A139" s="13">
        <v>45644</v>
      </c>
      <c r="B139" s="7">
        <v>1979.15</v>
      </c>
      <c r="C139" s="4">
        <f t="shared" si="0"/>
        <v>1.2892626446145809E-3</v>
      </c>
      <c r="D139" s="8">
        <v>596.79999999999995</v>
      </c>
      <c r="E139" s="4">
        <f t="shared" si="1"/>
        <v>1.18833306017665E-2</v>
      </c>
      <c r="F139" s="7">
        <v>2805.95</v>
      </c>
      <c r="G139" s="4">
        <f t="shared" si="2"/>
        <v>5.2739576891817949E-2</v>
      </c>
      <c r="H139" s="7">
        <v>1268.0999999999999</v>
      </c>
      <c r="I139" s="5">
        <f t="shared" si="3"/>
        <v>-9.6137607955890884E-3</v>
      </c>
      <c r="J139" s="7">
        <v>1778.9</v>
      </c>
      <c r="K139" s="5">
        <f t="shared" si="4"/>
        <v>4.5920100974921069E-3</v>
      </c>
      <c r="L139" s="7">
        <v>11184.05</v>
      </c>
      <c r="M139" s="9">
        <f t="shared" si="5"/>
        <v>-7.655671897834811E-3</v>
      </c>
      <c r="N139" s="7">
        <v>1268.0999999999999</v>
      </c>
      <c r="O139" s="5">
        <f t="shared" si="6"/>
        <v>-9.6137607955890884E-3</v>
      </c>
      <c r="P139" s="7">
        <v>5849.75</v>
      </c>
      <c r="Q139" s="5">
        <f t="shared" si="7"/>
        <v>4.0180728324709717E-4</v>
      </c>
      <c r="R139" s="7">
        <v>1960.35</v>
      </c>
      <c r="S139" s="5">
        <f t="shared" si="8"/>
        <v>4.9860111732399903E-3</v>
      </c>
      <c r="T139" s="7">
        <v>9471.35</v>
      </c>
      <c r="U139" s="5">
        <f t="shared" si="9"/>
        <v>7.2479826472267818E-3</v>
      </c>
      <c r="V139" s="7">
        <v>3176.55</v>
      </c>
      <c r="W139" s="5">
        <f t="shared" si="10"/>
        <v>-1.4627819052794352E-3</v>
      </c>
      <c r="X139" s="7">
        <v>2479.25</v>
      </c>
      <c r="Y139" s="5">
        <f t="shared" si="11"/>
        <v>1.0623946811240114E-2</v>
      </c>
      <c r="Z139" s="7">
        <v>5666.9</v>
      </c>
      <c r="AA139" s="5">
        <f t="shared" si="12"/>
        <v>-3.9046610143930988E-2</v>
      </c>
      <c r="AB139" s="10">
        <v>640.85</v>
      </c>
      <c r="AC139" s="5">
        <f t="shared" si="13"/>
        <v>1.1614350127770769E-2</v>
      </c>
      <c r="AD139" s="11">
        <v>12841.35</v>
      </c>
      <c r="AE139" s="5">
        <f t="shared" si="14"/>
        <v>-2.7470636224928534E-2</v>
      </c>
    </row>
    <row r="140" spans="1:31" ht="13.8">
      <c r="A140" s="13">
        <v>45645</v>
      </c>
      <c r="B140" s="7">
        <v>1946.2</v>
      </c>
      <c r="C140" s="4">
        <f t="shared" si="0"/>
        <v>-1.6788706198809462E-2</v>
      </c>
      <c r="D140" s="8">
        <v>600.04999999999995</v>
      </c>
      <c r="E140" s="4">
        <f t="shared" si="1"/>
        <v>5.4309361878993401E-3</v>
      </c>
      <c r="F140" s="7">
        <v>2891.05</v>
      </c>
      <c r="G140" s="4">
        <f t="shared" si="2"/>
        <v>2.9877595376129107E-2</v>
      </c>
      <c r="H140" s="7">
        <v>1231.8499999999999</v>
      </c>
      <c r="I140" s="5">
        <f t="shared" si="3"/>
        <v>-2.9002612806670353E-2</v>
      </c>
      <c r="J140" s="7">
        <v>1754.35</v>
      </c>
      <c r="K140" s="5">
        <f t="shared" si="4"/>
        <v>-1.3896777805673839E-2</v>
      </c>
      <c r="L140" s="7">
        <v>11331.5</v>
      </c>
      <c r="M140" s="9">
        <f t="shared" si="5"/>
        <v>1.3097802002997981E-2</v>
      </c>
      <c r="N140" s="7">
        <v>1231.8499999999999</v>
      </c>
      <c r="O140" s="5">
        <f t="shared" si="6"/>
        <v>-2.9002612806670353E-2</v>
      </c>
      <c r="P140" s="7">
        <v>5820.75</v>
      </c>
      <c r="Q140" s="5">
        <f t="shared" si="7"/>
        <v>-4.9698058676412651E-3</v>
      </c>
      <c r="R140" s="7">
        <v>1934.25</v>
      </c>
      <c r="S140" s="5">
        <f t="shared" si="8"/>
        <v>-1.3403374281590752E-2</v>
      </c>
      <c r="T140" s="7">
        <v>9657.1</v>
      </c>
      <c r="U140" s="5">
        <f t="shared" si="9"/>
        <v>1.9421943637783233E-2</v>
      </c>
      <c r="V140" s="7">
        <v>3117.1</v>
      </c>
      <c r="W140" s="5">
        <f t="shared" si="10"/>
        <v>-1.8892619794730683E-2</v>
      </c>
      <c r="X140" s="7">
        <v>2459.65</v>
      </c>
      <c r="Y140" s="5">
        <f t="shared" si="11"/>
        <v>-7.9370316848405148E-3</v>
      </c>
      <c r="Z140" s="7">
        <v>5579.7</v>
      </c>
      <c r="AA140" s="5">
        <f t="shared" si="12"/>
        <v>-1.5507219503913289E-2</v>
      </c>
      <c r="AB140" s="10">
        <v>640.95000000000005</v>
      </c>
      <c r="AC140" s="5">
        <f t="shared" si="13"/>
        <v>1.5603058231057249E-4</v>
      </c>
      <c r="AD140" s="11">
        <v>13120.65</v>
      </c>
      <c r="AE140" s="5">
        <f t="shared" si="14"/>
        <v>2.1516892049782629E-2</v>
      </c>
    </row>
    <row r="141" spans="1:31" ht="13.8">
      <c r="A141" s="13">
        <v>45646</v>
      </c>
      <c r="B141" s="7">
        <v>1922.15</v>
      </c>
      <c r="C141" s="4">
        <f t="shared" si="0"/>
        <v>-1.2434402198427799E-2</v>
      </c>
      <c r="D141" s="8">
        <v>592.4</v>
      </c>
      <c r="E141" s="4">
        <f t="shared" si="1"/>
        <v>-1.28309026838066E-2</v>
      </c>
      <c r="F141" s="7">
        <v>2805.2</v>
      </c>
      <c r="G141" s="4">
        <f t="shared" si="2"/>
        <v>-3.0144920257647808E-2</v>
      </c>
      <c r="H141" s="7">
        <v>1239.25</v>
      </c>
      <c r="I141" s="5">
        <f t="shared" si="3"/>
        <v>5.9892534664996791E-3</v>
      </c>
      <c r="J141" s="7">
        <v>1686.05</v>
      </c>
      <c r="K141" s="5">
        <f t="shared" si="4"/>
        <v>-3.9709902812969745E-2</v>
      </c>
      <c r="L141" s="7">
        <v>10746.75</v>
      </c>
      <c r="M141" s="9">
        <f t="shared" si="5"/>
        <v>-5.2983074874163302E-2</v>
      </c>
      <c r="N141" s="7">
        <v>1239.25</v>
      </c>
      <c r="O141" s="5">
        <f t="shared" si="6"/>
        <v>5.9892534664996791E-3</v>
      </c>
      <c r="P141" s="7">
        <v>5846.75</v>
      </c>
      <c r="Q141" s="5">
        <f t="shared" si="7"/>
        <v>4.4568318898212216E-3</v>
      </c>
      <c r="R141" s="7">
        <v>1911.35</v>
      </c>
      <c r="S141" s="5">
        <f t="shared" si="8"/>
        <v>-1.1909855776087875E-2</v>
      </c>
      <c r="T141" s="7">
        <v>9370.4500000000007</v>
      </c>
      <c r="U141" s="5">
        <f t="shared" si="9"/>
        <v>-3.013227540313658E-2</v>
      </c>
      <c r="V141" s="7">
        <v>2950.6</v>
      </c>
      <c r="W141" s="5">
        <f t="shared" si="10"/>
        <v>-5.4894542899503476E-2</v>
      </c>
      <c r="X141" s="7">
        <v>2391.65</v>
      </c>
      <c r="Y141" s="5">
        <f t="shared" si="11"/>
        <v>-2.8035559087077846E-2</v>
      </c>
      <c r="Z141" s="7">
        <v>5323.7</v>
      </c>
      <c r="AA141" s="5">
        <f t="shared" si="12"/>
        <v>-4.6966461171898725E-2</v>
      </c>
      <c r="AB141" s="10">
        <v>627.95000000000005</v>
      </c>
      <c r="AC141" s="5">
        <f t="shared" si="13"/>
        <v>-2.0490905294007846E-2</v>
      </c>
      <c r="AD141" s="11">
        <v>13316.45</v>
      </c>
      <c r="AE141" s="5">
        <f t="shared" si="14"/>
        <v>1.4812788102216709E-2</v>
      </c>
    </row>
    <row r="142" spans="1:31" ht="13.8">
      <c r="A142" s="13">
        <v>45649</v>
      </c>
      <c r="B142" s="7">
        <v>1924.3</v>
      </c>
      <c r="C142" s="4">
        <f t="shared" si="0"/>
        <v>1.1179140370524651E-3</v>
      </c>
      <c r="D142" s="8">
        <v>586.70000000000005</v>
      </c>
      <c r="E142" s="4">
        <f t="shared" si="1"/>
        <v>-9.6684664618294277E-3</v>
      </c>
      <c r="F142" s="7">
        <v>2998.4</v>
      </c>
      <c r="G142" s="4">
        <f t="shared" si="2"/>
        <v>6.6603975381347699E-2</v>
      </c>
      <c r="H142" s="7">
        <v>1212.8</v>
      </c>
      <c r="I142" s="5">
        <f t="shared" si="3"/>
        <v>-2.1574622012576046E-2</v>
      </c>
      <c r="J142" s="7">
        <v>1712.4</v>
      </c>
      <c r="K142" s="5">
        <f t="shared" si="4"/>
        <v>1.5507380158210519E-2</v>
      </c>
      <c r="L142" s="7">
        <v>11115.15</v>
      </c>
      <c r="M142" s="9">
        <f t="shared" si="5"/>
        <v>3.3705659319067778E-2</v>
      </c>
      <c r="N142" s="7">
        <v>1212.8</v>
      </c>
      <c r="O142" s="5">
        <f t="shared" si="6"/>
        <v>-2.1574622012576046E-2</v>
      </c>
      <c r="P142" s="7">
        <v>5849.45</v>
      </c>
      <c r="Q142" s="5">
        <f t="shared" si="7"/>
        <v>4.616884198218455E-4</v>
      </c>
      <c r="R142" s="7">
        <v>1903</v>
      </c>
      <c r="S142" s="5">
        <f t="shared" si="8"/>
        <v>-4.378210357326523E-3</v>
      </c>
      <c r="T142" s="7">
        <v>9406.35</v>
      </c>
      <c r="U142" s="5">
        <f t="shared" si="9"/>
        <v>3.8238724110753221E-3</v>
      </c>
      <c r="V142" s="7">
        <v>2977.65</v>
      </c>
      <c r="W142" s="5">
        <f t="shared" si="10"/>
        <v>9.1258593108213045E-3</v>
      </c>
      <c r="X142" s="7">
        <v>2388.3000000000002</v>
      </c>
      <c r="Y142" s="5">
        <f t="shared" si="11"/>
        <v>-1.4016885316738695E-3</v>
      </c>
      <c r="Z142" s="7">
        <v>5132.8500000000004</v>
      </c>
      <c r="AA142" s="5">
        <f t="shared" si="12"/>
        <v>-3.650748986077676E-2</v>
      </c>
      <c r="AB142" s="10">
        <v>636.54999999999995</v>
      </c>
      <c r="AC142" s="5">
        <f t="shared" si="13"/>
        <v>1.360242404351852E-2</v>
      </c>
      <c r="AD142" s="11">
        <v>13589.6</v>
      </c>
      <c r="AE142" s="5">
        <f t="shared" si="14"/>
        <v>2.0304681249076029E-2</v>
      </c>
    </row>
    <row r="143" spans="1:31" ht="13.8">
      <c r="A143" s="13">
        <v>45650</v>
      </c>
      <c r="B143" s="7">
        <v>1909.05</v>
      </c>
      <c r="C143" s="4">
        <f t="shared" si="0"/>
        <v>-7.9565291203474737E-3</v>
      </c>
      <c r="D143" s="8">
        <v>596.85</v>
      </c>
      <c r="E143" s="4">
        <f t="shared" si="1"/>
        <v>1.7152209609233096E-2</v>
      </c>
      <c r="F143" s="7">
        <v>2910.6</v>
      </c>
      <c r="G143" s="4">
        <f t="shared" si="2"/>
        <v>-2.971956756487731E-2</v>
      </c>
      <c r="H143" s="7">
        <v>1214.5999999999999</v>
      </c>
      <c r="I143" s="5">
        <f t="shared" si="3"/>
        <v>1.4830685753676332E-3</v>
      </c>
      <c r="J143" s="7">
        <v>1704.9</v>
      </c>
      <c r="K143" s="5">
        <f t="shared" si="4"/>
        <v>-4.3894372996055283E-3</v>
      </c>
      <c r="L143" s="7">
        <v>11048.6</v>
      </c>
      <c r="M143" s="9">
        <f t="shared" si="5"/>
        <v>-6.0053194972916083E-3</v>
      </c>
      <c r="N143" s="7">
        <v>1214.5999999999999</v>
      </c>
      <c r="O143" s="5">
        <f t="shared" si="6"/>
        <v>1.4830685753676332E-3</v>
      </c>
      <c r="P143" s="7">
        <v>5782.35</v>
      </c>
      <c r="Q143" s="5">
        <f t="shared" si="7"/>
        <v>-1.1537465280087453E-2</v>
      </c>
      <c r="R143" s="7">
        <v>1896.95</v>
      </c>
      <c r="S143" s="5">
        <f t="shared" si="8"/>
        <v>-3.1842551149289622E-3</v>
      </c>
      <c r="T143" s="7">
        <v>9393.7000000000007</v>
      </c>
      <c r="U143" s="5">
        <f t="shared" si="9"/>
        <v>-1.3457413048493655E-3</v>
      </c>
      <c r="V143" s="7">
        <v>2930.65</v>
      </c>
      <c r="W143" s="5">
        <f t="shared" si="10"/>
        <v>-1.5910157383282268E-2</v>
      </c>
      <c r="X143" s="7">
        <v>2427.15</v>
      </c>
      <c r="Y143" s="5">
        <f t="shared" si="11"/>
        <v>1.6135913751284599E-2</v>
      </c>
      <c r="Z143" s="7">
        <v>5062.1499999999996</v>
      </c>
      <c r="AA143" s="5">
        <f t="shared" si="12"/>
        <v>-1.3869766234179723E-2</v>
      </c>
      <c r="AB143" s="10">
        <v>633.35</v>
      </c>
      <c r="AC143" s="5">
        <f t="shared" si="13"/>
        <v>-5.0397775780127475E-3</v>
      </c>
      <c r="AD143" s="11">
        <v>14030.95</v>
      </c>
      <c r="AE143" s="5">
        <f t="shared" si="14"/>
        <v>3.1960809544664771E-2</v>
      </c>
    </row>
    <row r="144" spans="1:31" ht="13.8">
      <c r="A144" s="13">
        <v>45652</v>
      </c>
      <c r="B144" s="7">
        <v>1907.4</v>
      </c>
      <c r="C144" s="4">
        <f t="shared" si="0"/>
        <v>-8.6467796135369457E-4</v>
      </c>
      <c r="D144" s="8">
        <v>592.95000000000005</v>
      </c>
      <c r="E144" s="4">
        <f t="shared" si="1"/>
        <v>-6.5557471302430809E-3</v>
      </c>
      <c r="F144" s="7">
        <v>2916.65</v>
      </c>
      <c r="G144" s="4">
        <f t="shared" si="2"/>
        <v>2.0764519022837347E-3</v>
      </c>
      <c r="H144" s="7">
        <v>1188.8499999999999</v>
      </c>
      <c r="I144" s="5">
        <f t="shared" si="3"/>
        <v>-2.1428351165063527E-2</v>
      </c>
      <c r="J144" s="7">
        <v>1698.7</v>
      </c>
      <c r="K144" s="5">
        <f t="shared" si="4"/>
        <v>-3.6432053459201637E-3</v>
      </c>
      <c r="L144" s="7">
        <v>11202.05</v>
      </c>
      <c r="M144" s="9">
        <f t="shared" si="5"/>
        <v>1.3793074161880995E-2</v>
      </c>
      <c r="N144" s="7">
        <v>1188.8499999999999</v>
      </c>
      <c r="O144" s="5">
        <f t="shared" si="6"/>
        <v>-2.1428351165063527E-2</v>
      </c>
      <c r="P144" s="7">
        <v>5886.75</v>
      </c>
      <c r="Q144" s="5">
        <f t="shared" si="7"/>
        <v>1.7893888243119275E-2</v>
      </c>
      <c r="R144" s="7">
        <v>1900.75</v>
      </c>
      <c r="S144" s="5">
        <f t="shared" si="8"/>
        <v>2.0012119273255867E-3</v>
      </c>
      <c r="T144" s="7">
        <v>9493.25</v>
      </c>
      <c r="U144" s="5">
        <f t="shared" si="9"/>
        <v>1.0541767930225328E-2</v>
      </c>
      <c r="V144" s="7">
        <v>2908.45</v>
      </c>
      <c r="W144" s="5">
        <f t="shared" si="10"/>
        <v>-7.603948199876441E-3</v>
      </c>
      <c r="X144" s="7">
        <v>2438.5500000000002</v>
      </c>
      <c r="Y144" s="5">
        <f t="shared" si="11"/>
        <v>4.6858708344159339E-3</v>
      </c>
      <c r="Z144" s="7">
        <v>5511</v>
      </c>
      <c r="AA144" s="5">
        <f t="shared" si="12"/>
        <v>8.4954800660899804E-2</v>
      </c>
      <c r="AB144" s="10">
        <v>632.6</v>
      </c>
      <c r="AC144" s="5">
        <f t="shared" si="13"/>
        <v>-1.1848810580930521E-3</v>
      </c>
      <c r="AD144" s="11">
        <v>14332.3</v>
      </c>
      <c r="AE144" s="5">
        <f t="shared" si="14"/>
        <v>2.1250127535740921E-2</v>
      </c>
    </row>
    <row r="145" spans="1:31" ht="13.8">
      <c r="A145" s="13">
        <v>45653</v>
      </c>
      <c r="B145" s="7">
        <v>1916.75</v>
      </c>
      <c r="C145" s="4">
        <f t="shared" si="0"/>
        <v>4.8899852941917702E-3</v>
      </c>
      <c r="D145" s="8">
        <v>585.85</v>
      </c>
      <c r="E145" s="4">
        <f t="shared" si="1"/>
        <v>-1.2046294296639717E-2</v>
      </c>
      <c r="F145" s="7">
        <v>2871.75</v>
      </c>
      <c r="G145" s="4">
        <f t="shared" si="2"/>
        <v>-1.5514097355995999E-2</v>
      </c>
      <c r="H145" s="7">
        <v>1199.95</v>
      </c>
      <c r="I145" s="5">
        <f t="shared" si="3"/>
        <v>9.2934359429340807E-3</v>
      </c>
      <c r="J145" s="7">
        <v>1711.65</v>
      </c>
      <c r="K145" s="5">
        <f t="shared" si="4"/>
        <v>7.5945649235329123E-3</v>
      </c>
      <c r="L145" s="7">
        <v>11300.9</v>
      </c>
      <c r="M145" s="9">
        <f t="shared" si="5"/>
        <v>8.7855712980763907E-3</v>
      </c>
      <c r="N145" s="7">
        <v>1199.95</v>
      </c>
      <c r="O145" s="5">
        <f t="shared" si="6"/>
        <v>9.2934359429340807E-3</v>
      </c>
      <c r="P145" s="7">
        <v>5881.05</v>
      </c>
      <c r="Q145" s="5">
        <f t="shared" si="7"/>
        <v>-9.6874529576842225E-4</v>
      </c>
      <c r="R145" s="7">
        <v>1892</v>
      </c>
      <c r="S145" s="5">
        <f t="shared" si="8"/>
        <v>-4.6140744967224177E-3</v>
      </c>
      <c r="T145" s="7">
        <v>9451.1</v>
      </c>
      <c r="U145" s="5">
        <f t="shared" si="9"/>
        <v>-4.4498828993971449E-3</v>
      </c>
      <c r="V145" s="7">
        <v>2883.95</v>
      </c>
      <c r="W145" s="5">
        <f t="shared" si="10"/>
        <v>-8.4594109884776614E-3</v>
      </c>
      <c r="X145" s="7">
        <v>2420.4499999999998</v>
      </c>
      <c r="Y145" s="5">
        <f t="shared" si="11"/>
        <v>-7.4501270710227267E-3</v>
      </c>
      <c r="Z145" s="7">
        <v>5265.2</v>
      </c>
      <c r="AA145" s="5">
        <f t="shared" si="12"/>
        <v>-4.5626963331982719E-2</v>
      </c>
      <c r="AB145" s="10">
        <v>632.6</v>
      </c>
      <c r="AC145" s="5">
        <f t="shared" si="13"/>
        <v>0</v>
      </c>
      <c r="AD145" s="11">
        <v>14687.45</v>
      </c>
      <c r="AE145" s="5">
        <f t="shared" si="14"/>
        <v>2.447765623989407E-2</v>
      </c>
    </row>
    <row r="146" spans="1:31" ht="13.8">
      <c r="A146" s="13">
        <v>45656</v>
      </c>
      <c r="B146" s="7">
        <v>1906</v>
      </c>
      <c r="C146" s="4">
        <f t="shared" si="0"/>
        <v>-5.6242382248563941E-3</v>
      </c>
      <c r="D146" s="8">
        <v>583.70000000000005</v>
      </c>
      <c r="E146" s="4">
        <f t="shared" si="1"/>
        <v>-3.6766319044192163E-3</v>
      </c>
      <c r="F146" s="7">
        <v>2857.4</v>
      </c>
      <c r="G146" s="4">
        <f t="shared" si="2"/>
        <v>-5.0094795944558108E-3</v>
      </c>
      <c r="H146" s="7">
        <v>1108.05</v>
      </c>
      <c r="I146" s="5">
        <f t="shared" si="3"/>
        <v>-7.9678175598488943E-2</v>
      </c>
      <c r="J146" s="7">
        <v>1740.85</v>
      </c>
      <c r="K146" s="5">
        <f t="shared" si="4"/>
        <v>1.6915682126814588E-2</v>
      </c>
      <c r="L146" s="7">
        <v>12630.8</v>
      </c>
      <c r="M146" s="9">
        <f t="shared" si="5"/>
        <v>0.11125590704299874</v>
      </c>
      <c r="N146" s="7">
        <v>1108.05</v>
      </c>
      <c r="O146" s="5">
        <f t="shared" si="6"/>
        <v>-7.9678175598488943E-2</v>
      </c>
      <c r="P146" s="7">
        <v>6045</v>
      </c>
      <c r="Q146" s="5">
        <f t="shared" si="7"/>
        <v>2.7496166669628664E-2</v>
      </c>
      <c r="R146" s="7">
        <v>1928.95</v>
      </c>
      <c r="S146" s="5">
        <f t="shared" si="8"/>
        <v>1.9341342792083122E-2</v>
      </c>
      <c r="T146" s="7">
        <v>9817.9500000000007</v>
      </c>
      <c r="U146" s="5">
        <f t="shared" si="9"/>
        <v>3.8081206088138565E-2</v>
      </c>
      <c r="V146" s="7">
        <v>2935.25</v>
      </c>
      <c r="W146" s="5">
        <f t="shared" si="10"/>
        <v>1.763174628766977E-2</v>
      </c>
      <c r="X146" s="7">
        <v>2353.6</v>
      </c>
      <c r="Y146" s="5">
        <f t="shared" si="11"/>
        <v>-2.8007402430146908E-2</v>
      </c>
      <c r="Z146" s="7">
        <v>4819.7</v>
      </c>
      <c r="AA146" s="5">
        <f t="shared" si="12"/>
        <v>-8.8407446107537618E-2</v>
      </c>
      <c r="AB146" s="10">
        <v>642.20000000000005</v>
      </c>
      <c r="AC146" s="5">
        <f t="shared" si="13"/>
        <v>1.5061470783865126E-2</v>
      </c>
      <c r="AD146" s="11">
        <v>14310.9</v>
      </c>
      <c r="AE146" s="5">
        <f t="shared" si="14"/>
        <v>-2.5971902970830581E-2</v>
      </c>
    </row>
    <row r="147" spans="1:31" ht="13.8">
      <c r="A147" s="13">
        <v>45657</v>
      </c>
      <c r="B147" s="7">
        <v>1880</v>
      </c>
      <c r="C147" s="4">
        <f t="shared" si="0"/>
        <v>-1.3735028390152519E-2</v>
      </c>
      <c r="D147" s="8">
        <v>592.29999999999995</v>
      </c>
      <c r="E147" s="4">
        <f t="shared" si="1"/>
        <v>1.4626111073174051E-2</v>
      </c>
      <c r="F147" s="7">
        <v>2880.4</v>
      </c>
      <c r="G147" s="4">
        <f t="shared" si="2"/>
        <v>8.0170529436539642E-3</v>
      </c>
      <c r="H147" s="7">
        <v>1122.8499999999999</v>
      </c>
      <c r="I147" s="5">
        <f t="shared" si="3"/>
        <v>1.326838238169396E-2</v>
      </c>
      <c r="J147" s="7">
        <v>1706.2</v>
      </c>
      <c r="K147" s="5">
        <f t="shared" si="4"/>
        <v>-2.0104824201018664E-2</v>
      </c>
      <c r="L147" s="7">
        <v>11886.75</v>
      </c>
      <c r="M147" s="9">
        <f t="shared" si="5"/>
        <v>-6.0713941208909467E-2</v>
      </c>
      <c r="N147" s="7">
        <v>1122.8499999999999</v>
      </c>
      <c r="O147" s="5">
        <f t="shared" si="6"/>
        <v>1.326838238169396E-2</v>
      </c>
      <c r="P147" s="7">
        <v>6098.8</v>
      </c>
      <c r="Q147" s="5">
        <f t="shared" si="7"/>
        <v>8.8605464488589851E-3</v>
      </c>
      <c r="R147" s="7">
        <v>1917.4</v>
      </c>
      <c r="S147" s="5">
        <f t="shared" si="8"/>
        <v>-6.0057117610105024E-3</v>
      </c>
      <c r="T147" s="7">
        <v>9662.9500000000007</v>
      </c>
      <c r="U147" s="5">
        <f t="shared" si="9"/>
        <v>-1.5913358308694687E-2</v>
      </c>
      <c r="V147" s="7">
        <v>2847.2</v>
      </c>
      <c r="W147" s="5">
        <f t="shared" si="10"/>
        <v>-3.0456573314338351E-2</v>
      </c>
      <c r="X147" s="7">
        <v>2368.5</v>
      </c>
      <c r="Y147" s="5">
        <f t="shared" si="11"/>
        <v>6.3107725166334887E-3</v>
      </c>
      <c r="Z147" s="7">
        <v>5227.7</v>
      </c>
      <c r="AA147" s="5">
        <f t="shared" si="12"/>
        <v>8.1259725333330243E-2</v>
      </c>
      <c r="AB147" s="10">
        <v>639.5</v>
      </c>
      <c r="AC147" s="5">
        <f t="shared" si="13"/>
        <v>-4.2131606365162985E-3</v>
      </c>
      <c r="AD147" s="11">
        <v>14412.2</v>
      </c>
      <c r="AE147" s="5">
        <f t="shared" si="14"/>
        <v>7.0535854415758829E-3</v>
      </c>
    </row>
    <row r="148" spans="1:31" ht="13.8">
      <c r="A148" s="12">
        <v>45658</v>
      </c>
      <c r="B148" s="7">
        <v>1882.5</v>
      </c>
      <c r="C148" s="4">
        <f t="shared" si="0"/>
        <v>1.3289038500537342E-3</v>
      </c>
      <c r="D148" s="8">
        <v>597.4</v>
      </c>
      <c r="E148" s="4">
        <f t="shared" si="1"/>
        <v>8.5736424990900482E-3</v>
      </c>
      <c r="F148" s="7">
        <v>2881.05</v>
      </c>
      <c r="G148" s="4">
        <f t="shared" si="2"/>
        <v>2.2563764425896627E-4</v>
      </c>
      <c r="H148" s="7">
        <v>1133.7</v>
      </c>
      <c r="I148" s="5">
        <f t="shared" si="3"/>
        <v>9.6165239990026619E-3</v>
      </c>
      <c r="J148" s="7">
        <v>1703.85</v>
      </c>
      <c r="K148" s="5">
        <f t="shared" si="4"/>
        <v>-1.378279129054181E-3</v>
      </c>
      <c r="L148" s="7">
        <v>11843.1</v>
      </c>
      <c r="M148" s="9">
        <f t="shared" si="5"/>
        <v>-3.6789148883302589E-3</v>
      </c>
      <c r="N148" s="7">
        <v>1133.7</v>
      </c>
      <c r="O148" s="5">
        <f t="shared" si="6"/>
        <v>9.6165239990026619E-3</v>
      </c>
      <c r="P148" s="7">
        <v>6073</v>
      </c>
      <c r="Q148" s="5">
        <f t="shared" si="7"/>
        <v>-4.2393136001767006E-3</v>
      </c>
      <c r="R148" s="7">
        <v>1911.95</v>
      </c>
      <c r="S148" s="5">
        <f t="shared" si="8"/>
        <v>-2.8464380010982857E-3</v>
      </c>
      <c r="T148" s="7">
        <v>9628.5499999999993</v>
      </c>
      <c r="U148" s="5">
        <f t="shared" si="9"/>
        <v>-3.5663412861131529E-3</v>
      </c>
      <c r="V148" s="7">
        <v>2854.9</v>
      </c>
      <c r="W148" s="5">
        <f t="shared" si="10"/>
        <v>2.7007610109913986E-3</v>
      </c>
      <c r="X148" s="7">
        <v>2406.6</v>
      </c>
      <c r="Y148" s="5">
        <f t="shared" si="11"/>
        <v>1.5958119640255675E-2</v>
      </c>
      <c r="Z148" s="7">
        <v>5035.2</v>
      </c>
      <c r="AA148" s="5">
        <f t="shared" si="12"/>
        <v>-3.7518163466902878E-2</v>
      </c>
      <c r="AB148" s="10">
        <v>644</v>
      </c>
      <c r="AC148" s="5">
        <f t="shared" si="13"/>
        <v>7.0121050854562578E-3</v>
      </c>
      <c r="AD148" s="11">
        <v>15428.5</v>
      </c>
      <c r="AE148" s="5">
        <f t="shared" si="14"/>
        <v>6.8141378314550499E-2</v>
      </c>
    </row>
    <row r="149" spans="1:31" ht="13.8">
      <c r="A149" s="12">
        <v>45659</v>
      </c>
      <c r="B149" s="7">
        <v>1957.85</v>
      </c>
      <c r="C149" s="4">
        <f t="shared" si="0"/>
        <v>3.9246251697330266E-2</v>
      </c>
      <c r="D149" s="8">
        <v>608.6</v>
      </c>
      <c r="E149" s="4">
        <f t="shared" si="1"/>
        <v>1.857433168086145E-2</v>
      </c>
      <c r="F149" s="7">
        <v>2901.9</v>
      </c>
      <c r="G149" s="4">
        <f t="shared" si="2"/>
        <v>7.2108838376402588E-3</v>
      </c>
      <c r="H149" s="7">
        <v>1125.5</v>
      </c>
      <c r="I149" s="5">
        <f t="shared" si="3"/>
        <v>-7.2592386767660663E-3</v>
      </c>
      <c r="J149" s="7">
        <v>1726.95</v>
      </c>
      <c r="K149" s="5">
        <f t="shared" si="4"/>
        <v>1.3466450442242813E-2</v>
      </c>
      <c r="L149" s="7">
        <v>11918.95</v>
      </c>
      <c r="M149" s="9">
        <f t="shared" si="5"/>
        <v>6.3841509987947777E-3</v>
      </c>
      <c r="N149" s="7">
        <v>1125.5</v>
      </c>
      <c r="O149" s="5">
        <f t="shared" si="6"/>
        <v>-7.2592386767660663E-3</v>
      </c>
      <c r="P149" s="7">
        <v>6144.75</v>
      </c>
      <c r="Q149" s="5">
        <f t="shared" si="7"/>
        <v>1.1745341792458494E-2</v>
      </c>
      <c r="R149" s="7">
        <v>1972.2</v>
      </c>
      <c r="S149" s="5">
        <f t="shared" si="8"/>
        <v>3.1026007256430743E-2</v>
      </c>
      <c r="T149" s="7">
        <v>9696.65</v>
      </c>
      <c r="U149" s="5">
        <f t="shared" si="9"/>
        <v>7.0478216926271519E-3</v>
      </c>
      <c r="V149" s="7">
        <v>2898.7</v>
      </c>
      <c r="W149" s="5">
        <f t="shared" si="10"/>
        <v>1.5225544399860605E-2</v>
      </c>
      <c r="X149" s="7">
        <v>2501.4499999999998</v>
      </c>
      <c r="Y149" s="5">
        <f t="shared" si="11"/>
        <v>3.8655600717238996E-2</v>
      </c>
      <c r="Z149" s="7">
        <v>5166.25</v>
      </c>
      <c r="AA149" s="5">
        <f t="shared" si="12"/>
        <v>2.5693839515799816E-2</v>
      </c>
      <c r="AB149" s="10">
        <v>653.35</v>
      </c>
      <c r="AC149" s="5">
        <f t="shared" si="13"/>
        <v>1.4414247330801485E-2</v>
      </c>
      <c r="AD149" s="11">
        <v>15169.25</v>
      </c>
      <c r="AE149" s="5">
        <f t="shared" si="14"/>
        <v>-1.6946095973886535E-2</v>
      </c>
    </row>
    <row r="150" spans="1:31" ht="13.8">
      <c r="A150" s="12">
        <v>45660</v>
      </c>
      <c r="B150" s="7">
        <v>1938.75</v>
      </c>
      <c r="C150" s="4">
        <f t="shared" si="0"/>
        <v>-9.8034968806303587E-3</v>
      </c>
      <c r="D150" s="8">
        <v>605.20000000000005</v>
      </c>
      <c r="E150" s="4">
        <f t="shared" si="1"/>
        <v>-5.6022555486697871E-3</v>
      </c>
      <c r="F150" s="7">
        <v>2937.55</v>
      </c>
      <c r="G150" s="4">
        <f t="shared" si="2"/>
        <v>1.221020572753889E-2</v>
      </c>
      <c r="H150" s="7">
        <v>1143.6500000000001</v>
      </c>
      <c r="I150" s="5">
        <f t="shared" si="3"/>
        <v>1.5997520726581685E-2</v>
      </c>
      <c r="J150" s="7">
        <v>1689.45</v>
      </c>
      <c r="K150" s="5">
        <f t="shared" si="4"/>
        <v>-2.1953814625967964E-2</v>
      </c>
      <c r="L150" s="7">
        <v>11607.95</v>
      </c>
      <c r="M150" s="9">
        <f t="shared" si="5"/>
        <v>-2.6439362310586811E-2</v>
      </c>
      <c r="N150" s="7">
        <v>1143.6500000000001</v>
      </c>
      <c r="O150" s="5">
        <f t="shared" si="6"/>
        <v>1.5997520726581685E-2</v>
      </c>
      <c r="P150" s="7">
        <v>6048.3</v>
      </c>
      <c r="Q150" s="5">
        <f t="shared" si="7"/>
        <v>-1.5820817886258453E-2</v>
      </c>
      <c r="R150" s="7">
        <v>1946.65</v>
      </c>
      <c r="S150" s="5">
        <f t="shared" si="8"/>
        <v>-1.3039724424552293E-2</v>
      </c>
      <c r="T150" s="7">
        <v>9669.65</v>
      </c>
      <c r="U150" s="5">
        <f t="shared" si="9"/>
        <v>-2.7883506393602125E-3</v>
      </c>
      <c r="V150" s="7">
        <v>2869.25</v>
      </c>
      <c r="W150" s="5">
        <f t="shared" si="10"/>
        <v>-1.0211689046057067E-2</v>
      </c>
      <c r="X150" s="7">
        <v>2482.9499999999998</v>
      </c>
      <c r="Y150" s="5">
        <f t="shared" si="11"/>
        <v>-7.4231943470169544E-3</v>
      </c>
      <c r="Z150" s="7">
        <v>5105.8999999999996</v>
      </c>
      <c r="AA150" s="5">
        <f t="shared" si="12"/>
        <v>-1.1750353018491332E-2</v>
      </c>
      <c r="AB150" s="10">
        <v>660.95</v>
      </c>
      <c r="AC150" s="5">
        <f t="shared" si="13"/>
        <v>1.1565220590253635E-2</v>
      </c>
      <c r="AD150" s="11">
        <v>15131.4</v>
      </c>
      <c r="AE150" s="5">
        <f t="shared" si="14"/>
        <v>-2.4982975405940158E-3</v>
      </c>
    </row>
    <row r="151" spans="1:31" ht="13.8">
      <c r="A151" s="12">
        <v>45663</v>
      </c>
      <c r="B151" s="7">
        <v>1937.85</v>
      </c>
      <c r="C151" s="4">
        <f t="shared" si="0"/>
        <v>-4.643244163286467E-4</v>
      </c>
      <c r="D151" s="8">
        <v>607.9</v>
      </c>
      <c r="E151" s="4">
        <f t="shared" si="1"/>
        <v>4.4514128404758834E-3</v>
      </c>
      <c r="F151" s="7">
        <v>2884.55</v>
      </c>
      <c r="G151" s="4">
        <f t="shared" si="2"/>
        <v>-1.8206992010743869E-2</v>
      </c>
      <c r="H151" s="7">
        <v>1132.1500000000001</v>
      </c>
      <c r="I151" s="5">
        <f t="shared" si="3"/>
        <v>-1.0106422254838161E-2</v>
      </c>
      <c r="J151" s="7">
        <v>1686.3</v>
      </c>
      <c r="K151" s="5">
        <f t="shared" si="4"/>
        <v>-1.8662524856762606E-3</v>
      </c>
      <c r="L151" s="7">
        <v>11025.95</v>
      </c>
      <c r="M151" s="9">
        <f t="shared" si="5"/>
        <v>-5.1438622777253785E-2</v>
      </c>
      <c r="N151" s="7">
        <v>1132.1500000000001</v>
      </c>
      <c r="O151" s="5">
        <f t="shared" si="6"/>
        <v>-1.0106422254838161E-2</v>
      </c>
      <c r="P151" s="7">
        <v>5891.65</v>
      </c>
      <c r="Q151" s="5">
        <f t="shared" si="7"/>
        <v>-2.6241146565426848E-2</v>
      </c>
      <c r="R151" s="7">
        <v>1953.05</v>
      </c>
      <c r="S151" s="5">
        <f t="shared" si="8"/>
        <v>3.2823067137910714E-3</v>
      </c>
      <c r="T151" s="7">
        <v>9631.75</v>
      </c>
      <c r="U151" s="5">
        <f t="shared" si="9"/>
        <v>-3.9271813143276811E-3</v>
      </c>
      <c r="V151" s="7">
        <v>2897.65</v>
      </c>
      <c r="W151" s="5">
        <f t="shared" si="10"/>
        <v>9.8493920793504622E-3</v>
      </c>
      <c r="X151" s="7">
        <v>2413.85</v>
      </c>
      <c r="Y151" s="5">
        <f t="shared" si="11"/>
        <v>-2.8224386178492447E-2</v>
      </c>
      <c r="Z151" s="7">
        <v>4915.45</v>
      </c>
      <c r="AA151" s="5">
        <f t="shared" si="12"/>
        <v>-3.8013427957403874E-2</v>
      </c>
      <c r="AB151" s="10">
        <v>648.35</v>
      </c>
      <c r="AC151" s="5">
        <f t="shared" si="13"/>
        <v>-1.9247520030515403E-2</v>
      </c>
      <c r="AD151" s="11">
        <v>14766.65</v>
      </c>
      <c r="AE151" s="5">
        <f t="shared" si="14"/>
        <v>-2.4400795199907635E-2</v>
      </c>
    </row>
    <row r="152" spans="1:31" ht="13.8">
      <c r="A152" s="12">
        <v>45664</v>
      </c>
      <c r="B152" s="7">
        <v>1930.85</v>
      </c>
      <c r="C152" s="4">
        <f t="shared" si="0"/>
        <v>-3.6187906217204115E-3</v>
      </c>
      <c r="D152" s="8">
        <v>616.1</v>
      </c>
      <c r="E152" s="4">
        <f t="shared" si="1"/>
        <v>1.3398893265848213E-2</v>
      </c>
      <c r="F152" s="7">
        <v>2919.7</v>
      </c>
      <c r="G152" s="4">
        <f t="shared" si="2"/>
        <v>1.2111962684806807E-2</v>
      </c>
      <c r="H152" s="7">
        <v>1184.75</v>
      </c>
      <c r="I152" s="5">
        <f t="shared" si="3"/>
        <v>4.5413302029167157E-2</v>
      </c>
      <c r="J152" s="7">
        <v>1671.15</v>
      </c>
      <c r="K152" s="5">
        <f t="shared" si="4"/>
        <v>-9.0247675027037184E-3</v>
      </c>
      <c r="L152" s="7">
        <v>11101.3</v>
      </c>
      <c r="M152" s="9">
        <f t="shared" si="5"/>
        <v>6.810633156599819E-3</v>
      </c>
      <c r="N152" s="7">
        <v>1184.75</v>
      </c>
      <c r="O152" s="5">
        <f t="shared" si="6"/>
        <v>4.5413302029167157E-2</v>
      </c>
      <c r="P152" s="7">
        <v>5907.95</v>
      </c>
      <c r="Q152" s="5">
        <f t="shared" si="7"/>
        <v>2.7628072762294529E-3</v>
      </c>
      <c r="R152" s="7">
        <v>1915.9</v>
      </c>
      <c r="S152" s="5">
        <f t="shared" si="8"/>
        <v>-1.920476708552071E-2</v>
      </c>
      <c r="T152" s="7">
        <v>9620.2000000000007</v>
      </c>
      <c r="U152" s="5">
        <f t="shared" si="9"/>
        <v>-1.1998785978271185E-3</v>
      </c>
      <c r="V152" s="7">
        <v>2926.2</v>
      </c>
      <c r="W152" s="5">
        <f t="shared" si="10"/>
        <v>9.8045893039335578E-3</v>
      </c>
      <c r="X152" s="7">
        <v>2384.5</v>
      </c>
      <c r="Y152" s="5">
        <f t="shared" si="11"/>
        <v>-1.2233524457512562E-2</v>
      </c>
      <c r="Z152" s="7">
        <v>4977.1000000000004</v>
      </c>
      <c r="AA152" s="5">
        <f t="shared" si="12"/>
        <v>1.2464086231812894E-2</v>
      </c>
      <c r="AB152" s="10">
        <v>643.6</v>
      </c>
      <c r="AC152" s="5">
        <f t="shared" si="13"/>
        <v>-7.3532588766651022E-3</v>
      </c>
      <c r="AD152" s="11">
        <v>14712.05</v>
      </c>
      <c r="AE152" s="5">
        <f t="shared" si="14"/>
        <v>-3.70437383173889E-3</v>
      </c>
    </row>
    <row r="153" spans="1:31" ht="13.8">
      <c r="A153" s="12">
        <v>45665</v>
      </c>
      <c r="B153" s="7">
        <v>1933.15</v>
      </c>
      <c r="C153" s="4">
        <f t="shared" si="0"/>
        <v>1.1904763310748023E-3</v>
      </c>
      <c r="D153" s="8">
        <v>608.4</v>
      </c>
      <c r="E153" s="4">
        <f t="shared" si="1"/>
        <v>-1.2576727635387261E-2</v>
      </c>
      <c r="F153" s="7">
        <v>2879.55</v>
      </c>
      <c r="G153" s="4">
        <f t="shared" si="2"/>
        <v>-1.3846839336524116E-2</v>
      </c>
      <c r="H153" s="7">
        <v>1181.8499999999999</v>
      </c>
      <c r="I153" s="5">
        <f t="shared" si="3"/>
        <v>-2.4507744878909401E-3</v>
      </c>
      <c r="J153" s="7">
        <v>1663.75</v>
      </c>
      <c r="K153" s="5">
        <f t="shared" si="4"/>
        <v>-4.437921464113921E-3</v>
      </c>
      <c r="L153" s="7">
        <v>11270.8</v>
      </c>
      <c r="M153" s="9">
        <f t="shared" si="5"/>
        <v>1.5153091870349061E-2</v>
      </c>
      <c r="N153" s="7">
        <v>1181.8499999999999</v>
      </c>
      <c r="O153" s="5">
        <f t="shared" si="6"/>
        <v>-2.4507744878909401E-3</v>
      </c>
      <c r="P153" s="7">
        <v>5868.4</v>
      </c>
      <c r="Q153" s="5">
        <f t="shared" si="7"/>
        <v>-6.7168772490890346E-3</v>
      </c>
      <c r="R153" s="7">
        <v>1932.25</v>
      </c>
      <c r="S153" s="5">
        <f t="shared" si="8"/>
        <v>8.4976408850336946E-3</v>
      </c>
      <c r="T153" s="7">
        <v>9558</v>
      </c>
      <c r="U153" s="5">
        <f t="shared" si="9"/>
        <v>-6.4865543263292347E-3</v>
      </c>
      <c r="V153" s="7">
        <v>2924.85</v>
      </c>
      <c r="W153" s="5">
        <f t="shared" si="10"/>
        <v>-4.6145564435636985E-4</v>
      </c>
      <c r="X153" s="7">
        <v>2361.8000000000002</v>
      </c>
      <c r="Y153" s="5">
        <f t="shared" si="11"/>
        <v>-9.5654185710977637E-3</v>
      </c>
      <c r="Z153" s="7">
        <v>4869.3500000000004</v>
      </c>
      <c r="AA153" s="5">
        <f t="shared" si="12"/>
        <v>-2.1886934139040307E-2</v>
      </c>
      <c r="AB153" s="10">
        <v>638.4</v>
      </c>
      <c r="AC153" s="5">
        <f t="shared" si="13"/>
        <v>-8.1123689826292436E-3</v>
      </c>
      <c r="AD153" s="11">
        <v>14305.1</v>
      </c>
      <c r="AE153" s="5">
        <f t="shared" si="14"/>
        <v>-2.8050768842052889E-2</v>
      </c>
    </row>
    <row r="154" spans="1:31" ht="13.8">
      <c r="A154" s="12">
        <v>45666</v>
      </c>
      <c r="B154" s="7">
        <v>1917.3</v>
      </c>
      <c r="C154" s="4">
        <f t="shared" si="0"/>
        <v>-8.232850459428627E-3</v>
      </c>
      <c r="D154" s="8">
        <v>606</v>
      </c>
      <c r="E154" s="4">
        <f t="shared" si="1"/>
        <v>-3.9525743158232464E-3</v>
      </c>
      <c r="F154" s="7">
        <v>2828.05</v>
      </c>
      <c r="G154" s="4">
        <f t="shared" si="2"/>
        <v>-1.8046603722058147E-2</v>
      </c>
      <c r="H154" s="7">
        <v>1203.25</v>
      </c>
      <c r="I154" s="5">
        <f t="shared" si="3"/>
        <v>1.7945221823411964E-2</v>
      </c>
      <c r="J154" s="7">
        <v>1642.8</v>
      </c>
      <c r="K154" s="5">
        <f t="shared" si="4"/>
        <v>-1.2671987626917864E-2</v>
      </c>
      <c r="L154" s="7">
        <v>11168.9</v>
      </c>
      <c r="M154" s="9">
        <f t="shared" si="5"/>
        <v>-9.0821802825030457E-3</v>
      </c>
      <c r="N154" s="7">
        <v>1203.25</v>
      </c>
      <c r="O154" s="5">
        <f t="shared" si="6"/>
        <v>1.7945221823411964E-2</v>
      </c>
      <c r="P154" s="7">
        <v>5824.55</v>
      </c>
      <c r="Q154" s="5">
        <f t="shared" si="7"/>
        <v>-7.5002810346552744E-3</v>
      </c>
      <c r="R154" s="7">
        <v>1934.8</v>
      </c>
      <c r="S154" s="5">
        <f t="shared" si="8"/>
        <v>1.318834961847794E-3</v>
      </c>
      <c r="T154" s="7">
        <v>9283</v>
      </c>
      <c r="U154" s="5">
        <f t="shared" si="9"/>
        <v>-2.9193729738171012E-2</v>
      </c>
      <c r="V154" s="7">
        <v>2871.95</v>
      </c>
      <c r="W154" s="5">
        <f t="shared" si="10"/>
        <v>-1.8251955753889375E-2</v>
      </c>
      <c r="X154" s="7">
        <v>2326.4499999999998</v>
      </c>
      <c r="Y154" s="5">
        <f t="shared" si="11"/>
        <v>-1.508053962427724E-2</v>
      </c>
      <c r="Z154" s="7">
        <v>4720.7</v>
      </c>
      <c r="AA154" s="5">
        <f t="shared" si="12"/>
        <v>-3.1003364274584763E-2</v>
      </c>
      <c r="AB154" s="10">
        <v>666.9</v>
      </c>
      <c r="AC154" s="5">
        <f t="shared" si="13"/>
        <v>4.3675063502661635E-2</v>
      </c>
      <c r="AD154" s="11">
        <v>13833.65</v>
      </c>
      <c r="AE154" s="5">
        <f t="shared" si="14"/>
        <v>-3.3512087167579994E-2</v>
      </c>
    </row>
    <row r="155" spans="1:31" ht="13.8">
      <c r="A155" s="13">
        <v>45667</v>
      </c>
      <c r="B155" s="7">
        <v>1966.95</v>
      </c>
      <c r="C155" s="4">
        <f t="shared" si="0"/>
        <v>2.5566173321197216E-2</v>
      </c>
      <c r="D155" s="8">
        <v>593.6</v>
      </c>
      <c r="E155" s="4">
        <f t="shared" si="1"/>
        <v>-2.0674294216143741E-2</v>
      </c>
      <c r="F155" s="7">
        <v>2739.95</v>
      </c>
      <c r="G155" s="4">
        <f t="shared" si="2"/>
        <v>-3.1647756159197175E-2</v>
      </c>
      <c r="H155" s="7">
        <v>1200.45</v>
      </c>
      <c r="I155" s="5">
        <f t="shared" si="3"/>
        <v>-2.3297427020538197E-3</v>
      </c>
      <c r="J155" s="7">
        <v>1705.6</v>
      </c>
      <c r="K155" s="5">
        <f t="shared" si="4"/>
        <v>3.7514851889121889E-2</v>
      </c>
      <c r="L155" s="7">
        <v>10827.85</v>
      </c>
      <c r="M155" s="9">
        <f t="shared" si="5"/>
        <v>-3.101161148324752E-2</v>
      </c>
      <c r="N155" s="7">
        <v>1200.45</v>
      </c>
      <c r="O155" s="5">
        <f t="shared" si="6"/>
        <v>-2.3297427020538197E-3</v>
      </c>
      <c r="P155" s="7">
        <v>5771.35</v>
      </c>
      <c r="Q155" s="5">
        <f t="shared" si="7"/>
        <v>-9.1757212909609944E-3</v>
      </c>
      <c r="R155" s="7">
        <v>1995.1</v>
      </c>
      <c r="S155" s="5">
        <f t="shared" si="8"/>
        <v>3.0690212432187322E-2</v>
      </c>
      <c r="T155" s="7">
        <v>9404.15</v>
      </c>
      <c r="U155" s="5">
        <f t="shared" si="9"/>
        <v>1.2966310792111017E-2</v>
      </c>
      <c r="V155" s="7">
        <v>2915</v>
      </c>
      <c r="W155" s="5">
        <f t="shared" si="10"/>
        <v>1.4878578238776741E-2</v>
      </c>
      <c r="X155" s="7">
        <v>2283.25</v>
      </c>
      <c r="Y155" s="5">
        <f t="shared" si="11"/>
        <v>-1.8743633971115756E-2</v>
      </c>
      <c r="Z155" s="7">
        <v>4777.6499999999996</v>
      </c>
      <c r="AA155" s="5">
        <f t="shared" si="12"/>
        <v>1.199170012756654E-2</v>
      </c>
      <c r="AB155" s="10">
        <v>673.9</v>
      </c>
      <c r="AC155" s="5">
        <f t="shared" si="13"/>
        <v>1.0441622313910751E-2</v>
      </c>
      <c r="AD155" s="11">
        <v>13436.35</v>
      </c>
      <c r="AE155" s="5">
        <f t="shared" si="14"/>
        <v>-2.9140309042563872E-2</v>
      </c>
    </row>
    <row r="156" spans="1:31" ht="13.8">
      <c r="A156" s="13">
        <v>45670</v>
      </c>
      <c r="B156" s="7">
        <v>1962.2</v>
      </c>
      <c r="C156" s="4">
        <f t="shared" si="0"/>
        <v>-2.4178269162524451E-3</v>
      </c>
      <c r="D156" s="8">
        <v>568</v>
      </c>
      <c r="E156" s="4">
        <f t="shared" si="1"/>
        <v>-4.408427313201943E-2</v>
      </c>
      <c r="F156" s="7">
        <v>2595.9499999999998</v>
      </c>
      <c r="G156" s="4">
        <f t="shared" si="2"/>
        <v>-5.3987133802553086E-2</v>
      </c>
      <c r="H156" s="7">
        <v>1116.3499999999999</v>
      </c>
      <c r="I156" s="5">
        <f t="shared" si="3"/>
        <v>-7.2632051636718903E-2</v>
      </c>
      <c r="J156" s="7">
        <v>1659.65</v>
      </c>
      <c r="K156" s="5">
        <f t="shared" si="4"/>
        <v>-2.7310218225019223E-2</v>
      </c>
      <c r="L156" s="7">
        <v>10314.799999999999</v>
      </c>
      <c r="M156" s="9">
        <f t="shared" si="5"/>
        <v>-4.8541761586060807E-2</v>
      </c>
      <c r="N156" s="7">
        <v>1116.3499999999999</v>
      </c>
      <c r="O156" s="5">
        <f t="shared" si="6"/>
        <v>-7.2632051636718903E-2</v>
      </c>
      <c r="P156" s="7">
        <v>5732.5</v>
      </c>
      <c r="Q156" s="5">
        <f t="shared" si="7"/>
        <v>-6.7542862078131538E-3</v>
      </c>
      <c r="R156" s="7">
        <v>1989.4</v>
      </c>
      <c r="S156" s="5">
        <f t="shared" si="8"/>
        <v>-2.8610886627018642E-3</v>
      </c>
      <c r="T156" s="7">
        <v>8705.5499999999993</v>
      </c>
      <c r="U156" s="5">
        <f t="shared" si="9"/>
        <v>-7.7190327906392936E-2</v>
      </c>
      <c r="V156" s="7">
        <v>2777.5</v>
      </c>
      <c r="W156" s="5">
        <f t="shared" si="10"/>
        <v>-4.8318577270807683E-2</v>
      </c>
      <c r="X156" s="7">
        <v>2176.6</v>
      </c>
      <c r="Y156" s="5">
        <f t="shared" si="11"/>
        <v>-4.7835840309827085E-2</v>
      </c>
      <c r="Z156" s="7">
        <v>4392.3</v>
      </c>
      <c r="AA156" s="5">
        <f t="shared" si="12"/>
        <v>-8.4095785928255104E-2</v>
      </c>
      <c r="AB156" s="10">
        <v>668.4</v>
      </c>
      <c r="AC156" s="5">
        <f t="shared" si="13"/>
        <v>-8.1949352309326901E-3</v>
      </c>
      <c r="AD156" s="11">
        <v>12724.05</v>
      </c>
      <c r="AE156" s="5">
        <f t="shared" si="14"/>
        <v>-5.4469817369166847E-2</v>
      </c>
    </row>
    <row r="157" spans="1:31" ht="13.8">
      <c r="A157" s="13">
        <v>45671</v>
      </c>
      <c r="B157" s="7">
        <v>1940.05</v>
      </c>
      <c r="C157" s="4">
        <f t="shared" si="0"/>
        <v>-1.1352546808163522E-2</v>
      </c>
      <c r="D157" s="8">
        <v>583.75</v>
      </c>
      <c r="E157" s="4">
        <f t="shared" si="1"/>
        <v>2.7351390261955613E-2</v>
      </c>
      <c r="F157" s="7">
        <v>2665.85</v>
      </c>
      <c r="G157" s="4">
        <f t="shared" si="2"/>
        <v>2.6570417851875101E-2</v>
      </c>
      <c r="H157" s="7">
        <v>1152.3499999999999</v>
      </c>
      <c r="I157" s="5">
        <f t="shared" si="3"/>
        <v>3.173890071205366E-2</v>
      </c>
      <c r="J157" s="7">
        <v>1647.5</v>
      </c>
      <c r="K157" s="5">
        <f t="shared" si="4"/>
        <v>-7.3477493698438038E-3</v>
      </c>
      <c r="L157" s="7">
        <v>10620.6</v>
      </c>
      <c r="M157" s="9">
        <f t="shared" si="5"/>
        <v>2.9215754296759693E-2</v>
      </c>
      <c r="N157" s="7">
        <v>1152.3499999999999</v>
      </c>
      <c r="O157" s="5">
        <f t="shared" si="6"/>
        <v>3.173890071205366E-2</v>
      </c>
      <c r="P157" s="7">
        <v>5990.3</v>
      </c>
      <c r="Q157" s="5">
        <f t="shared" si="7"/>
        <v>4.3989758595754373E-2</v>
      </c>
      <c r="R157" s="7">
        <v>1813.55</v>
      </c>
      <c r="S157" s="5">
        <f t="shared" si="8"/>
        <v>-9.2546835380116516E-2</v>
      </c>
      <c r="T157" s="7">
        <v>8592.4</v>
      </c>
      <c r="U157" s="5">
        <f t="shared" si="9"/>
        <v>-1.3082661685828988E-2</v>
      </c>
      <c r="V157" s="7">
        <v>2780.25</v>
      </c>
      <c r="W157" s="5">
        <f t="shared" si="10"/>
        <v>9.8960918516628185E-4</v>
      </c>
      <c r="X157" s="7">
        <v>2235</v>
      </c>
      <c r="Y157" s="5">
        <f t="shared" si="11"/>
        <v>2.6477201785707921E-2</v>
      </c>
      <c r="Z157" s="7">
        <v>4516.95</v>
      </c>
      <c r="AA157" s="5">
        <f t="shared" si="12"/>
        <v>2.7983979432013837E-2</v>
      </c>
      <c r="AB157" s="10">
        <v>661.1</v>
      </c>
      <c r="AC157" s="5">
        <f t="shared" si="13"/>
        <v>-1.0981682381706132E-2</v>
      </c>
      <c r="AD157" s="11">
        <v>13428.1</v>
      </c>
      <c r="AE157" s="5">
        <f t="shared" si="14"/>
        <v>5.385562275439916E-2</v>
      </c>
    </row>
    <row r="158" spans="1:31" ht="13.8">
      <c r="A158" s="13">
        <v>45672</v>
      </c>
      <c r="B158" s="7">
        <v>1949.65</v>
      </c>
      <c r="C158" s="4">
        <f t="shared" si="0"/>
        <v>4.9361233474269246E-3</v>
      </c>
      <c r="D158" s="8">
        <v>573.20000000000005</v>
      </c>
      <c r="E158" s="4">
        <f t="shared" si="1"/>
        <v>-1.8238113029090171E-2</v>
      </c>
      <c r="F158" s="7">
        <v>2596</v>
      </c>
      <c r="G158" s="4">
        <f t="shared" si="2"/>
        <v>-2.6551157265774911E-2</v>
      </c>
      <c r="H158" s="7">
        <v>1134</v>
      </c>
      <c r="I158" s="5">
        <f t="shared" si="3"/>
        <v>-1.6052130268802173E-2</v>
      </c>
      <c r="J158" s="7">
        <v>1675.95</v>
      </c>
      <c r="K158" s="5">
        <f t="shared" si="4"/>
        <v>1.7121181284794399E-2</v>
      </c>
      <c r="L158" s="7">
        <v>10849.15</v>
      </c>
      <c r="M158" s="9">
        <f t="shared" si="5"/>
        <v>2.1291224510797461E-2</v>
      </c>
      <c r="N158" s="7">
        <v>1134</v>
      </c>
      <c r="O158" s="5">
        <f t="shared" si="6"/>
        <v>-1.6052130268802173E-2</v>
      </c>
      <c r="P158" s="7">
        <v>5876.85</v>
      </c>
      <c r="Q158" s="5">
        <f t="shared" si="7"/>
        <v>-1.9120590267022286E-2</v>
      </c>
      <c r="R158" s="7">
        <v>1825.7</v>
      </c>
      <c r="S158" s="5">
        <f t="shared" si="8"/>
        <v>6.6772247812675245E-3</v>
      </c>
      <c r="T158" s="7">
        <v>8583.35</v>
      </c>
      <c r="U158" s="5">
        <f t="shared" si="9"/>
        <v>-1.0538114303614502E-3</v>
      </c>
      <c r="V158" s="7">
        <v>2779.75</v>
      </c>
      <c r="W158" s="5">
        <f t="shared" si="10"/>
        <v>-1.7985611559271833E-4</v>
      </c>
      <c r="X158" s="7">
        <v>2250.5</v>
      </c>
      <c r="Y158" s="5">
        <f t="shared" si="11"/>
        <v>6.9111856853182356E-3</v>
      </c>
      <c r="Z158" s="7">
        <v>4468.5</v>
      </c>
      <c r="AA158" s="5">
        <f t="shared" si="12"/>
        <v>-1.0784205478113359E-2</v>
      </c>
      <c r="AB158" s="10">
        <v>659.75</v>
      </c>
      <c r="AC158" s="5">
        <f t="shared" si="13"/>
        <v>-2.0441389560989882E-3</v>
      </c>
      <c r="AD158" s="11">
        <v>12672</v>
      </c>
      <c r="AE158" s="5">
        <f t="shared" si="14"/>
        <v>-5.7954691143398407E-2</v>
      </c>
    </row>
    <row r="159" spans="1:31" ht="13.8">
      <c r="A159" s="13">
        <v>45673</v>
      </c>
      <c r="B159" s="7">
        <v>1928.45</v>
      </c>
      <c r="C159" s="4">
        <f t="shared" si="0"/>
        <v>-1.093329784255981E-2</v>
      </c>
      <c r="D159" s="8">
        <v>579.45000000000005</v>
      </c>
      <c r="E159" s="4">
        <f t="shared" si="1"/>
        <v>1.0844681826383283E-2</v>
      </c>
      <c r="F159" s="7">
        <v>2545.25</v>
      </c>
      <c r="G159" s="4">
        <f t="shared" si="2"/>
        <v>-1.9742921836675545E-2</v>
      </c>
      <c r="H159" s="7">
        <v>1201.45</v>
      </c>
      <c r="I159" s="5">
        <f t="shared" si="3"/>
        <v>5.7777955374556628E-2</v>
      </c>
      <c r="J159" s="7">
        <v>1687.65</v>
      </c>
      <c r="K159" s="5">
        <f t="shared" si="4"/>
        <v>6.9568600237340829E-3</v>
      </c>
      <c r="L159" s="7">
        <v>10937.35</v>
      </c>
      <c r="M159" s="9">
        <f t="shared" si="5"/>
        <v>8.0968014001506668E-3</v>
      </c>
      <c r="N159" s="7">
        <v>1201.45</v>
      </c>
      <c r="O159" s="5">
        <f t="shared" si="6"/>
        <v>5.7777955374556628E-2</v>
      </c>
      <c r="P159" s="7">
        <v>5916.05</v>
      </c>
      <c r="Q159" s="5">
        <f t="shared" si="7"/>
        <v>6.6480923907084244E-3</v>
      </c>
      <c r="R159" s="7">
        <v>1792.25</v>
      </c>
      <c r="S159" s="5">
        <f t="shared" si="8"/>
        <v>-1.8491661386483005E-2</v>
      </c>
      <c r="T159" s="7">
        <v>8731.35</v>
      </c>
      <c r="U159" s="5">
        <f t="shared" si="9"/>
        <v>1.7095716884040633E-2</v>
      </c>
      <c r="V159" s="7">
        <v>2821.4</v>
      </c>
      <c r="W159" s="5">
        <f t="shared" si="10"/>
        <v>1.487222005704345E-2</v>
      </c>
      <c r="X159" s="7">
        <v>2278.0500000000002</v>
      </c>
      <c r="Y159" s="5">
        <f t="shared" si="11"/>
        <v>1.2167400111401322E-2</v>
      </c>
      <c r="Z159" s="7">
        <v>4382.25</v>
      </c>
      <c r="AA159" s="5">
        <f t="shared" si="12"/>
        <v>-1.9490490718790554E-2</v>
      </c>
      <c r="AB159" s="10">
        <v>652.6</v>
      </c>
      <c r="AC159" s="5">
        <f t="shared" si="13"/>
        <v>-1.0896591224213143E-2</v>
      </c>
      <c r="AD159" s="11">
        <v>13055.75</v>
      </c>
      <c r="AE159" s="5">
        <f t="shared" si="14"/>
        <v>2.9833814682036611E-2</v>
      </c>
    </row>
    <row r="160" spans="1:31" ht="13.8">
      <c r="A160" s="13">
        <v>45674</v>
      </c>
      <c r="B160" s="7">
        <v>1815.45</v>
      </c>
      <c r="C160" s="4">
        <f t="shared" si="0"/>
        <v>-6.038320057327147E-2</v>
      </c>
      <c r="D160" s="8">
        <v>579.20000000000005</v>
      </c>
      <c r="E160" s="4">
        <f t="shared" si="1"/>
        <v>-4.3153670889336599E-4</v>
      </c>
      <c r="F160" s="7">
        <v>2600.4</v>
      </c>
      <c r="G160" s="4">
        <f t="shared" si="2"/>
        <v>2.1436402343008552E-2</v>
      </c>
      <c r="H160" s="7">
        <v>1276.25</v>
      </c>
      <c r="I160" s="5">
        <f t="shared" si="3"/>
        <v>6.0396929816621307E-2</v>
      </c>
      <c r="J160" s="7">
        <v>1660.3</v>
      </c>
      <c r="K160" s="5">
        <f t="shared" si="4"/>
        <v>-1.6338719771450062E-2</v>
      </c>
      <c r="L160" s="7">
        <v>10802.1</v>
      </c>
      <c r="M160" s="9">
        <f t="shared" si="5"/>
        <v>-1.2442977631229162E-2</v>
      </c>
      <c r="N160" s="7">
        <v>1276.25</v>
      </c>
      <c r="O160" s="5">
        <f t="shared" si="6"/>
        <v>6.0396929816621307E-2</v>
      </c>
      <c r="P160" s="7">
        <v>5916.05</v>
      </c>
      <c r="Q160" s="5">
        <f t="shared" si="7"/>
        <v>0</v>
      </c>
      <c r="R160" s="7">
        <v>1788.9</v>
      </c>
      <c r="S160" s="5">
        <f t="shared" si="8"/>
        <v>-1.87090793581162E-3</v>
      </c>
      <c r="T160" s="7">
        <v>8641.5499999999993</v>
      </c>
      <c r="U160" s="5">
        <f t="shared" si="9"/>
        <v>-1.0338032197175027E-2</v>
      </c>
      <c r="V160" s="7">
        <v>2817.2</v>
      </c>
      <c r="W160" s="5">
        <f t="shared" si="10"/>
        <v>-1.4897317691467311E-3</v>
      </c>
      <c r="X160" s="7">
        <v>2301.25</v>
      </c>
      <c r="Y160" s="5">
        <f t="shared" si="11"/>
        <v>1.0132639702898927E-2</v>
      </c>
      <c r="Z160" s="7">
        <v>4383.8</v>
      </c>
      <c r="AA160" s="5">
        <f t="shared" si="12"/>
        <v>3.5363704659542274E-4</v>
      </c>
      <c r="AB160" s="10">
        <v>664.4</v>
      </c>
      <c r="AC160" s="5">
        <f t="shared" si="13"/>
        <v>1.791999357991941E-2</v>
      </c>
      <c r="AD160" s="11">
        <v>12917.1</v>
      </c>
      <c r="AE160" s="5">
        <f t="shared" si="14"/>
        <v>-1.0676634798498204E-2</v>
      </c>
    </row>
    <row r="161" spans="1:31" ht="13.8">
      <c r="A161" s="13">
        <v>45677</v>
      </c>
      <c r="B161" s="7">
        <v>1813.3</v>
      </c>
      <c r="C161" s="4">
        <f t="shared" si="0"/>
        <v>-1.1849811927426514E-3</v>
      </c>
      <c r="D161" s="8">
        <v>597.75</v>
      </c>
      <c r="E161" s="4">
        <f t="shared" si="1"/>
        <v>3.1524765266927476E-2</v>
      </c>
      <c r="F161" s="7">
        <v>2704.7</v>
      </c>
      <c r="G161" s="4">
        <f t="shared" si="2"/>
        <v>3.9325721069643389E-2</v>
      </c>
      <c r="H161" s="7">
        <v>1329.25</v>
      </c>
      <c r="I161" s="5">
        <f t="shared" si="3"/>
        <v>4.0688782905572561E-2</v>
      </c>
      <c r="J161" s="7">
        <v>1674.6</v>
      </c>
      <c r="K161" s="5">
        <f t="shared" si="4"/>
        <v>8.5760218565907424E-3</v>
      </c>
      <c r="L161" s="7">
        <v>10861.8</v>
      </c>
      <c r="M161" s="9">
        <f t="shared" si="5"/>
        <v>5.5114869550682765E-3</v>
      </c>
      <c r="N161" s="7">
        <v>1329.25</v>
      </c>
      <c r="O161" s="5">
        <f t="shared" si="6"/>
        <v>4.0688782905572561E-2</v>
      </c>
      <c r="P161" s="7">
        <v>6000.6</v>
      </c>
      <c r="Q161" s="5">
        <f t="shared" si="7"/>
        <v>1.4190467759025374E-2</v>
      </c>
      <c r="R161" s="7">
        <v>1796.2</v>
      </c>
      <c r="S161" s="5">
        <f t="shared" si="8"/>
        <v>4.0724164396794237E-3</v>
      </c>
      <c r="T161" s="7">
        <v>8662.1</v>
      </c>
      <c r="U161" s="5">
        <f t="shared" si="9"/>
        <v>2.3752225295102362E-3</v>
      </c>
      <c r="V161" s="7">
        <v>2805.25</v>
      </c>
      <c r="W161" s="5">
        <f t="shared" si="10"/>
        <v>-4.2508223262795481E-3</v>
      </c>
      <c r="X161" s="7">
        <v>2292.9499999999998</v>
      </c>
      <c r="Y161" s="5">
        <f t="shared" si="11"/>
        <v>-3.6132554221112909E-3</v>
      </c>
      <c r="Z161" s="7">
        <v>4447.25</v>
      </c>
      <c r="AA161" s="5">
        <f t="shared" si="12"/>
        <v>1.4369999456127583E-2</v>
      </c>
      <c r="AB161" s="10">
        <v>657.45</v>
      </c>
      <c r="AC161" s="5">
        <f t="shared" si="13"/>
        <v>-1.0515662206211871E-2</v>
      </c>
      <c r="AD161" s="11">
        <v>12906.5</v>
      </c>
      <c r="AE161" s="5">
        <f t="shared" si="14"/>
        <v>-8.2095452185881456E-4</v>
      </c>
    </row>
    <row r="162" spans="1:31" ht="13.8">
      <c r="A162" s="13">
        <v>45678</v>
      </c>
      <c r="B162" s="7">
        <v>1800.7</v>
      </c>
      <c r="C162" s="4">
        <f t="shared" si="0"/>
        <v>-6.9729114845200699E-3</v>
      </c>
      <c r="D162" s="8">
        <v>589.29999999999995</v>
      </c>
      <c r="E162" s="4">
        <f t="shared" si="1"/>
        <v>-1.4237214494566518E-2</v>
      </c>
      <c r="F162" s="7">
        <v>2563.5500000000002</v>
      </c>
      <c r="G162" s="4">
        <f t="shared" si="2"/>
        <v>-5.3597983782836617E-2</v>
      </c>
      <c r="H162" s="7">
        <v>1280.4000000000001</v>
      </c>
      <c r="I162" s="5">
        <f t="shared" si="3"/>
        <v>-3.744234428873984E-2</v>
      </c>
      <c r="J162" s="7">
        <v>1640.5</v>
      </c>
      <c r="K162" s="5">
        <f t="shared" si="4"/>
        <v>-2.0573257369175112E-2</v>
      </c>
      <c r="L162" s="7">
        <v>10797</v>
      </c>
      <c r="M162" s="9">
        <f t="shared" si="5"/>
        <v>-5.9837288628126649E-3</v>
      </c>
      <c r="N162" s="7">
        <v>1280.4000000000001</v>
      </c>
      <c r="O162" s="5">
        <f t="shared" si="6"/>
        <v>-3.744234428873984E-2</v>
      </c>
      <c r="P162" s="7">
        <v>5818.9</v>
      </c>
      <c r="Q162" s="5">
        <f t="shared" si="7"/>
        <v>-3.0748223784868398E-2</v>
      </c>
      <c r="R162" s="7">
        <v>1802.4</v>
      </c>
      <c r="S162" s="5">
        <f t="shared" si="8"/>
        <v>3.4457878811853969E-3</v>
      </c>
      <c r="T162" s="7">
        <v>8261.1</v>
      </c>
      <c r="U162" s="5">
        <f t="shared" si="9"/>
        <v>-4.7399436824571546E-2</v>
      </c>
      <c r="V162" s="7">
        <v>2773.55</v>
      </c>
      <c r="W162" s="5">
        <f t="shared" si="10"/>
        <v>-1.1364573449429823E-2</v>
      </c>
      <c r="X162" s="7">
        <v>2291.9</v>
      </c>
      <c r="Y162" s="5">
        <f t="shared" si="11"/>
        <v>-4.5803025981504291E-4</v>
      </c>
      <c r="Z162" s="7">
        <v>4269.45</v>
      </c>
      <c r="AA162" s="5">
        <f t="shared" si="12"/>
        <v>-4.0800914299474196E-2</v>
      </c>
      <c r="AB162" s="10">
        <v>666.4</v>
      </c>
      <c r="AC162" s="5">
        <f t="shared" si="13"/>
        <v>1.3521375319704949E-2</v>
      </c>
      <c r="AD162" s="11">
        <v>12873.55</v>
      </c>
      <c r="AE162" s="5">
        <f t="shared" si="14"/>
        <v>-2.5562415854346225E-3</v>
      </c>
    </row>
    <row r="163" spans="1:31" ht="13.8">
      <c r="A163" s="13">
        <v>45679</v>
      </c>
      <c r="B163" s="7">
        <v>1856.45</v>
      </c>
      <c r="C163" s="4">
        <f t="shared" si="0"/>
        <v>3.0490583679314665E-2</v>
      </c>
      <c r="D163" s="8">
        <v>590.25</v>
      </c>
      <c r="E163" s="4">
        <f t="shared" si="1"/>
        <v>1.6107841217547088E-3</v>
      </c>
      <c r="F163" s="7">
        <v>2516.4</v>
      </c>
      <c r="G163" s="4">
        <f t="shared" si="2"/>
        <v>-1.8563707921245946E-2</v>
      </c>
      <c r="H163" s="7">
        <v>1217.0999999999999</v>
      </c>
      <c r="I163" s="5">
        <f t="shared" si="3"/>
        <v>-5.0701549215196852E-2</v>
      </c>
      <c r="J163" s="7">
        <v>1683.95</v>
      </c>
      <c r="K163" s="5">
        <f t="shared" si="4"/>
        <v>2.6141150748921566E-2</v>
      </c>
      <c r="L163" s="7">
        <v>11286.4</v>
      </c>
      <c r="M163" s="9">
        <f t="shared" si="5"/>
        <v>4.4330143294592443E-2</v>
      </c>
      <c r="N163" s="7">
        <v>1217.0999999999999</v>
      </c>
      <c r="O163" s="5">
        <f t="shared" si="6"/>
        <v>-5.0701549215196852E-2</v>
      </c>
      <c r="P163" s="7">
        <v>5812.5</v>
      </c>
      <c r="Q163" s="5">
        <f t="shared" si="7"/>
        <v>-1.1004695300451946E-3</v>
      </c>
      <c r="R163" s="7">
        <v>1827.7</v>
      </c>
      <c r="S163" s="5">
        <f t="shared" si="8"/>
        <v>1.3939235642361724E-2</v>
      </c>
      <c r="T163" s="7">
        <v>8228.2000000000007</v>
      </c>
      <c r="U163" s="5">
        <f t="shared" si="9"/>
        <v>-3.9904718402745702E-3</v>
      </c>
      <c r="V163" s="7">
        <v>2808.95</v>
      </c>
      <c r="W163" s="5">
        <f t="shared" si="10"/>
        <v>1.2682659921477032E-2</v>
      </c>
      <c r="X163" s="7">
        <v>2273.25</v>
      </c>
      <c r="Y163" s="5">
        <f t="shared" si="11"/>
        <v>-8.1706422593390941E-3</v>
      </c>
      <c r="Z163" s="7">
        <v>4234.3500000000004</v>
      </c>
      <c r="AA163" s="5">
        <f t="shared" si="12"/>
        <v>-8.2551798802083711E-3</v>
      </c>
      <c r="AB163" s="10">
        <v>665.35</v>
      </c>
      <c r="AC163" s="5">
        <f t="shared" si="13"/>
        <v>-1.5768728628813447E-3</v>
      </c>
      <c r="AD163" s="11">
        <v>12110.3</v>
      </c>
      <c r="AE163" s="5">
        <f t="shared" si="14"/>
        <v>-6.1118488675211517E-2</v>
      </c>
    </row>
    <row r="164" spans="1:31" ht="13.8">
      <c r="A164" s="13">
        <v>45680</v>
      </c>
      <c r="B164" s="7">
        <v>1865.45</v>
      </c>
      <c r="C164" s="4">
        <f t="shared" si="0"/>
        <v>4.8362489814189032E-3</v>
      </c>
      <c r="D164" s="8">
        <v>599.6</v>
      </c>
      <c r="E164" s="4">
        <f t="shared" si="1"/>
        <v>1.5716590262820334E-2</v>
      </c>
      <c r="F164" s="7">
        <v>2635.05</v>
      </c>
      <c r="G164" s="4">
        <f t="shared" si="2"/>
        <v>4.607284843162722E-2</v>
      </c>
      <c r="H164" s="7">
        <v>1290.7</v>
      </c>
      <c r="I164" s="5">
        <f t="shared" si="3"/>
        <v>5.8713726960630881E-2</v>
      </c>
      <c r="J164" s="7">
        <v>1713.4</v>
      </c>
      <c r="K164" s="5">
        <f t="shared" si="4"/>
        <v>1.7337476379865727E-2</v>
      </c>
      <c r="L164" s="7">
        <v>11198.3</v>
      </c>
      <c r="M164" s="9">
        <f t="shared" si="5"/>
        <v>-7.836479993449972E-3</v>
      </c>
      <c r="N164" s="7">
        <v>1290.7</v>
      </c>
      <c r="O164" s="5">
        <f t="shared" si="6"/>
        <v>5.8713726960630881E-2</v>
      </c>
      <c r="P164" s="7">
        <v>5850.95</v>
      </c>
      <c r="Q164" s="5">
        <f t="shared" si="7"/>
        <v>6.5932703083413256E-3</v>
      </c>
      <c r="R164" s="7">
        <v>1807</v>
      </c>
      <c r="S164" s="5">
        <f t="shared" si="8"/>
        <v>-1.1390334168168001E-2</v>
      </c>
      <c r="T164" s="7">
        <v>9196.4500000000007</v>
      </c>
      <c r="U164" s="5">
        <f t="shared" si="9"/>
        <v>0.11125026128410648</v>
      </c>
      <c r="V164" s="7">
        <v>2918.95</v>
      </c>
      <c r="W164" s="5">
        <f t="shared" si="10"/>
        <v>3.8413214536566619E-2</v>
      </c>
      <c r="X164" s="7">
        <v>2300.1</v>
      </c>
      <c r="Y164" s="5">
        <f t="shared" si="11"/>
        <v>1.1742074626936062E-2</v>
      </c>
      <c r="Z164" s="7">
        <v>4332.45</v>
      </c>
      <c r="AA164" s="5">
        <f t="shared" si="12"/>
        <v>2.290336841657024E-2</v>
      </c>
      <c r="AB164" s="10">
        <v>667.9</v>
      </c>
      <c r="AC164" s="5">
        <f t="shared" si="13"/>
        <v>3.8252437418387626E-3</v>
      </c>
      <c r="AD164" s="11">
        <v>11821.15</v>
      </c>
      <c r="AE164" s="5">
        <f t="shared" si="14"/>
        <v>-2.4166030203585313E-2</v>
      </c>
    </row>
    <row r="165" spans="1:31" ht="13.8">
      <c r="A165" s="13">
        <v>45681</v>
      </c>
      <c r="B165" s="7">
        <v>1875.45</v>
      </c>
      <c r="C165" s="4">
        <f t="shared" si="0"/>
        <v>5.3463197729251124E-3</v>
      </c>
      <c r="D165" s="8">
        <v>582</v>
      </c>
      <c r="E165" s="4">
        <f t="shared" si="1"/>
        <v>-2.979231849700488E-2</v>
      </c>
      <c r="F165" s="7">
        <v>2506.9</v>
      </c>
      <c r="G165" s="4">
        <f t="shared" si="2"/>
        <v>-4.9855227077492556E-2</v>
      </c>
      <c r="H165" s="7">
        <v>1241.2</v>
      </c>
      <c r="I165" s="5">
        <f t="shared" si="3"/>
        <v>-3.9106053266916872E-2</v>
      </c>
      <c r="J165" s="7">
        <v>1723.05</v>
      </c>
      <c r="K165" s="5">
        <f t="shared" si="4"/>
        <v>5.6162757295792074E-3</v>
      </c>
      <c r="L165" s="7">
        <v>11290.1</v>
      </c>
      <c r="M165" s="9">
        <f t="shared" si="5"/>
        <v>8.1642544521239816E-3</v>
      </c>
      <c r="N165" s="7">
        <v>1241.2</v>
      </c>
      <c r="O165" s="5">
        <f t="shared" si="6"/>
        <v>-3.9106053266916872E-2</v>
      </c>
      <c r="P165" s="7">
        <v>5762.6</v>
      </c>
      <c r="Q165" s="5">
        <f t="shared" si="7"/>
        <v>-1.5215279470444992E-2</v>
      </c>
      <c r="R165" s="7">
        <v>1792.85</v>
      </c>
      <c r="S165" s="5">
        <f t="shared" si="8"/>
        <v>-7.8614791592932914E-3</v>
      </c>
      <c r="T165" s="7">
        <v>9234.6</v>
      </c>
      <c r="U165" s="5">
        <f t="shared" si="9"/>
        <v>4.1397592088666477E-3</v>
      </c>
      <c r="V165" s="7">
        <v>3009.3</v>
      </c>
      <c r="W165" s="5">
        <f t="shared" si="10"/>
        <v>3.0483531003959865E-2</v>
      </c>
      <c r="X165" s="7">
        <v>2270.6999999999998</v>
      </c>
      <c r="Y165" s="5">
        <f t="shared" si="11"/>
        <v>-1.2864446249727024E-2</v>
      </c>
      <c r="Z165" s="7">
        <v>4346.3500000000004</v>
      </c>
      <c r="AA165" s="5">
        <f t="shared" si="12"/>
        <v>3.2032105556401803E-3</v>
      </c>
      <c r="AB165" s="10">
        <v>666.2</v>
      </c>
      <c r="AC165" s="5">
        <f t="shared" si="13"/>
        <v>-2.548535972010854E-3</v>
      </c>
      <c r="AD165" s="11">
        <v>11410.9</v>
      </c>
      <c r="AE165" s="5">
        <f t="shared" si="14"/>
        <v>-3.5321261029216129E-2</v>
      </c>
    </row>
    <row r="166" spans="1:31" ht="13.8">
      <c r="A166" s="13">
        <v>45684</v>
      </c>
      <c r="B166" s="7">
        <v>1822</v>
      </c>
      <c r="C166" s="4">
        <f t="shared" si="0"/>
        <v>-2.8913831789214726E-2</v>
      </c>
      <c r="D166" s="8">
        <v>544.6</v>
      </c>
      <c r="E166" s="4">
        <f t="shared" si="1"/>
        <v>-6.6418867491778597E-2</v>
      </c>
      <c r="F166" s="7">
        <v>2453.9499999999998</v>
      </c>
      <c r="G166" s="4">
        <f t="shared" si="2"/>
        <v>-2.1347958884849041E-2</v>
      </c>
      <c r="H166" s="7">
        <v>1204.55</v>
      </c>
      <c r="I166" s="5">
        <f t="shared" si="3"/>
        <v>-2.9972600380441822E-2</v>
      </c>
      <c r="J166" s="7">
        <v>1653.9</v>
      </c>
      <c r="K166" s="5">
        <f t="shared" si="4"/>
        <v>-4.0959840995775189E-2</v>
      </c>
      <c r="L166" s="7">
        <v>11193.2</v>
      </c>
      <c r="M166" s="9">
        <f t="shared" si="5"/>
        <v>-8.6197844602243102E-3</v>
      </c>
      <c r="N166" s="7">
        <v>1204.55</v>
      </c>
      <c r="O166" s="5">
        <f t="shared" si="6"/>
        <v>-2.9972600380441822E-2</v>
      </c>
      <c r="P166" s="7">
        <v>5576.75</v>
      </c>
      <c r="Q166" s="5">
        <f t="shared" si="7"/>
        <v>-3.2782592316616892E-2</v>
      </c>
      <c r="R166" s="7">
        <v>1711.95</v>
      </c>
      <c r="S166" s="5">
        <f t="shared" si="8"/>
        <v>-4.6173460765216411E-2</v>
      </c>
      <c r="T166" s="7">
        <v>8801.7000000000007</v>
      </c>
      <c r="U166" s="5">
        <f t="shared" si="9"/>
        <v>-4.8012414586688285E-2</v>
      </c>
      <c r="V166" s="7">
        <v>2937.1</v>
      </c>
      <c r="W166" s="5">
        <f t="shared" si="10"/>
        <v>-2.4284793589905984E-2</v>
      </c>
      <c r="X166" s="7">
        <v>2231.4</v>
      </c>
      <c r="Y166" s="5">
        <f t="shared" si="11"/>
        <v>-1.7458962824151984E-2</v>
      </c>
      <c r="Z166" s="7">
        <v>4345.8</v>
      </c>
      <c r="AA166" s="5">
        <f t="shared" si="12"/>
        <v>-1.2655096857145257E-4</v>
      </c>
      <c r="AB166" s="10">
        <v>656.65</v>
      </c>
      <c r="AC166" s="5">
        <f t="shared" si="13"/>
        <v>-1.4438773728410516E-2</v>
      </c>
      <c r="AD166" s="11">
        <v>10931.75</v>
      </c>
      <c r="AE166" s="5">
        <f t="shared" si="14"/>
        <v>-4.289763977848926E-2</v>
      </c>
    </row>
    <row r="167" spans="1:31" ht="13.8">
      <c r="A167" s="13">
        <v>45685</v>
      </c>
      <c r="B167" s="7">
        <v>1829.75</v>
      </c>
      <c r="C167" s="4">
        <f t="shared" si="0"/>
        <v>4.2445466614328495E-3</v>
      </c>
      <c r="D167" s="8">
        <v>516.4</v>
      </c>
      <c r="E167" s="4">
        <f t="shared" si="1"/>
        <v>-5.3169921267171912E-2</v>
      </c>
      <c r="F167" s="7">
        <v>2456.6999999999998</v>
      </c>
      <c r="G167" s="4">
        <f t="shared" si="2"/>
        <v>1.1200147790919703E-3</v>
      </c>
      <c r="H167" s="7">
        <v>1212.05</v>
      </c>
      <c r="I167" s="5">
        <f t="shared" si="3"/>
        <v>6.2070877099609139E-3</v>
      </c>
      <c r="J167" s="7">
        <v>1648.35</v>
      </c>
      <c r="K167" s="5">
        <f t="shared" si="4"/>
        <v>-3.3613477027049942E-3</v>
      </c>
      <c r="L167" s="7">
        <v>11029.3</v>
      </c>
      <c r="M167" s="9">
        <f t="shared" si="5"/>
        <v>-1.4751083088471961E-2</v>
      </c>
      <c r="N167" s="7">
        <v>1212.05</v>
      </c>
      <c r="O167" s="5">
        <f t="shared" si="6"/>
        <v>6.2070877099609139E-3</v>
      </c>
      <c r="P167" s="7">
        <v>5410.2</v>
      </c>
      <c r="Q167" s="5">
        <f t="shared" si="7"/>
        <v>-3.0320108682975265E-2</v>
      </c>
      <c r="R167" s="7">
        <v>1693.25</v>
      </c>
      <c r="S167" s="5">
        <f t="shared" si="8"/>
        <v>-1.0983312572705742E-2</v>
      </c>
      <c r="T167" s="7">
        <v>8498.7999999999993</v>
      </c>
      <c r="U167" s="5">
        <f t="shared" si="9"/>
        <v>-3.5019907585791564E-2</v>
      </c>
      <c r="V167" s="7">
        <v>2883.75</v>
      </c>
      <c r="W167" s="5">
        <f t="shared" si="10"/>
        <v>-1.8331169479679842E-2</v>
      </c>
      <c r="X167" s="7">
        <v>2335.8000000000002</v>
      </c>
      <c r="Y167" s="5">
        <f t="shared" si="11"/>
        <v>4.5725253685385811E-2</v>
      </c>
      <c r="Z167" s="7">
        <v>4366.1499999999996</v>
      </c>
      <c r="AA167" s="5">
        <f t="shared" si="12"/>
        <v>4.6717524806750878E-3</v>
      </c>
      <c r="AB167" s="10">
        <v>663.95</v>
      </c>
      <c r="AC167" s="5">
        <f t="shared" si="13"/>
        <v>1.1055693405167606E-2</v>
      </c>
      <c r="AD167" s="11">
        <v>9621.75</v>
      </c>
      <c r="AE167" s="5">
        <f t="shared" si="14"/>
        <v>-0.1276452383463906</v>
      </c>
    </row>
    <row r="168" spans="1:31" ht="13.8">
      <c r="A168" s="13">
        <v>45686</v>
      </c>
      <c r="B168" s="7">
        <v>1881.25</v>
      </c>
      <c r="C168" s="4">
        <f t="shared" si="0"/>
        <v>2.7757104015849278E-2</v>
      </c>
      <c r="D168" s="8">
        <v>534.79999999999995</v>
      </c>
      <c r="E168" s="4">
        <f t="shared" si="1"/>
        <v>3.5011186255300739E-2</v>
      </c>
      <c r="F168" s="7">
        <v>2477.4499999999998</v>
      </c>
      <c r="G168" s="4">
        <f t="shared" si="2"/>
        <v>8.4108194215265653E-3</v>
      </c>
      <c r="H168" s="7">
        <v>1229.45</v>
      </c>
      <c r="I168" s="5">
        <f t="shared" si="3"/>
        <v>1.4253773987801178E-2</v>
      </c>
      <c r="J168" s="7">
        <v>1681.15</v>
      </c>
      <c r="K168" s="5">
        <f t="shared" si="4"/>
        <v>1.9703295466224513E-2</v>
      </c>
      <c r="L168" s="7">
        <v>11426.85</v>
      </c>
      <c r="M168" s="9">
        <f t="shared" si="5"/>
        <v>3.5410481303910252E-2</v>
      </c>
      <c r="N168" s="7">
        <v>1229.45</v>
      </c>
      <c r="O168" s="5">
        <f t="shared" si="6"/>
        <v>1.4253773987801178E-2</v>
      </c>
      <c r="P168" s="7">
        <v>5620.15</v>
      </c>
      <c r="Q168" s="5">
        <f t="shared" si="7"/>
        <v>3.807229318909764E-2</v>
      </c>
      <c r="R168" s="7">
        <v>1719</v>
      </c>
      <c r="S168" s="5">
        <f t="shared" si="8"/>
        <v>1.5092967287836165E-2</v>
      </c>
      <c r="T168" s="7">
        <v>8746.5499999999993</v>
      </c>
      <c r="U168" s="5">
        <f t="shared" si="9"/>
        <v>2.8734359844840452E-2</v>
      </c>
      <c r="V168" s="7">
        <v>3009.25</v>
      </c>
      <c r="W168" s="5">
        <f t="shared" si="10"/>
        <v>4.259934777188068E-2</v>
      </c>
      <c r="X168" s="7">
        <v>2464.75</v>
      </c>
      <c r="Y168" s="5">
        <f t="shared" si="11"/>
        <v>5.3735937610685514E-2</v>
      </c>
      <c r="Z168" s="7">
        <v>4497.3500000000004</v>
      </c>
      <c r="AA168" s="5">
        <f t="shared" si="12"/>
        <v>2.9606720496346394E-2</v>
      </c>
      <c r="AB168" s="10">
        <v>671.85</v>
      </c>
      <c r="AC168" s="5">
        <f t="shared" si="13"/>
        <v>1.1828255885082292E-2</v>
      </c>
      <c r="AD168" s="11">
        <v>10231.25</v>
      </c>
      <c r="AE168" s="5">
        <f t="shared" si="14"/>
        <v>6.1420601321885683E-2</v>
      </c>
    </row>
    <row r="169" spans="1:31" ht="13.8">
      <c r="A169" s="13">
        <v>45687</v>
      </c>
      <c r="B169" s="7">
        <v>1859.95</v>
      </c>
      <c r="C169" s="4">
        <f t="shared" si="0"/>
        <v>-1.1386843871688987E-2</v>
      </c>
      <c r="D169" s="8">
        <v>564.45000000000005</v>
      </c>
      <c r="E169" s="4">
        <f t="shared" si="1"/>
        <v>5.395896047976808E-2</v>
      </c>
      <c r="F169" s="7">
        <v>2485.4</v>
      </c>
      <c r="G169" s="4">
        <f t="shared" si="2"/>
        <v>3.2038070061155104E-3</v>
      </c>
      <c r="H169" s="7">
        <v>1267.3499999999999</v>
      </c>
      <c r="I169" s="5">
        <f t="shared" si="3"/>
        <v>3.0361191375418001E-2</v>
      </c>
      <c r="J169" s="7">
        <v>1670.1</v>
      </c>
      <c r="K169" s="5">
        <f t="shared" si="4"/>
        <v>-6.5945781696954663E-3</v>
      </c>
      <c r="L169" s="7">
        <v>11206.05</v>
      </c>
      <c r="M169" s="9">
        <f t="shared" si="5"/>
        <v>-1.9512038244932126E-2</v>
      </c>
      <c r="N169" s="7">
        <v>1267.3499999999999</v>
      </c>
      <c r="O169" s="5">
        <f t="shared" si="6"/>
        <v>3.0361191375418001E-2</v>
      </c>
      <c r="P169" s="7">
        <v>5735.9</v>
      </c>
      <c r="Q169" s="5">
        <f t="shared" si="7"/>
        <v>2.0386315452729582E-2</v>
      </c>
      <c r="R169" s="7">
        <v>1713.1</v>
      </c>
      <c r="S169" s="5">
        <f t="shared" si="8"/>
        <v>-3.4381316464364327E-3</v>
      </c>
      <c r="T169" s="7">
        <v>8327.35</v>
      </c>
      <c r="U169" s="5">
        <f t="shared" si="9"/>
        <v>-4.9114058589544402E-2</v>
      </c>
      <c r="V169" s="7">
        <v>2867.6</v>
      </c>
      <c r="W169" s="5">
        <f t="shared" si="10"/>
        <v>-4.8215435281127074E-2</v>
      </c>
      <c r="X169" s="7">
        <v>2455.25</v>
      </c>
      <c r="Y169" s="5">
        <f t="shared" si="11"/>
        <v>-3.8617934172670604E-3</v>
      </c>
      <c r="Z169" s="7">
        <v>4494.8</v>
      </c>
      <c r="AA169" s="5">
        <f t="shared" si="12"/>
        <v>-5.6716137260959623E-4</v>
      </c>
      <c r="AB169" s="10">
        <v>672.15</v>
      </c>
      <c r="AC169" s="5">
        <f t="shared" si="13"/>
        <v>4.4642857884294435E-4</v>
      </c>
      <c r="AD169" s="11">
        <v>12277.5</v>
      </c>
      <c r="AE169" s="5">
        <f t="shared" si="14"/>
        <v>0.18232155679395459</v>
      </c>
    </row>
    <row r="170" spans="1:31" ht="13.8">
      <c r="A170" s="13">
        <v>45688</v>
      </c>
      <c r="B170" s="7">
        <v>1879.8</v>
      </c>
      <c r="C170" s="4">
        <f t="shared" si="0"/>
        <v>1.0615782560704085E-2</v>
      </c>
      <c r="D170" s="8">
        <v>556.35</v>
      </c>
      <c r="E170" s="4">
        <f t="shared" si="1"/>
        <v>-1.4454213103846496E-2</v>
      </c>
      <c r="F170" s="7">
        <v>2435.4</v>
      </c>
      <c r="G170" s="4">
        <f t="shared" si="2"/>
        <v>-2.0322598298987186E-2</v>
      </c>
      <c r="H170" s="7">
        <v>1305</v>
      </c>
      <c r="I170" s="5">
        <f t="shared" si="3"/>
        <v>2.9274934489830397E-2</v>
      </c>
      <c r="J170" s="7">
        <v>1674.45</v>
      </c>
      <c r="K170" s="5">
        <f t="shared" si="4"/>
        <v>2.6012482712791814E-3</v>
      </c>
      <c r="L170" s="7">
        <v>11559.7</v>
      </c>
      <c r="M170" s="9">
        <f t="shared" si="5"/>
        <v>3.1071100321838952E-2</v>
      </c>
      <c r="N170" s="7">
        <v>1305</v>
      </c>
      <c r="O170" s="5">
        <f t="shared" si="6"/>
        <v>2.9274934489830397E-2</v>
      </c>
      <c r="P170" s="7">
        <v>5577.7</v>
      </c>
      <c r="Q170" s="5">
        <f t="shared" si="7"/>
        <v>-2.7968164352471275E-2</v>
      </c>
      <c r="R170" s="7">
        <v>1725.45</v>
      </c>
      <c r="S170" s="5">
        <f t="shared" si="8"/>
        <v>7.183291273716249E-3</v>
      </c>
      <c r="T170" s="7">
        <v>8263.85</v>
      </c>
      <c r="U170" s="5">
        <f t="shared" si="9"/>
        <v>-7.6546976784937128E-3</v>
      </c>
      <c r="V170" s="7">
        <v>2867.95</v>
      </c>
      <c r="W170" s="5">
        <f t="shared" si="10"/>
        <v>1.220458370808866E-4</v>
      </c>
      <c r="X170" s="7">
        <v>2457.9</v>
      </c>
      <c r="Y170" s="5">
        <f t="shared" si="11"/>
        <v>1.0787377779950846E-3</v>
      </c>
      <c r="Z170" s="7">
        <v>4517.3999999999996</v>
      </c>
      <c r="AA170" s="5">
        <f t="shared" si="12"/>
        <v>5.0154340503842888E-3</v>
      </c>
      <c r="AB170" s="10">
        <v>670.65</v>
      </c>
      <c r="AC170" s="5">
        <f t="shared" si="13"/>
        <v>-2.2341385521623602E-3</v>
      </c>
      <c r="AD170" s="11">
        <v>12863.55</v>
      </c>
      <c r="AE170" s="5">
        <f t="shared" si="14"/>
        <v>4.6629411550202803E-2</v>
      </c>
    </row>
    <row r="171" spans="1:31" ht="13.8">
      <c r="A171" s="12">
        <v>45689</v>
      </c>
      <c r="B171" s="7">
        <v>1851.35</v>
      </c>
      <c r="C171" s="4">
        <f t="shared" si="0"/>
        <v>-1.525028550738259E-2</v>
      </c>
      <c r="D171" s="8">
        <v>565.1</v>
      </c>
      <c r="E171" s="4">
        <f t="shared" si="1"/>
        <v>1.5605114032088049E-2</v>
      </c>
      <c r="F171" s="7">
        <v>2481.6</v>
      </c>
      <c r="G171" s="4">
        <f t="shared" si="2"/>
        <v>1.879249934936732E-2</v>
      </c>
      <c r="H171" s="7">
        <v>1253.3499999999999</v>
      </c>
      <c r="I171" s="5">
        <f t="shared" si="3"/>
        <v>-4.0383074257038881E-2</v>
      </c>
      <c r="J171" s="7">
        <v>1646.4</v>
      </c>
      <c r="K171" s="5">
        <f t="shared" si="4"/>
        <v>-1.6893667049065683E-2</v>
      </c>
      <c r="L171" s="7">
        <v>11754</v>
      </c>
      <c r="M171" s="9">
        <f t="shared" si="5"/>
        <v>1.6668696840068057E-2</v>
      </c>
      <c r="N171" s="7">
        <v>1253.3499999999999</v>
      </c>
      <c r="O171" s="5">
        <f t="shared" si="6"/>
        <v>-4.0383074257038881E-2</v>
      </c>
      <c r="P171" s="7">
        <v>5618.55</v>
      </c>
      <c r="Q171" s="5">
        <f t="shared" si="7"/>
        <v>7.2971184574646773E-3</v>
      </c>
      <c r="R171" s="7">
        <v>1694</v>
      </c>
      <c r="S171" s="5">
        <f t="shared" si="8"/>
        <v>-1.8395289798129266E-2</v>
      </c>
      <c r="T171" s="7">
        <v>8076.35</v>
      </c>
      <c r="U171" s="5">
        <f t="shared" si="9"/>
        <v>-2.2950542838353842E-2</v>
      </c>
      <c r="V171" s="7">
        <v>2798.5</v>
      </c>
      <c r="W171" s="5">
        <f t="shared" si="10"/>
        <v>-2.4513929484383631E-2</v>
      </c>
      <c r="X171" s="7">
        <v>2555.1</v>
      </c>
      <c r="Y171" s="5">
        <f t="shared" si="11"/>
        <v>3.8784034999266172E-2</v>
      </c>
      <c r="Z171" s="7">
        <v>4984.6000000000004</v>
      </c>
      <c r="AA171" s="5">
        <f t="shared" si="12"/>
        <v>9.8416552370181792E-2</v>
      </c>
      <c r="AB171" s="10">
        <v>694.2</v>
      </c>
      <c r="AC171" s="5">
        <f t="shared" si="13"/>
        <v>3.4512712079586672E-2</v>
      </c>
      <c r="AD171" s="11">
        <v>12206.3</v>
      </c>
      <c r="AE171" s="5">
        <f t="shared" si="14"/>
        <v>-5.2445518584842414E-2</v>
      </c>
    </row>
    <row r="172" spans="1:31" ht="13.8">
      <c r="A172" s="12">
        <v>45691</v>
      </c>
      <c r="B172" s="7">
        <v>1863.3</v>
      </c>
      <c r="C172" s="4">
        <f t="shared" si="0"/>
        <v>6.4340065545484852E-3</v>
      </c>
      <c r="D172" s="8">
        <v>556.45000000000005</v>
      </c>
      <c r="E172" s="4">
        <f t="shared" si="1"/>
        <v>-1.5425387216363436E-2</v>
      </c>
      <c r="F172" s="7">
        <v>2581.8000000000002</v>
      </c>
      <c r="G172" s="4">
        <f t="shared" si="2"/>
        <v>3.9583316650334766E-2</v>
      </c>
      <c r="H172" s="7">
        <v>1178.05</v>
      </c>
      <c r="I172" s="5">
        <f t="shared" si="3"/>
        <v>-6.195943736724719E-2</v>
      </c>
      <c r="J172" s="7">
        <v>1654.7</v>
      </c>
      <c r="K172" s="5">
        <f t="shared" si="4"/>
        <v>5.0286374180134527E-3</v>
      </c>
      <c r="L172" s="7">
        <v>12205</v>
      </c>
      <c r="M172" s="9">
        <f t="shared" si="5"/>
        <v>3.7652095654464764E-2</v>
      </c>
      <c r="N172" s="7">
        <v>1178.05</v>
      </c>
      <c r="O172" s="5">
        <f t="shared" si="6"/>
        <v>-6.195943736724719E-2</v>
      </c>
      <c r="P172" s="7">
        <v>5884.1</v>
      </c>
      <c r="Q172" s="5">
        <f t="shared" si="7"/>
        <v>4.6180174337506409E-2</v>
      </c>
      <c r="R172" s="7">
        <v>1692</v>
      </c>
      <c r="S172" s="5">
        <f t="shared" si="8"/>
        <v>-1.1813350458310943E-3</v>
      </c>
      <c r="T172" s="7">
        <v>8344.1</v>
      </c>
      <c r="U172" s="5">
        <f t="shared" si="9"/>
        <v>3.2614664488496516E-2</v>
      </c>
      <c r="V172" s="7">
        <v>2817.75</v>
      </c>
      <c r="W172" s="5">
        <f t="shared" si="10"/>
        <v>6.8551347907738073E-3</v>
      </c>
      <c r="X172" s="7">
        <v>2653.75</v>
      </c>
      <c r="Y172" s="5">
        <f t="shared" si="11"/>
        <v>3.7882372202320908E-2</v>
      </c>
      <c r="Z172" s="7">
        <v>4830.8</v>
      </c>
      <c r="AA172" s="5">
        <f t="shared" si="12"/>
        <v>-3.1341074053093082E-2</v>
      </c>
      <c r="AB172" s="10">
        <v>673.35</v>
      </c>
      <c r="AC172" s="5">
        <f t="shared" si="13"/>
        <v>-3.0494849531635084E-2</v>
      </c>
      <c r="AD172" s="11">
        <v>11748.1</v>
      </c>
      <c r="AE172" s="5">
        <f t="shared" si="14"/>
        <v>-3.8260686509313246E-2</v>
      </c>
    </row>
    <row r="173" spans="1:31" ht="13.8">
      <c r="A173" s="12">
        <v>45692</v>
      </c>
      <c r="B173" s="7">
        <v>1898.8</v>
      </c>
      <c r="C173" s="4">
        <f t="shared" si="0"/>
        <v>1.8872998443796026E-2</v>
      </c>
      <c r="D173" s="8">
        <v>570.9</v>
      </c>
      <c r="E173" s="4">
        <f t="shared" si="1"/>
        <v>2.5636743550779263E-2</v>
      </c>
      <c r="F173" s="7">
        <v>2555.1</v>
      </c>
      <c r="G173" s="4">
        <f t="shared" si="2"/>
        <v>-1.0395468257464218E-2</v>
      </c>
      <c r="H173" s="7">
        <v>1191.45</v>
      </c>
      <c r="I173" s="5">
        <f t="shared" si="3"/>
        <v>1.1310523614743035E-2</v>
      </c>
      <c r="J173" s="7">
        <v>1659.05</v>
      </c>
      <c r="K173" s="5">
        <f t="shared" si="4"/>
        <v>2.6254258762198456E-3</v>
      </c>
      <c r="L173" s="7">
        <v>11735.85</v>
      </c>
      <c r="M173" s="9">
        <f t="shared" si="5"/>
        <v>-3.9197444272016851E-2</v>
      </c>
      <c r="N173" s="7">
        <v>1191.45</v>
      </c>
      <c r="O173" s="5">
        <f t="shared" si="6"/>
        <v>1.1310523614743035E-2</v>
      </c>
      <c r="P173" s="7">
        <v>6096.25</v>
      </c>
      <c r="Q173" s="5">
        <f t="shared" si="7"/>
        <v>3.5420030206019144E-2</v>
      </c>
      <c r="R173" s="7">
        <v>1732.55</v>
      </c>
      <c r="S173" s="5">
        <f t="shared" si="8"/>
        <v>2.3683050510307117E-2</v>
      </c>
      <c r="T173" s="7">
        <v>8459.0499999999993</v>
      </c>
      <c r="U173" s="5">
        <f t="shared" si="9"/>
        <v>1.3682171882284955E-2</v>
      </c>
      <c r="V173" s="7">
        <v>2805.45</v>
      </c>
      <c r="W173" s="5">
        <f t="shared" si="10"/>
        <v>-4.374740225069256E-3</v>
      </c>
      <c r="X173" s="7">
        <v>2644.4</v>
      </c>
      <c r="Y173" s="5">
        <f t="shared" si="11"/>
        <v>-3.5295375580427792E-3</v>
      </c>
      <c r="Z173" s="7">
        <v>4724.3500000000004</v>
      </c>
      <c r="AA173" s="5">
        <f t="shared" si="12"/>
        <v>-2.2282100074032134E-2</v>
      </c>
      <c r="AB173" s="10">
        <v>677.05</v>
      </c>
      <c r="AC173" s="5">
        <f t="shared" si="13"/>
        <v>5.479871532782136E-3</v>
      </c>
      <c r="AD173" s="11">
        <v>12029.35</v>
      </c>
      <c r="AE173" s="5">
        <f t="shared" si="14"/>
        <v>2.3657971551821432E-2</v>
      </c>
    </row>
    <row r="174" spans="1:31" ht="13.8">
      <c r="A174" s="12">
        <v>45693</v>
      </c>
      <c r="B174" s="7">
        <v>1897.05</v>
      </c>
      <c r="C174" s="4">
        <f t="shared" si="0"/>
        <v>-9.2205968306791563E-4</v>
      </c>
      <c r="D174" s="8">
        <v>582.70000000000005</v>
      </c>
      <c r="E174" s="4">
        <f t="shared" si="1"/>
        <v>2.0458411178815115E-2</v>
      </c>
      <c r="F174" s="7">
        <v>2483</v>
      </c>
      <c r="G174" s="4">
        <f t="shared" si="2"/>
        <v>-2.8623855306978259E-2</v>
      </c>
      <c r="H174" s="7">
        <v>1215.1500000000001</v>
      </c>
      <c r="I174" s="5">
        <f t="shared" si="3"/>
        <v>1.9696473197359142E-2</v>
      </c>
      <c r="J174" s="7">
        <v>1661</v>
      </c>
      <c r="K174" s="5">
        <f t="shared" si="4"/>
        <v>1.1746812392763974E-3</v>
      </c>
      <c r="L174" s="7">
        <v>11381.9</v>
      </c>
      <c r="M174" s="9">
        <f t="shared" si="5"/>
        <v>-3.0623885232713526E-2</v>
      </c>
      <c r="N174" s="7">
        <v>1215.1500000000001</v>
      </c>
      <c r="O174" s="5">
        <f t="shared" si="6"/>
        <v>1.9696473197359142E-2</v>
      </c>
      <c r="P174" s="7">
        <v>6123.5</v>
      </c>
      <c r="Q174" s="5">
        <f t="shared" si="7"/>
        <v>4.4600004370796247E-3</v>
      </c>
      <c r="R174" s="7">
        <v>1712.85</v>
      </c>
      <c r="S174" s="5">
        <f t="shared" si="8"/>
        <v>-1.1435661860709006E-2</v>
      </c>
      <c r="T174" s="7">
        <v>8502.15</v>
      </c>
      <c r="U174" s="5">
        <f t="shared" si="9"/>
        <v>5.0821985199387036E-3</v>
      </c>
      <c r="V174" s="7">
        <v>2841.9</v>
      </c>
      <c r="W174" s="5">
        <f t="shared" si="10"/>
        <v>1.2908888652479819E-2</v>
      </c>
      <c r="X174" s="7">
        <v>2617.0500000000002</v>
      </c>
      <c r="Y174" s="5">
        <f t="shared" si="11"/>
        <v>-1.0396467265402555E-2</v>
      </c>
      <c r="Z174" s="7">
        <v>4660.75</v>
      </c>
      <c r="AA174" s="5">
        <f t="shared" si="12"/>
        <v>-1.3553605951617229E-2</v>
      </c>
      <c r="AB174" s="10">
        <v>668.75</v>
      </c>
      <c r="AC174" s="5">
        <f t="shared" si="13"/>
        <v>-1.2334827218616702E-2</v>
      </c>
      <c r="AD174" s="11">
        <v>11925.35</v>
      </c>
      <c r="AE174" s="5">
        <f t="shared" si="14"/>
        <v>-8.6831104906104333E-3</v>
      </c>
    </row>
    <row r="175" spans="1:31" ht="13.8">
      <c r="A175" s="12">
        <v>45694</v>
      </c>
      <c r="B175" s="7">
        <v>1915.65</v>
      </c>
      <c r="C175" s="4">
        <f t="shared" si="0"/>
        <v>9.7569426162856538E-3</v>
      </c>
      <c r="D175" s="8">
        <v>578.9</v>
      </c>
      <c r="E175" s="4">
        <f t="shared" si="1"/>
        <v>-6.5427230640696891E-3</v>
      </c>
      <c r="F175" s="7">
        <v>2480.1</v>
      </c>
      <c r="G175" s="4">
        <f t="shared" si="2"/>
        <v>-1.1686245814270624E-3</v>
      </c>
      <c r="H175" s="7">
        <v>1212.45</v>
      </c>
      <c r="I175" s="5">
        <f t="shared" si="3"/>
        <v>-2.2244200966468801E-3</v>
      </c>
      <c r="J175" s="7">
        <v>1669.6</v>
      </c>
      <c r="K175" s="5">
        <f t="shared" si="4"/>
        <v>5.1642461496959778E-3</v>
      </c>
      <c r="L175" s="7">
        <v>11424.4</v>
      </c>
      <c r="M175" s="9">
        <f t="shared" si="5"/>
        <v>3.7270446496617217E-3</v>
      </c>
      <c r="N175" s="7">
        <v>1212.45</v>
      </c>
      <c r="O175" s="5">
        <f t="shared" si="6"/>
        <v>-2.2244200966468801E-3</v>
      </c>
      <c r="P175" s="7">
        <v>6119.7</v>
      </c>
      <c r="Q175" s="5">
        <f t="shared" si="7"/>
        <v>-6.2075276431368181E-4</v>
      </c>
      <c r="R175" s="7">
        <v>1723.5</v>
      </c>
      <c r="S175" s="5">
        <f t="shared" si="8"/>
        <v>6.1984571411533435E-3</v>
      </c>
      <c r="T175" s="7">
        <v>8521.35</v>
      </c>
      <c r="U175" s="5">
        <f t="shared" si="9"/>
        <v>2.2557063049475547E-3</v>
      </c>
      <c r="V175" s="7">
        <v>2825.65</v>
      </c>
      <c r="W175" s="5">
        <f t="shared" si="10"/>
        <v>-5.7344159397802472E-3</v>
      </c>
      <c r="X175" s="7">
        <v>2591.35</v>
      </c>
      <c r="Y175" s="5">
        <f t="shared" si="11"/>
        <v>-9.8687537752501393E-3</v>
      </c>
      <c r="Z175" s="7">
        <v>4599.45</v>
      </c>
      <c r="AA175" s="5">
        <f t="shared" si="12"/>
        <v>-1.3239648264266284E-2</v>
      </c>
      <c r="AB175" s="10">
        <v>661.55</v>
      </c>
      <c r="AC175" s="5">
        <f t="shared" si="13"/>
        <v>-1.0824731721796365E-2</v>
      </c>
      <c r="AD175" s="11">
        <v>12283.95</v>
      </c>
      <c r="AE175" s="5">
        <f t="shared" si="14"/>
        <v>2.9627145786375705E-2</v>
      </c>
    </row>
    <row r="176" spans="1:31" ht="13.8">
      <c r="A176" s="12">
        <v>45695</v>
      </c>
      <c r="B176" s="7">
        <v>1903.65</v>
      </c>
      <c r="C176" s="4">
        <f t="shared" si="0"/>
        <v>-6.2838946860977081E-3</v>
      </c>
      <c r="D176" s="8">
        <v>582.9</v>
      </c>
      <c r="E176" s="4">
        <f t="shared" si="1"/>
        <v>6.8858939665451526E-3</v>
      </c>
      <c r="F176" s="7">
        <v>2518.6</v>
      </c>
      <c r="G176" s="4">
        <f t="shared" si="2"/>
        <v>1.5404309645006406E-2</v>
      </c>
      <c r="H176" s="7">
        <v>1200.4000000000001</v>
      </c>
      <c r="I176" s="5">
        <f t="shared" si="3"/>
        <v>-9.9882712817510079E-3</v>
      </c>
      <c r="J176" s="7">
        <v>1692.1</v>
      </c>
      <c r="K176" s="5">
        <f t="shared" si="4"/>
        <v>1.3386284311589901E-2</v>
      </c>
      <c r="L176" s="7">
        <v>11271.15</v>
      </c>
      <c r="M176" s="9">
        <f t="shared" si="5"/>
        <v>-1.3505055327653349E-2</v>
      </c>
      <c r="N176" s="7">
        <v>1200.4000000000001</v>
      </c>
      <c r="O176" s="5">
        <f t="shared" si="6"/>
        <v>-9.9882712817510079E-3</v>
      </c>
      <c r="P176" s="7">
        <v>6140.55</v>
      </c>
      <c r="Q176" s="5">
        <f t="shared" si="7"/>
        <v>3.4012389796517339E-3</v>
      </c>
      <c r="R176" s="7">
        <v>1725.65</v>
      </c>
      <c r="S176" s="5">
        <f t="shared" si="8"/>
        <v>1.2466841270833869E-3</v>
      </c>
      <c r="T176" s="7">
        <v>8535.85</v>
      </c>
      <c r="U176" s="5">
        <f t="shared" si="9"/>
        <v>1.70016221803701E-3</v>
      </c>
      <c r="V176" s="7">
        <v>2868.5</v>
      </c>
      <c r="W176" s="5">
        <f t="shared" si="10"/>
        <v>1.5050818432107513E-2</v>
      </c>
      <c r="X176" s="7">
        <v>2605.65</v>
      </c>
      <c r="Y176" s="5">
        <f t="shared" si="11"/>
        <v>5.5031887972716836E-3</v>
      </c>
      <c r="Z176" s="7">
        <v>5470.45</v>
      </c>
      <c r="AA176" s="5">
        <f t="shared" si="12"/>
        <v>0.17342414883140608</v>
      </c>
      <c r="AB176" s="10">
        <v>649.25</v>
      </c>
      <c r="AC176" s="5">
        <f t="shared" si="13"/>
        <v>-1.8767715945562074E-2</v>
      </c>
      <c r="AD176" s="11">
        <v>12274</v>
      </c>
      <c r="AE176" s="5">
        <f t="shared" si="14"/>
        <v>-8.1032826799121225E-4</v>
      </c>
    </row>
    <row r="177" spans="1:31" ht="13.8">
      <c r="A177" s="13">
        <v>45698</v>
      </c>
      <c r="B177" s="7">
        <v>1880.3</v>
      </c>
      <c r="C177" s="4">
        <f t="shared" si="0"/>
        <v>-1.2341757362854224E-2</v>
      </c>
      <c r="D177" s="8">
        <v>569.04999999999995</v>
      </c>
      <c r="E177" s="4">
        <f t="shared" si="1"/>
        <v>-2.4047341323605323E-2</v>
      </c>
      <c r="F177" s="7">
        <v>2502.0500000000002</v>
      </c>
      <c r="G177" s="4">
        <f t="shared" si="2"/>
        <v>-6.5927957317774366E-3</v>
      </c>
      <c r="H177" s="7">
        <v>1199.4000000000001</v>
      </c>
      <c r="I177" s="5">
        <f t="shared" si="3"/>
        <v>-8.3340283180268393E-4</v>
      </c>
      <c r="J177" s="7">
        <v>1699.05</v>
      </c>
      <c r="K177" s="5">
        <f t="shared" si="4"/>
        <v>4.0989102402513179E-3</v>
      </c>
      <c r="L177" s="7">
        <v>11523.2</v>
      </c>
      <c r="M177" s="9">
        <f t="shared" si="5"/>
        <v>2.2116030810217614E-2</v>
      </c>
      <c r="N177" s="7">
        <v>1199.4000000000001</v>
      </c>
      <c r="O177" s="5">
        <f t="shared" si="6"/>
        <v>-8.3340283180268393E-4</v>
      </c>
      <c r="P177" s="7">
        <v>5938.8</v>
      </c>
      <c r="Q177" s="5">
        <f t="shared" si="7"/>
        <v>-3.340722193083942E-2</v>
      </c>
      <c r="R177" s="7">
        <v>1733.85</v>
      </c>
      <c r="S177" s="5">
        <f t="shared" si="8"/>
        <v>4.7405783243825821E-3</v>
      </c>
      <c r="T177" s="7">
        <v>8414.4500000000007</v>
      </c>
      <c r="U177" s="5">
        <f t="shared" si="9"/>
        <v>-1.4324475181878165E-2</v>
      </c>
      <c r="V177" s="7">
        <v>2786.95</v>
      </c>
      <c r="W177" s="5">
        <f t="shared" si="10"/>
        <v>-2.8841437158655836E-2</v>
      </c>
      <c r="X177" s="7">
        <v>2558.4</v>
      </c>
      <c r="Y177" s="5">
        <f t="shared" si="11"/>
        <v>-1.8300101136352255E-2</v>
      </c>
      <c r="Z177" s="7">
        <v>5580.95</v>
      </c>
      <c r="AA177" s="5">
        <f t="shared" si="12"/>
        <v>1.9998132837664225E-2</v>
      </c>
      <c r="AB177" s="10">
        <v>644.1</v>
      </c>
      <c r="AC177" s="5">
        <f t="shared" si="13"/>
        <v>-7.963856990012794E-3</v>
      </c>
      <c r="AD177" s="11">
        <v>12226.9</v>
      </c>
      <c r="AE177" s="5">
        <f t="shared" si="14"/>
        <v>-3.8447614593818229E-3</v>
      </c>
    </row>
    <row r="178" spans="1:31" ht="13.8">
      <c r="A178" s="13">
        <v>45699</v>
      </c>
      <c r="B178" s="7">
        <v>1875.65</v>
      </c>
      <c r="C178" s="4">
        <f t="shared" si="0"/>
        <v>-2.4760725652562127E-3</v>
      </c>
      <c r="D178" s="8">
        <v>552.20000000000005</v>
      </c>
      <c r="E178" s="4">
        <f t="shared" si="1"/>
        <v>-3.005800423184456E-2</v>
      </c>
      <c r="F178" s="7">
        <v>2450.3000000000002</v>
      </c>
      <c r="G178" s="4">
        <f t="shared" si="2"/>
        <v>-2.0899929817868368E-2</v>
      </c>
      <c r="H178" s="7">
        <v>1137.0999999999999</v>
      </c>
      <c r="I178" s="5">
        <f t="shared" si="3"/>
        <v>-5.3340270103732421E-2</v>
      </c>
      <c r="J178" s="7">
        <v>1669.1</v>
      </c>
      <c r="K178" s="5">
        <f t="shared" si="4"/>
        <v>-1.7784712330460459E-2</v>
      </c>
      <c r="L178" s="7">
        <v>11513.6</v>
      </c>
      <c r="M178" s="9">
        <f t="shared" si="5"/>
        <v>-8.3344913839680931E-4</v>
      </c>
      <c r="N178" s="7">
        <v>1137.0999999999999</v>
      </c>
      <c r="O178" s="5">
        <f t="shared" si="6"/>
        <v>-5.3340270103732421E-2</v>
      </c>
      <c r="P178" s="7">
        <v>5946.75</v>
      </c>
      <c r="Q178" s="5">
        <f t="shared" si="7"/>
        <v>1.3377590747773523E-3</v>
      </c>
      <c r="R178" s="7">
        <v>1723.2</v>
      </c>
      <c r="S178" s="5">
        <f t="shared" si="8"/>
        <v>-6.1613420062617422E-3</v>
      </c>
      <c r="T178" s="7">
        <v>8096.75</v>
      </c>
      <c r="U178" s="5">
        <f t="shared" si="9"/>
        <v>-3.8487719435256904E-2</v>
      </c>
      <c r="V178" s="7">
        <v>2713.6</v>
      </c>
      <c r="W178" s="5">
        <f t="shared" si="10"/>
        <v>-2.6671641285685978E-2</v>
      </c>
      <c r="X178" s="7">
        <v>2485</v>
      </c>
      <c r="Y178" s="5">
        <f t="shared" si="11"/>
        <v>-2.9109403548960706E-2</v>
      </c>
      <c r="Z178" s="7">
        <v>5125.95</v>
      </c>
      <c r="AA178" s="5">
        <f t="shared" si="12"/>
        <v>-8.5043139098234424E-2</v>
      </c>
      <c r="AB178" s="10">
        <v>634.70000000000005</v>
      </c>
      <c r="AC178" s="5">
        <f t="shared" si="13"/>
        <v>-1.4701547240420628E-2</v>
      </c>
      <c r="AD178" s="11">
        <v>11738.8</v>
      </c>
      <c r="AE178" s="5">
        <f t="shared" si="14"/>
        <v>-4.0738847982613083E-2</v>
      </c>
    </row>
    <row r="179" spans="1:31" ht="13.8">
      <c r="A179" s="13">
        <v>45700</v>
      </c>
      <c r="B179" s="7">
        <v>1863.15</v>
      </c>
      <c r="C179" s="4">
        <f t="shared" si="0"/>
        <v>-6.6866623378601586E-3</v>
      </c>
      <c r="D179" s="8">
        <v>538.1</v>
      </c>
      <c r="E179" s="4">
        <f t="shared" si="1"/>
        <v>-2.5865883000680184E-2</v>
      </c>
      <c r="F179" s="7">
        <v>2422.6</v>
      </c>
      <c r="G179" s="4">
        <f t="shared" si="2"/>
        <v>-1.1369122439398483E-2</v>
      </c>
      <c r="H179" s="7">
        <v>1136.5999999999999</v>
      </c>
      <c r="I179" s="5">
        <f t="shared" si="3"/>
        <v>-4.3981176765605842E-4</v>
      </c>
      <c r="J179" s="7">
        <v>1680.2</v>
      </c>
      <c r="K179" s="5">
        <f t="shared" si="4"/>
        <v>6.6282749463750807E-3</v>
      </c>
      <c r="L179" s="7">
        <v>11877.1</v>
      </c>
      <c r="M179" s="9">
        <f t="shared" si="5"/>
        <v>3.1083231057223912E-2</v>
      </c>
      <c r="N179" s="7">
        <v>1136.5999999999999</v>
      </c>
      <c r="O179" s="5">
        <f t="shared" si="6"/>
        <v>-4.3981176765605842E-4</v>
      </c>
      <c r="P179" s="7">
        <v>5969.85</v>
      </c>
      <c r="Q179" s="5">
        <f t="shared" si="7"/>
        <v>3.8769496222352717E-3</v>
      </c>
      <c r="R179" s="7">
        <v>1717.3</v>
      </c>
      <c r="S179" s="5">
        <f t="shared" si="8"/>
        <v>-3.4297374123078254E-3</v>
      </c>
      <c r="T179" s="7">
        <v>8004.4</v>
      </c>
      <c r="U179" s="5">
        <f t="shared" si="9"/>
        <v>-1.1471356109093257E-2</v>
      </c>
      <c r="V179" s="7">
        <v>2666.6</v>
      </c>
      <c r="W179" s="5">
        <f t="shared" si="10"/>
        <v>-1.7471913916225879E-2</v>
      </c>
      <c r="X179" s="7">
        <v>2493.4499999999998</v>
      </c>
      <c r="Y179" s="5">
        <f t="shared" si="11"/>
        <v>3.3946341188489334E-3</v>
      </c>
      <c r="Z179" s="7">
        <v>5463</v>
      </c>
      <c r="AA179" s="5">
        <f t="shared" si="12"/>
        <v>6.3682215713577364E-2</v>
      </c>
      <c r="AB179" s="10">
        <v>632.15</v>
      </c>
      <c r="AC179" s="5">
        <f t="shared" si="13"/>
        <v>-4.0257385545178805E-3</v>
      </c>
      <c r="AD179" s="11">
        <v>11716.75</v>
      </c>
      <c r="AE179" s="5">
        <f t="shared" si="14"/>
        <v>-1.8801525861054278E-3</v>
      </c>
    </row>
    <row r="180" spans="1:31" ht="13.8">
      <c r="A180" s="13">
        <v>45701</v>
      </c>
      <c r="B180" s="7">
        <v>1843.25</v>
      </c>
      <c r="C180" s="4">
        <f t="shared" si="0"/>
        <v>-1.073828578855248E-2</v>
      </c>
      <c r="D180" s="8">
        <v>542.25</v>
      </c>
      <c r="E180" s="4">
        <f t="shared" si="1"/>
        <v>7.6827332116097937E-3</v>
      </c>
      <c r="F180" s="7">
        <v>2501.15</v>
      </c>
      <c r="G180" s="4">
        <f t="shared" si="2"/>
        <v>3.1909282506024456E-2</v>
      </c>
      <c r="H180" s="7">
        <v>1166.7</v>
      </c>
      <c r="I180" s="5">
        <f t="shared" si="3"/>
        <v>2.6137900966790206E-2</v>
      </c>
      <c r="J180" s="7">
        <v>1675.3</v>
      </c>
      <c r="K180" s="5">
        <f t="shared" si="4"/>
        <v>-2.9205802312601294E-3</v>
      </c>
      <c r="L180" s="7">
        <v>12142.65</v>
      </c>
      <c r="M180" s="9">
        <f t="shared" si="5"/>
        <v>2.2111872074724124E-2</v>
      </c>
      <c r="N180" s="7">
        <v>1166.7</v>
      </c>
      <c r="O180" s="5">
        <f t="shared" si="6"/>
        <v>2.6137900966790206E-2</v>
      </c>
      <c r="P180" s="7">
        <v>6010.5</v>
      </c>
      <c r="Q180" s="5">
        <f t="shared" si="7"/>
        <v>6.7861383014556301E-3</v>
      </c>
      <c r="R180" s="7">
        <v>1703.1</v>
      </c>
      <c r="S180" s="5">
        <f t="shared" si="8"/>
        <v>-8.3031701450262119E-3</v>
      </c>
      <c r="T180" s="7">
        <v>7875.45</v>
      </c>
      <c r="U180" s="5">
        <f t="shared" si="9"/>
        <v>-1.6241064549022605E-2</v>
      </c>
      <c r="V180" s="7">
        <v>2601.9499999999998</v>
      </c>
      <c r="W180" s="5">
        <f t="shared" si="10"/>
        <v>-2.4543088781238741E-2</v>
      </c>
      <c r="X180" s="7">
        <v>2475.4</v>
      </c>
      <c r="Y180" s="5">
        <f t="shared" si="11"/>
        <v>-7.2652945436559643E-3</v>
      </c>
      <c r="Z180" s="7">
        <v>4999.6000000000004</v>
      </c>
      <c r="AA180" s="5">
        <f t="shared" si="12"/>
        <v>-8.8640180179650849E-2</v>
      </c>
      <c r="AB180" s="10">
        <v>634.5</v>
      </c>
      <c r="AC180" s="5">
        <f t="shared" si="13"/>
        <v>3.7105793965357746E-3</v>
      </c>
      <c r="AD180" s="11">
        <v>11755.2</v>
      </c>
      <c r="AE180" s="5">
        <f t="shared" si="14"/>
        <v>3.2762539450711301E-3</v>
      </c>
    </row>
    <row r="181" spans="1:31" ht="13.8">
      <c r="A181" s="13">
        <v>45702</v>
      </c>
      <c r="B181" s="7">
        <v>1856.4</v>
      </c>
      <c r="C181" s="4">
        <f t="shared" si="0"/>
        <v>7.1088104972608498E-3</v>
      </c>
      <c r="D181" s="8">
        <v>512.85</v>
      </c>
      <c r="E181" s="4">
        <f t="shared" si="1"/>
        <v>-5.5743744953563691E-2</v>
      </c>
      <c r="F181" s="7">
        <v>2394.35</v>
      </c>
      <c r="G181" s="4">
        <f t="shared" si="2"/>
        <v>-4.3638830826406065E-2</v>
      </c>
      <c r="H181" s="7">
        <v>1102.55</v>
      </c>
      <c r="I181" s="5">
        <f t="shared" si="3"/>
        <v>-5.6553572063234393E-2</v>
      </c>
      <c r="J181" s="7">
        <v>1659.1</v>
      </c>
      <c r="K181" s="5">
        <f t="shared" si="4"/>
        <v>-9.7169670501770257E-3</v>
      </c>
      <c r="L181" s="7">
        <v>12075.2</v>
      </c>
      <c r="M181" s="9">
        <f t="shared" si="5"/>
        <v>-5.5702859175033037E-3</v>
      </c>
      <c r="N181" s="7">
        <v>1102.55</v>
      </c>
      <c r="O181" s="5">
        <f t="shared" si="6"/>
        <v>-5.6553572063234393E-2</v>
      </c>
      <c r="P181" s="7">
        <v>5843.75</v>
      </c>
      <c r="Q181" s="5">
        <f t="shared" si="7"/>
        <v>-2.8135225707311799E-2</v>
      </c>
      <c r="R181" s="7">
        <v>1711.25</v>
      </c>
      <c r="S181" s="5">
        <f t="shared" si="8"/>
        <v>4.7739777578684204E-3</v>
      </c>
      <c r="T181" s="7">
        <v>7793.35</v>
      </c>
      <c r="U181" s="5">
        <f t="shared" si="9"/>
        <v>-1.047951998273987E-2</v>
      </c>
      <c r="V181" s="7">
        <v>2554.25</v>
      </c>
      <c r="W181" s="5">
        <f t="shared" si="10"/>
        <v>-1.8502525428586294E-2</v>
      </c>
      <c r="X181" s="7">
        <v>2401.4</v>
      </c>
      <c r="Y181" s="5">
        <f t="shared" si="11"/>
        <v>-3.0350098509304268E-2</v>
      </c>
      <c r="Z181" s="7">
        <v>5999.5</v>
      </c>
      <c r="AA181" s="5">
        <f t="shared" si="12"/>
        <v>0.18231822318837673</v>
      </c>
      <c r="AB181" s="10">
        <v>633.75</v>
      </c>
      <c r="AC181" s="5">
        <f t="shared" si="13"/>
        <v>-1.1827322490493785E-3</v>
      </c>
      <c r="AD181" s="11">
        <v>11289.35</v>
      </c>
      <c r="AE181" s="5">
        <f t="shared" si="14"/>
        <v>-4.0435892453214661E-2</v>
      </c>
    </row>
    <row r="182" spans="1:31" ht="13.8">
      <c r="A182" s="13">
        <v>45705</v>
      </c>
      <c r="B182" s="7">
        <v>1842.3</v>
      </c>
      <c r="C182" s="4">
        <f t="shared" si="0"/>
        <v>-7.6243373635576043E-3</v>
      </c>
      <c r="D182" s="8">
        <v>522.25</v>
      </c>
      <c r="E182" s="4">
        <f t="shared" si="1"/>
        <v>1.8162995683255089E-2</v>
      </c>
      <c r="F182" s="7">
        <v>2345.9</v>
      </c>
      <c r="G182" s="4">
        <f t="shared" si="2"/>
        <v>-2.0442671703352934E-2</v>
      </c>
      <c r="H182" s="7">
        <v>1071.9000000000001</v>
      </c>
      <c r="I182" s="5">
        <f t="shared" si="3"/>
        <v>-2.8192904069103065E-2</v>
      </c>
      <c r="J182" s="7">
        <v>1664.95</v>
      </c>
      <c r="K182" s="5">
        <f t="shared" si="4"/>
        <v>3.5198062842941905E-3</v>
      </c>
      <c r="L182" s="7">
        <v>12013.65</v>
      </c>
      <c r="M182" s="9">
        <f t="shared" si="5"/>
        <v>-5.1102592234037797E-3</v>
      </c>
      <c r="N182" s="7">
        <v>1071.9000000000001</v>
      </c>
      <c r="O182" s="5">
        <f t="shared" si="6"/>
        <v>-2.8192904069103065E-2</v>
      </c>
      <c r="P182" s="7">
        <v>5923.75</v>
      </c>
      <c r="Q182" s="5">
        <f t="shared" si="7"/>
        <v>1.3596980244800909E-2</v>
      </c>
      <c r="R182" s="7">
        <v>1709.9</v>
      </c>
      <c r="S182" s="5">
        <f t="shared" si="8"/>
        <v>-7.892083481113451E-4</v>
      </c>
      <c r="T182" s="7">
        <v>7683.95</v>
      </c>
      <c r="U182" s="5">
        <f t="shared" si="9"/>
        <v>-1.4137068095959214E-2</v>
      </c>
      <c r="V182" s="7">
        <v>2591.35</v>
      </c>
      <c r="W182" s="5">
        <f t="shared" si="10"/>
        <v>1.4420336947237268E-2</v>
      </c>
      <c r="X182" s="7">
        <v>2365.6999999999998</v>
      </c>
      <c r="Y182" s="5">
        <f t="shared" si="11"/>
        <v>-1.4977939378256044E-2</v>
      </c>
      <c r="Z182" s="7">
        <v>7038</v>
      </c>
      <c r="AA182" s="5">
        <f t="shared" si="12"/>
        <v>0.15964790647708696</v>
      </c>
      <c r="AB182" s="10">
        <v>624.75</v>
      </c>
      <c r="AC182" s="5">
        <f t="shared" si="13"/>
        <v>-1.430298519033114E-2</v>
      </c>
      <c r="AD182" s="11">
        <v>10865.35</v>
      </c>
      <c r="AE182" s="5">
        <f t="shared" si="14"/>
        <v>-3.8280976711430451E-2</v>
      </c>
    </row>
    <row r="183" spans="1:31" ht="13.8">
      <c r="A183" s="13">
        <v>45706</v>
      </c>
      <c r="B183" s="7">
        <v>1851.95</v>
      </c>
      <c r="C183" s="4">
        <f t="shared" si="0"/>
        <v>5.2243469980404302E-3</v>
      </c>
      <c r="D183" s="8">
        <v>518.75</v>
      </c>
      <c r="E183" s="4">
        <f t="shared" si="1"/>
        <v>-6.7243288917671062E-3</v>
      </c>
      <c r="F183" s="7">
        <v>2385</v>
      </c>
      <c r="G183" s="4">
        <f t="shared" si="2"/>
        <v>1.6530000763474304E-2</v>
      </c>
      <c r="H183" s="7">
        <v>1009.85</v>
      </c>
      <c r="I183" s="5">
        <f t="shared" si="3"/>
        <v>-5.9630969743076426E-2</v>
      </c>
      <c r="J183" s="7">
        <v>1705</v>
      </c>
      <c r="K183" s="5">
        <f t="shared" si="4"/>
        <v>2.377001778401339E-2</v>
      </c>
      <c r="L183" s="7">
        <v>11994.15</v>
      </c>
      <c r="M183" s="9">
        <f t="shared" si="5"/>
        <v>-1.6244724038212588E-3</v>
      </c>
      <c r="N183" s="7">
        <v>1009.85</v>
      </c>
      <c r="O183" s="5">
        <f t="shared" si="6"/>
        <v>-5.9630969743076426E-2</v>
      </c>
      <c r="P183" s="7">
        <v>5839.7</v>
      </c>
      <c r="Q183" s="5">
        <f t="shared" si="7"/>
        <v>-1.4290268642015611E-2</v>
      </c>
      <c r="R183" s="7">
        <v>1725.5</v>
      </c>
      <c r="S183" s="5">
        <f t="shared" si="8"/>
        <v>9.0819742835108151E-3</v>
      </c>
      <c r="T183" s="7">
        <v>7692.25</v>
      </c>
      <c r="U183" s="5">
        <f t="shared" si="9"/>
        <v>1.0795906408799861E-3</v>
      </c>
      <c r="V183" s="7">
        <v>2578.9499999999998</v>
      </c>
      <c r="W183" s="5">
        <f t="shared" si="10"/>
        <v>-4.7966360848045947E-3</v>
      </c>
      <c r="X183" s="7">
        <v>2353.65</v>
      </c>
      <c r="Y183" s="5">
        <f t="shared" si="11"/>
        <v>-5.1066465451746236E-3</v>
      </c>
      <c r="Z183" s="7">
        <v>6842.8</v>
      </c>
      <c r="AA183" s="5">
        <f t="shared" si="12"/>
        <v>-2.8127034303393614E-2</v>
      </c>
      <c r="AB183" s="10">
        <v>626.15</v>
      </c>
      <c r="AC183" s="5">
        <f t="shared" si="13"/>
        <v>2.2383892949797007E-3</v>
      </c>
      <c r="AD183" s="11">
        <v>10494.1</v>
      </c>
      <c r="AE183" s="5">
        <f t="shared" si="14"/>
        <v>-3.4765632245301624E-2</v>
      </c>
    </row>
    <row r="184" spans="1:31" ht="13.8">
      <c r="A184" s="13">
        <v>45707</v>
      </c>
      <c r="B184" s="7">
        <v>1810.8</v>
      </c>
      <c r="C184" s="4">
        <f t="shared" si="0"/>
        <v>-2.2470401439700208E-2</v>
      </c>
      <c r="D184" s="8">
        <v>531.45000000000005</v>
      </c>
      <c r="E184" s="4">
        <f t="shared" si="1"/>
        <v>2.418704843468272E-2</v>
      </c>
      <c r="F184" s="7">
        <v>2364.5500000000002</v>
      </c>
      <c r="G184" s="4">
        <f t="shared" si="2"/>
        <v>-8.6113953424000102E-3</v>
      </c>
      <c r="H184" s="7">
        <v>1048.3</v>
      </c>
      <c r="I184" s="5">
        <f t="shared" si="3"/>
        <v>3.7367999504129563E-2</v>
      </c>
      <c r="J184" s="7">
        <v>1685.8</v>
      </c>
      <c r="K184" s="5">
        <f t="shared" si="4"/>
        <v>-1.1324882154235348E-2</v>
      </c>
      <c r="L184" s="7">
        <v>11732.1</v>
      </c>
      <c r="M184" s="9">
        <f t="shared" si="5"/>
        <v>-2.2090356146489368E-2</v>
      </c>
      <c r="N184" s="7">
        <v>1048.3</v>
      </c>
      <c r="O184" s="5">
        <f t="shared" si="6"/>
        <v>3.7367999504129563E-2</v>
      </c>
      <c r="P184" s="7">
        <v>5934.9</v>
      </c>
      <c r="Q184" s="5">
        <f t="shared" si="7"/>
        <v>1.6170753062373547E-2</v>
      </c>
      <c r="R184" s="7">
        <v>1712.3</v>
      </c>
      <c r="S184" s="5">
        <f t="shared" si="8"/>
        <v>-7.6793675431326286E-3</v>
      </c>
      <c r="T184" s="7">
        <v>7774.65</v>
      </c>
      <c r="U184" s="5">
        <f t="shared" si="9"/>
        <v>1.0655112476443806E-2</v>
      </c>
      <c r="V184" s="7">
        <v>2611.25</v>
      </c>
      <c r="W184" s="5">
        <f t="shared" si="10"/>
        <v>1.2446694536809829E-2</v>
      </c>
      <c r="X184" s="7">
        <v>2381.9</v>
      </c>
      <c r="Y184" s="5">
        <f t="shared" si="11"/>
        <v>1.1931173832681738E-2</v>
      </c>
      <c r="Z184" s="7">
        <v>6559.25</v>
      </c>
      <c r="AA184" s="5">
        <f t="shared" si="12"/>
        <v>-4.2320737444383749E-2</v>
      </c>
      <c r="AB184" s="10">
        <v>634.95000000000005</v>
      </c>
      <c r="AC184" s="5">
        <f t="shared" si="13"/>
        <v>1.3956296625001075E-2</v>
      </c>
      <c r="AD184" s="11">
        <v>10602.95</v>
      </c>
      <c r="AE184" s="5">
        <f t="shared" si="14"/>
        <v>1.0319069812098071E-2</v>
      </c>
    </row>
    <row r="185" spans="1:31" ht="13.8">
      <c r="A185" s="13">
        <v>45708</v>
      </c>
      <c r="B185" s="7">
        <v>1825.15</v>
      </c>
      <c r="C185" s="4">
        <f t="shared" si="0"/>
        <v>7.8934388580509107E-3</v>
      </c>
      <c r="D185" s="8">
        <v>527.04999999999995</v>
      </c>
      <c r="E185" s="4">
        <f t="shared" si="1"/>
        <v>-8.3136992783926205E-3</v>
      </c>
      <c r="F185" s="7">
        <v>2348.4499999999998</v>
      </c>
      <c r="G185" s="4">
        <f t="shared" si="2"/>
        <v>-6.8321929248556261E-3</v>
      </c>
      <c r="H185" s="7">
        <v>1033.4000000000001</v>
      </c>
      <c r="I185" s="5">
        <f t="shared" si="3"/>
        <v>-1.4315467605442609E-2</v>
      </c>
      <c r="J185" s="7">
        <v>1657.85</v>
      </c>
      <c r="K185" s="5">
        <f t="shared" si="4"/>
        <v>-1.6718646407160045E-2</v>
      </c>
      <c r="L185" s="7">
        <v>12454.3</v>
      </c>
      <c r="M185" s="9">
        <f t="shared" si="5"/>
        <v>5.9737270031598719E-2</v>
      </c>
      <c r="N185" s="7">
        <v>1033.4000000000001</v>
      </c>
      <c r="O185" s="5">
        <f t="shared" si="6"/>
        <v>-1.4315467605442609E-2</v>
      </c>
      <c r="P185" s="7">
        <v>5978.3</v>
      </c>
      <c r="Q185" s="5">
        <f t="shared" si="7"/>
        <v>7.2860678905814396E-3</v>
      </c>
      <c r="R185" s="7">
        <v>1687.55</v>
      </c>
      <c r="S185" s="5">
        <f t="shared" si="8"/>
        <v>-1.4559723057559796E-2</v>
      </c>
      <c r="T185" s="7">
        <v>7793.35</v>
      </c>
      <c r="U185" s="5">
        <f t="shared" si="9"/>
        <v>2.4023649786353829E-3</v>
      </c>
      <c r="V185" s="7">
        <v>2637.25</v>
      </c>
      <c r="W185" s="5">
        <f t="shared" si="10"/>
        <v>9.907673691142543E-3</v>
      </c>
      <c r="X185" s="7">
        <v>2419.25</v>
      </c>
      <c r="Y185" s="5">
        <f t="shared" si="11"/>
        <v>1.5559086255183069E-2</v>
      </c>
      <c r="Z185" s="7">
        <v>5966.6</v>
      </c>
      <c r="AA185" s="5">
        <f t="shared" si="12"/>
        <v>-9.4699016219794319E-2</v>
      </c>
      <c r="AB185" s="10">
        <v>641.6</v>
      </c>
      <c r="AC185" s="5">
        <f t="shared" si="13"/>
        <v>1.0418800917262321E-2</v>
      </c>
      <c r="AD185" s="11">
        <v>11297.65</v>
      </c>
      <c r="AE185" s="5">
        <f t="shared" si="14"/>
        <v>6.3462475202861093E-2</v>
      </c>
    </row>
    <row r="186" spans="1:31" ht="13.8">
      <c r="A186" s="13">
        <v>45709</v>
      </c>
      <c r="B186" s="7">
        <v>1815</v>
      </c>
      <c r="C186" s="4">
        <f t="shared" si="0"/>
        <v>-5.5767077209033294E-3</v>
      </c>
      <c r="D186" s="8">
        <v>508.55</v>
      </c>
      <c r="E186" s="4">
        <f t="shared" si="1"/>
        <v>-3.5731881629592836E-2</v>
      </c>
      <c r="F186" s="7">
        <v>2327.75</v>
      </c>
      <c r="G186" s="4">
        <f t="shared" si="2"/>
        <v>-8.8534002865466987E-3</v>
      </c>
      <c r="H186" s="7">
        <v>1009.6</v>
      </c>
      <c r="I186" s="5">
        <f t="shared" si="3"/>
        <v>-2.3300124066135575E-2</v>
      </c>
      <c r="J186" s="7">
        <v>1649.5</v>
      </c>
      <c r="K186" s="5">
        <f t="shared" si="4"/>
        <v>-5.0493704875856195E-3</v>
      </c>
      <c r="L186" s="7">
        <v>12207.85</v>
      </c>
      <c r="M186" s="9">
        <f t="shared" si="5"/>
        <v>-1.9986757364638012E-2</v>
      </c>
      <c r="N186" s="7">
        <v>1009.6</v>
      </c>
      <c r="O186" s="5">
        <f t="shared" si="6"/>
        <v>-2.3300124066135575E-2</v>
      </c>
      <c r="P186" s="7">
        <v>5757.05</v>
      </c>
      <c r="Q186" s="5">
        <f t="shared" si="7"/>
        <v>-3.7711055875608669E-2</v>
      </c>
      <c r="R186" s="7">
        <v>1700.7</v>
      </c>
      <c r="S186" s="5">
        <f t="shared" si="8"/>
        <v>7.762158061002028E-3</v>
      </c>
      <c r="T186" s="7">
        <v>7496.2</v>
      </c>
      <c r="U186" s="5">
        <f t="shared" si="9"/>
        <v>-3.8874580476838456E-2</v>
      </c>
      <c r="V186" s="7">
        <v>2567.5500000000002</v>
      </c>
      <c r="W186" s="5">
        <f t="shared" si="10"/>
        <v>-2.6784570752135094E-2</v>
      </c>
      <c r="X186" s="7">
        <v>2324.9499999999998</v>
      </c>
      <c r="Y186" s="5">
        <f t="shared" si="11"/>
        <v>-3.9759041347183346E-2</v>
      </c>
      <c r="Z186" s="7">
        <v>5786.35</v>
      </c>
      <c r="AA186" s="5">
        <f t="shared" si="12"/>
        <v>-3.0675555367416833E-2</v>
      </c>
      <c r="AB186" s="10">
        <v>624.79999999999995</v>
      </c>
      <c r="AC186" s="5">
        <f t="shared" si="13"/>
        <v>-2.6533458026828622E-2</v>
      </c>
      <c r="AD186" s="11">
        <v>11567.1</v>
      </c>
      <c r="AE186" s="5">
        <f t="shared" si="14"/>
        <v>2.3570122071003338E-2</v>
      </c>
    </row>
    <row r="187" spans="1:31" ht="13.8">
      <c r="A187" s="13">
        <v>45712</v>
      </c>
      <c r="B187" s="7">
        <v>1764.1</v>
      </c>
      <c r="C187" s="4">
        <f t="shared" si="0"/>
        <v>-2.844482239659098E-2</v>
      </c>
      <c r="D187" s="8">
        <v>516.4</v>
      </c>
      <c r="E187" s="4">
        <f t="shared" si="1"/>
        <v>1.5318119900882072E-2</v>
      </c>
      <c r="F187" s="7">
        <v>2298.8000000000002</v>
      </c>
      <c r="G187" s="4">
        <f t="shared" si="2"/>
        <v>-1.2514888135052631E-2</v>
      </c>
      <c r="H187" s="7">
        <v>1011.55</v>
      </c>
      <c r="I187" s="5">
        <f t="shared" si="3"/>
        <v>1.9295951364740203E-3</v>
      </c>
      <c r="J187" s="7">
        <v>1613.7</v>
      </c>
      <c r="K187" s="5">
        <f t="shared" si="4"/>
        <v>-2.1942532721329462E-2</v>
      </c>
      <c r="L187" s="7">
        <v>12001.85</v>
      </c>
      <c r="M187" s="9">
        <f t="shared" si="5"/>
        <v>-1.7018382869505737E-2</v>
      </c>
      <c r="N187" s="7">
        <v>1011.55</v>
      </c>
      <c r="O187" s="5">
        <f t="shared" si="6"/>
        <v>1.9295951364740203E-3</v>
      </c>
      <c r="P187" s="7">
        <v>5702.55</v>
      </c>
      <c r="Q187" s="5">
        <f t="shared" si="7"/>
        <v>-9.5117475128515001E-3</v>
      </c>
      <c r="R187" s="7">
        <v>1644.05</v>
      </c>
      <c r="S187" s="5">
        <f t="shared" si="8"/>
        <v>-3.3877221219423354E-2</v>
      </c>
      <c r="T187" s="7">
        <v>7628.4</v>
      </c>
      <c r="U187" s="5">
        <f t="shared" si="9"/>
        <v>1.7481899271555947E-2</v>
      </c>
      <c r="V187" s="7">
        <v>2487.9</v>
      </c>
      <c r="W187" s="5">
        <f t="shared" si="10"/>
        <v>-3.1513155684515272E-2</v>
      </c>
      <c r="X187" s="7">
        <v>2362.4499999999998</v>
      </c>
      <c r="Y187" s="5">
        <f t="shared" si="11"/>
        <v>1.600068270890399E-2</v>
      </c>
      <c r="Z187" s="7">
        <v>5586.1</v>
      </c>
      <c r="AA187" s="5">
        <f t="shared" si="12"/>
        <v>-3.5220326304055638E-2</v>
      </c>
      <c r="AB187" s="10">
        <v>621.25</v>
      </c>
      <c r="AC187" s="5">
        <f t="shared" si="13"/>
        <v>-5.6980211146376667E-3</v>
      </c>
      <c r="AD187" s="11">
        <v>11607.65</v>
      </c>
      <c r="AE187" s="5">
        <f t="shared" si="14"/>
        <v>3.4995019478530334E-3</v>
      </c>
    </row>
    <row r="188" spans="1:31" ht="13.8">
      <c r="A188" s="13">
        <v>45713</v>
      </c>
      <c r="B188" s="7">
        <v>1767.7</v>
      </c>
      <c r="C188" s="4">
        <f t="shared" si="0"/>
        <v>2.0386212394773906E-3</v>
      </c>
      <c r="D188" s="8">
        <v>514.75</v>
      </c>
      <c r="E188" s="4">
        <f t="shared" si="1"/>
        <v>-3.2003130645885509E-3</v>
      </c>
      <c r="F188" s="7">
        <v>2342.1</v>
      </c>
      <c r="G188" s="4">
        <f t="shared" si="2"/>
        <v>1.8660715160768355E-2</v>
      </c>
      <c r="H188" s="7">
        <v>1023.7</v>
      </c>
      <c r="I188" s="5">
        <f t="shared" si="3"/>
        <v>1.1939707002302413E-2</v>
      </c>
      <c r="J188" s="7">
        <v>1593.95</v>
      </c>
      <c r="K188" s="5">
        <f t="shared" si="4"/>
        <v>-1.2314466717727833E-2</v>
      </c>
      <c r="L188" s="7">
        <v>11642.05</v>
      </c>
      <c r="M188" s="9">
        <f t="shared" si="5"/>
        <v>-3.0437260937177794E-2</v>
      </c>
      <c r="N188" s="7">
        <v>1023.7</v>
      </c>
      <c r="O188" s="5">
        <f t="shared" si="6"/>
        <v>1.1939707002302413E-2</v>
      </c>
      <c r="P188" s="7">
        <v>5726.4</v>
      </c>
      <c r="Q188" s="5">
        <f t="shared" si="7"/>
        <v>4.1736178074838872E-3</v>
      </c>
      <c r="R188" s="7">
        <v>1636.1</v>
      </c>
      <c r="S188" s="5">
        <f t="shared" si="8"/>
        <v>-4.84734878991355E-3</v>
      </c>
      <c r="T188" s="7">
        <v>7633.75</v>
      </c>
      <c r="U188" s="5">
        <f t="shared" si="9"/>
        <v>7.0108080698117403E-4</v>
      </c>
      <c r="V188" s="7">
        <v>2452.9</v>
      </c>
      <c r="W188" s="5">
        <f t="shared" si="10"/>
        <v>-1.4167983106230466E-2</v>
      </c>
      <c r="X188" s="7">
        <v>2360.65</v>
      </c>
      <c r="Y188" s="5">
        <f t="shared" si="11"/>
        <v>-7.6221129645551904E-4</v>
      </c>
      <c r="Z188" s="7">
        <v>5652.2</v>
      </c>
      <c r="AA188" s="5">
        <f t="shared" si="12"/>
        <v>1.1763480640048013E-2</v>
      </c>
      <c r="AB188" s="10">
        <v>621.79999999999995</v>
      </c>
      <c r="AC188" s="5">
        <f t="shared" si="13"/>
        <v>8.8492021381490272E-4</v>
      </c>
      <c r="AD188" s="11">
        <v>11797.9</v>
      </c>
      <c r="AE188" s="5">
        <f t="shared" si="14"/>
        <v>1.6257186024333535E-2</v>
      </c>
    </row>
    <row r="189" spans="1:31" ht="13.8">
      <c r="A189" s="13">
        <v>45715</v>
      </c>
      <c r="B189" s="7">
        <v>1764.3</v>
      </c>
      <c r="C189" s="4">
        <f t="shared" si="0"/>
        <v>-1.9252554078175112E-3</v>
      </c>
      <c r="D189" s="8">
        <v>506.95</v>
      </c>
      <c r="E189" s="4">
        <f t="shared" si="1"/>
        <v>-1.5268966509310065E-2</v>
      </c>
      <c r="F189" s="7">
        <v>2294.1999999999998</v>
      </c>
      <c r="G189" s="4">
        <f t="shared" si="2"/>
        <v>-2.0663763947187708E-2</v>
      </c>
      <c r="H189" s="7">
        <v>1017.4</v>
      </c>
      <c r="I189" s="5">
        <f t="shared" si="3"/>
        <v>-6.1731615370604793E-3</v>
      </c>
      <c r="J189" s="7">
        <v>1588.25</v>
      </c>
      <c r="K189" s="5">
        <f t="shared" si="4"/>
        <v>-3.5824310829360899E-3</v>
      </c>
      <c r="L189" s="7">
        <v>12068.65</v>
      </c>
      <c r="M189" s="9">
        <f t="shared" si="5"/>
        <v>3.5987637663082196E-2</v>
      </c>
      <c r="N189" s="7">
        <v>1017.4</v>
      </c>
      <c r="O189" s="5">
        <f t="shared" si="6"/>
        <v>-6.1731615370604793E-3</v>
      </c>
      <c r="P189" s="7">
        <v>5615.8</v>
      </c>
      <c r="Q189" s="5">
        <f t="shared" si="7"/>
        <v>-1.9503007475868167E-2</v>
      </c>
      <c r="R189" s="7">
        <v>1629.2</v>
      </c>
      <c r="S189" s="5">
        <f t="shared" si="8"/>
        <v>-4.2262642147732682E-3</v>
      </c>
      <c r="T189" s="7">
        <v>7489</v>
      </c>
      <c r="U189" s="5">
        <f t="shared" si="9"/>
        <v>-1.9143928287977455E-2</v>
      </c>
      <c r="V189" s="7">
        <v>2376.4</v>
      </c>
      <c r="W189" s="5">
        <f t="shared" si="10"/>
        <v>-3.1684260537450895E-2</v>
      </c>
      <c r="X189" s="7">
        <v>2338.9499999999998</v>
      </c>
      <c r="Y189" s="5">
        <f t="shared" si="11"/>
        <v>-9.2348941273130043E-3</v>
      </c>
      <c r="Z189" s="7">
        <v>5369.7</v>
      </c>
      <c r="AA189" s="5">
        <f t="shared" si="12"/>
        <v>-5.127280886197038E-2</v>
      </c>
      <c r="AB189" s="10">
        <v>623.29999999999995</v>
      </c>
      <c r="AC189" s="5">
        <f t="shared" si="13"/>
        <v>2.4094461901514388E-3</v>
      </c>
      <c r="AD189" s="11">
        <v>11565.25</v>
      </c>
      <c r="AE189" s="5">
        <f t="shared" si="14"/>
        <v>-1.9916637134631768E-2</v>
      </c>
    </row>
    <row r="190" spans="1:31" ht="13.8">
      <c r="A190" s="13">
        <v>45716</v>
      </c>
      <c r="B190" s="7">
        <v>1687.7</v>
      </c>
      <c r="C190" s="4">
        <f t="shared" si="0"/>
        <v>-4.4387355891581264E-2</v>
      </c>
      <c r="D190" s="8">
        <v>461.8</v>
      </c>
      <c r="E190" s="4">
        <f t="shared" si="1"/>
        <v>-9.328048247819376E-2</v>
      </c>
      <c r="F190" s="7">
        <v>2290.6</v>
      </c>
      <c r="G190" s="4">
        <f t="shared" si="2"/>
        <v>-1.5704068835514383E-3</v>
      </c>
      <c r="H190" s="7">
        <v>975.4</v>
      </c>
      <c r="I190" s="5">
        <f t="shared" si="3"/>
        <v>-4.2157989112712381E-2</v>
      </c>
      <c r="J190" s="7">
        <v>1487.85</v>
      </c>
      <c r="K190" s="5">
        <f t="shared" si="4"/>
        <v>-6.5300656286530201E-2</v>
      </c>
      <c r="L190" s="7">
        <v>11574.35</v>
      </c>
      <c r="M190" s="9">
        <f t="shared" si="5"/>
        <v>-4.1819738410153171E-2</v>
      </c>
      <c r="N190" s="7">
        <v>975.4</v>
      </c>
      <c r="O190" s="5">
        <f t="shared" si="6"/>
        <v>-4.2157989112712381E-2</v>
      </c>
      <c r="P190" s="7">
        <v>5480.25</v>
      </c>
      <c r="Q190" s="5">
        <f t="shared" si="7"/>
        <v>-2.4433333196456245E-2</v>
      </c>
      <c r="R190" s="7">
        <v>1575.05</v>
      </c>
      <c r="S190" s="5">
        <f t="shared" si="8"/>
        <v>-3.3802078986672653E-2</v>
      </c>
      <c r="T190" s="7">
        <v>7362.15</v>
      </c>
      <c r="U190" s="5">
        <f t="shared" si="9"/>
        <v>-1.7083267619840622E-2</v>
      </c>
      <c r="V190" s="7">
        <v>2247.25</v>
      </c>
      <c r="W190" s="5">
        <f t="shared" si="10"/>
        <v>-5.5879491028077773E-2</v>
      </c>
      <c r="X190" s="7">
        <v>2225.5</v>
      </c>
      <c r="Y190" s="5">
        <f t="shared" si="11"/>
        <v>-4.9720501243095037E-2</v>
      </c>
      <c r="Z190" s="7">
        <v>5189.3999999999996</v>
      </c>
      <c r="AA190" s="5">
        <f t="shared" si="12"/>
        <v>-3.4153957480042761E-2</v>
      </c>
      <c r="AB190" s="10">
        <v>600.6</v>
      </c>
      <c r="AC190" s="5">
        <f t="shared" si="13"/>
        <v>-3.7098788265574931E-2</v>
      </c>
      <c r="AD190" s="11">
        <v>11284.35</v>
      </c>
      <c r="AE190" s="5">
        <f t="shared" si="14"/>
        <v>-2.4588102368998326E-2</v>
      </c>
    </row>
    <row r="191" spans="1:31" ht="13.8">
      <c r="A191" s="12">
        <v>45719</v>
      </c>
      <c r="B191" s="7">
        <v>1708.6</v>
      </c>
      <c r="C191" s="4">
        <f t="shared" si="0"/>
        <v>1.2307666475079488E-2</v>
      </c>
      <c r="D191" s="8">
        <v>472.85</v>
      </c>
      <c r="E191" s="4">
        <f t="shared" si="1"/>
        <v>2.364631654112612E-2</v>
      </c>
      <c r="F191" s="7">
        <v>2328.6999999999998</v>
      </c>
      <c r="G191" s="4">
        <f t="shared" si="2"/>
        <v>1.649637997557421E-2</v>
      </c>
      <c r="H191" s="7">
        <v>979.75</v>
      </c>
      <c r="I191" s="5">
        <f t="shared" si="3"/>
        <v>4.449793803788675E-3</v>
      </c>
      <c r="J191" s="7">
        <v>1493.05</v>
      </c>
      <c r="K191" s="5">
        <f t="shared" si="4"/>
        <v>3.4888827365315437E-3</v>
      </c>
      <c r="L191" s="7">
        <v>11346.75</v>
      </c>
      <c r="M191" s="9">
        <f t="shared" si="5"/>
        <v>-1.9860083577041863E-2</v>
      </c>
      <c r="N191" s="7">
        <v>979.75</v>
      </c>
      <c r="O191" s="5">
        <f t="shared" si="6"/>
        <v>4.449793803788675E-3</v>
      </c>
      <c r="P191" s="7">
        <v>5540.25</v>
      </c>
      <c r="Q191" s="5">
        <f t="shared" si="7"/>
        <v>1.0888905737519845E-2</v>
      </c>
      <c r="R191" s="7">
        <v>1572.4</v>
      </c>
      <c r="S191" s="5">
        <f t="shared" si="8"/>
        <v>-1.6839032398794816E-3</v>
      </c>
      <c r="T191" s="7">
        <v>7357.05</v>
      </c>
      <c r="U191" s="5">
        <f t="shared" si="9"/>
        <v>-6.9297247188555215E-4</v>
      </c>
      <c r="V191" s="7">
        <v>2265.4</v>
      </c>
      <c r="W191" s="5">
        <f t="shared" si="10"/>
        <v>8.0440973131046169E-3</v>
      </c>
      <c r="X191" s="7">
        <v>2323.85</v>
      </c>
      <c r="Y191" s="5">
        <f t="shared" si="11"/>
        <v>4.3243683543001177E-2</v>
      </c>
      <c r="Z191" s="7">
        <v>5099.8500000000004</v>
      </c>
      <c r="AA191" s="5">
        <f t="shared" si="12"/>
        <v>-1.7406956025344224E-2</v>
      </c>
      <c r="AB191" s="10">
        <v>594.15</v>
      </c>
      <c r="AC191" s="5">
        <f t="shared" si="13"/>
        <v>-1.0797342813194612E-2</v>
      </c>
      <c r="AD191" s="11">
        <v>11754.75</v>
      </c>
      <c r="AE191" s="5">
        <f t="shared" si="14"/>
        <v>4.0840604191701817E-2</v>
      </c>
    </row>
    <row r="192" spans="1:31" ht="13.8">
      <c r="A192" s="12">
        <v>45720</v>
      </c>
      <c r="B192" s="7">
        <v>1688.3</v>
      </c>
      <c r="C192" s="4">
        <f t="shared" si="0"/>
        <v>-1.1952216234370299E-2</v>
      </c>
      <c r="D192" s="8">
        <v>471.6</v>
      </c>
      <c r="E192" s="4">
        <f t="shared" si="1"/>
        <v>-2.6470447983053618E-3</v>
      </c>
      <c r="F192" s="7">
        <v>2284.1</v>
      </c>
      <c r="G192" s="4">
        <f t="shared" si="2"/>
        <v>-1.9338098284601712E-2</v>
      </c>
      <c r="H192" s="7">
        <v>1049.3</v>
      </c>
      <c r="I192" s="5">
        <f t="shared" si="3"/>
        <v>6.8581117084124399E-2</v>
      </c>
      <c r="J192" s="7">
        <v>1488.25</v>
      </c>
      <c r="K192" s="5">
        <f t="shared" si="4"/>
        <v>-3.220074563144507E-3</v>
      </c>
      <c r="L192" s="7">
        <v>11209.15</v>
      </c>
      <c r="M192" s="9">
        <f t="shared" si="5"/>
        <v>-1.2200950257831557E-2</v>
      </c>
      <c r="N192" s="7">
        <v>1049.3</v>
      </c>
      <c r="O192" s="5">
        <f t="shared" si="6"/>
        <v>6.8581117084124399E-2</v>
      </c>
      <c r="P192" s="7">
        <v>5517.7</v>
      </c>
      <c r="Q192" s="5">
        <f t="shared" si="7"/>
        <v>-4.0785193021583349E-3</v>
      </c>
      <c r="R192" s="7">
        <v>1535.5</v>
      </c>
      <c r="S192" s="5">
        <f t="shared" si="8"/>
        <v>-2.3747053666828274E-2</v>
      </c>
      <c r="T192" s="7">
        <v>7212.4</v>
      </c>
      <c r="U192" s="5">
        <f t="shared" si="9"/>
        <v>-1.9857270255427707E-2</v>
      </c>
      <c r="V192" s="7">
        <v>2246.6</v>
      </c>
      <c r="W192" s="5">
        <f t="shared" si="10"/>
        <v>-8.3333815591444104E-3</v>
      </c>
      <c r="X192" s="7">
        <v>2293.9</v>
      </c>
      <c r="Y192" s="5">
        <f t="shared" si="11"/>
        <v>-1.2971867238827933E-2</v>
      </c>
      <c r="Z192" s="7">
        <v>5126</v>
      </c>
      <c r="AA192" s="5">
        <f t="shared" si="12"/>
        <v>5.1145004088395214E-3</v>
      </c>
      <c r="AB192" s="10">
        <v>587.75</v>
      </c>
      <c r="AC192" s="5">
        <f t="shared" si="13"/>
        <v>-1.0830125315856412E-2</v>
      </c>
      <c r="AD192" s="11">
        <v>12187.35</v>
      </c>
      <c r="AE192" s="5">
        <f t="shared" si="14"/>
        <v>3.6141114335767451E-2</v>
      </c>
    </row>
    <row r="193" spans="1:31" ht="13.8">
      <c r="A193" s="12">
        <v>45721</v>
      </c>
      <c r="B193" s="7">
        <v>1711.5</v>
      </c>
      <c r="C193" s="4">
        <f t="shared" si="0"/>
        <v>1.3648073487092028E-2</v>
      </c>
      <c r="D193" s="8">
        <v>483.7</v>
      </c>
      <c r="E193" s="4">
        <f t="shared" si="1"/>
        <v>2.5333711165721515E-2</v>
      </c>
      <c r="F193" s="7">
        <v>2288.15</v>
      </c>
      <c r="G193" s="4">
        <f t="shared" si="2"/>
        <v>1.7715571367334846E-3</v>
      </c>
      <c r="H193" s="7">
        <v>1063.5</v>
      </c>
      <c r="I193" s="5">
        <f t="shared" si="3"/>
        <v>1.3442080476426567E-2</v>
      </c>
      <c r="J193" s="7">
        <v>1538.1</v>
      </c>
      <c r="K193" s="5">
        <f t="shared" si="4"/>
        <v>3.2946955424265088E-2</v>
      </c>
      <c r="L193" s="7">
        <v>11560</v>
      </c>
      <c r="M193" s="9">
        <f t="shared" si="5"/>
        <v>3.0820454191145954E-2</v>
      </c>
      <c r="N193" s="7">
        <v>1063.5</v>
      </c>
      <c r="O193" s="5">
        <f t="shared" si="6"/>
        <v>1.3442080476426567E-2</v>
      </c>
      <c r="P193" s="7">
        <v>5516.55</v>
      </c>
      <c r="Q193" s="5">
        <f t="shared" si="7"/>
        <v>-2.084418975758451E-4</v>
      </c>
      <c r="R193" s="7">
        <v>1572.95</v>
      </c>
      <c r="S193" s="5">
        <f t="shared" si="8"/>
        <v>2.4096776276779811E-2</v>
      </c>
      <c r="T193" s="7">
        <v>7814.2</v>
      </c>
      <c r="U193" s="5">
        <f t="shared" si="9"/>
        <v>8.014082447099749E-2</v>
      </c>
      <c r="V193" s="7">
        <v>2307.85</v>
      </c>
      <c r="W193" s="5">
        <f t="shared" si="10"/>
        <v>2.6898392974004197E-2</v>
      </c>
      <c r="X193" s="7">
        <v>2330.6999999999998</v>
      </c>
      <c r="Y193" s="5">
        <f t="shared" si="11"/>
        <v>1.5915225864402381E-2</v>
      </c>
      <c r="Z193" s="7">
        <v>5160.6000000000004</v>
      </c>
      <c r="AA193" s="5">
        <f t="shared" si="12"/>
        <v>6.7272238614725262E-3</v>
      </c>
      <c r="AB193" s="10">
        <v>589.15</v>
      </c>
      <c r="AC193" s="5">
        <f t="shared" si="13"/>
        <v>2.3791327391707215E-3</v>
      </c>
      <c r="AD193" s="11">
        <v>13191.1</v>
      </c>
      <c r="AE193" s="5">
        <f t="shared" si="14"/>
        <v>7.9143831208519269E-2</v>
      </c>
    </row>
    <row r="194" spans="1:31" ht="13.8">
      <c r="A194" s="12">
        <v>45722</v>
      </c>
      <c r="B194" s="7">
        <v>1715.85</v>
      </c>
      <c r="C194" s="4">
        <f t="shared" si="0"/>
        <v>2.5384056695519999E-3</v>
      </c>
      <c r="D194" s="8">
        <v>494</v>
      </c>
      <c r="E194" s="4">
        <f t="shared" si="1"/>
        <v>2.1070637358984973E-2</v>
      </c>
      <c r="F194" s="7">
        <v>2274.3000000000002</v>
      </c>
      <c r="G194" s="4">
        <f t="shared" si="2"/>
        <v>-6.0713180609538297E-3</v>
      </c>
      <c r="H194" s="7">
        <v>1065.6500000000001</v>
      </c>
      <c r="I194" s="5">
        <f t="shared" si="3"/>
        <v>2.0195859669557615E-3</v>
      </c>
      <c r="J194" s="7">
        <v>1503.45</v>
      </c>
      <c r="K194" s="5">
        <f t="shared" si="4"/>
        <v>-2.2785421318779562E-2</v>
      </c>
      <c r="L194" s="7">
        <v>11361.95</v>
      </c>
      <c r="M194" s="9">
        <f t="shared" si="5"/>
        <v>-1.7280809752670295E-2</v>
      </c>
      <c r="N194" s="7">
        <v>1065.6500000000001</v>
      </c>
      <c r="O194" s="5">
        <f t="shared" si="6"/>
        <v>2.0195859669557615E-3</v>
      </c>
      <c r="P194" s="7">
        <v>5568.7</v>
      </c>
      <c r="Q194" s="5">
        <f t="shared" si="7"/>
        <v>9.4089686259428429E-3</v>
      </c>
      <c r="R194" s="7">
        <v>1585.45</v>
      </c>
      <c r="S194" s="5">
        <f t="shared" si="8"/>
        <v>7.9154415303563427E-3</v>
      </c>
      <c r="T194" s="7">
        <v>7625.15</v>
      </c>
      <c r="U194" s="5">
        <f t="shared" si="9"/>
        <v>-2.4490596959944749E-2</v>
      </c>
      <c r="V194" s="7">
        <v>2343</v>
      </c>
      <c r="W194" s="5">
        <f t="shared" si="10"/>
        <v>1.5115804326322506E-2</v>
      </c>
      <c r="X194" s="7">
        <v>2319.5</v>
      </c>
      <c r="Y194" s="5">
        <f t="shared" si="11"/>
        <v>-4.8170064326863273E-3</v>
      </c>
      <c r="Z194" s="7">
        <v>5418.6</v>
      </c>
      <c r="AA194" s="5">
        <f t="shared" si="12"/>
        <v>4.8784627699319134E-2</v>
      </c>
      <c r="AB194" s="10">
        <v>607.70000000000005</v>
      </c>
      <c r="AC194" s="5">
        <f t="shared" si="13"/>
        <v>3.1000518981960001E-2</v>
      </c>
      <c r="AD194" s="11">
        <v>13613</v>
      </c>
      <c r="AE194" s="5">
        <f t="shared" si="14"/>
        <v>3.1482858765899201E-2</v>
      </c>
    </row>
    <row r="195" spans="1:31" ht="13.8">
      <c r="A195" s="12">
        <v>45723</v>
      </c>
      <c r="B195" s="7">
        <v>1686</v>
      </c>
      <c r="C195" s="4">
        <f t="shared" si="0"/>
        <v>-1.7549725077991345E-2</v>
      </c>
      <c r="D195" s="8">
        <v>493.15</v>
      </c>
      <c r="E195" s="4">
        <f t="shared" si="1"/>
        <v>-1.7221297879200293E-3</v>
      </c>
      <c r="F195" s="7">
        <v>2316.0500000000002</v>
      </c>
      <c r="G195" s="4">
        <f t="shared" si="2"/>
        <v>1.8190835675939307E-2</v>
      </c>
      <c r="H195" s="7">
        <v>1135.2</v>
      </c>
      <c r="I195" s="5">
        <f t="shared" si="3"/>
        <v>6.322390523858519E-2</v>
      </c>
      <c r="J195" s="7">
        <v>1492.35</v>
      </c>
      <c r="K195" s="5">
        <f t="shared" si="4"/>
        <v>-7.4104084355065963E-3</v>
      </c>
      <c r="L195" s="7">
        <v>11774.95</v>
      </c>
      <c r="M195" s="9">
        <f t="shared" si="5"/>
        <v>3.5704340117403845E-2</v>
      </c>
      <c r="N195" s="7">
        <v>1135.2</v>
      </c>
      <c r="O195" s="5">
        <f t="shared" si="6"/>
        <v>6.322390523858519E-2</v>
      </c>
      <c r="P195" s="7">
        <v>5578.75</v>
      </c>
      <c r="Q195" s="5">
        <f t="shared" si="7"/>
        <v>1.8031034403140388E-3</v>
      </c>
      <c r="R195" s="7">
        <v>1557.95</v>
      </c>
      <c r="S195" s="5">
        <f t="shared" si="8"/>
        <v>-1.7497424198479977E-2</v>
      </c>
      <c r="T195" s="7">
        <v>7707.25</v>
      </c>
      <c r="U195" s="5">
        <f t="shared" si="9"/>
        <v>1.0709449881962489E-2</v>
      </c>
      <c r="V195" s="7">
        <v>2302.25</v>
      </c>
      <c r="W195" s="5">
        <f t="shared" si="10"/>
        <v>-1.7545253906319207E-2</v>
      </c>
      <c r="X195" s="7">
        <v>2332.9</v>
      </c>
      <c r="Y195" s="5">
        <f t="shared" si="11"/>
        <v>5.7604836447946797E-3</v>
      </c>
      <c r="Z195" s="7">
        <v>5326.35</v>
      </c>
      <c r="AA195" s="5">
        <f t="shared" si="12"/>
        <v>-1.7171278911472028E-2</v>
      </c>
      <c r="AB195" s="10">
        <v>609.65</v>
      </c>
      <c r="AC195" s="5">
        <f t="shared" si="13"/>
        <v>3.203682864964049E-3</v>
      </c>
      <c r="AD195" s="11">
        <v>13049.35</v>
      </c>
      <c r="AE195" s="5">
        <f t="shared" si="14"/>
        <v>-4.2286894431233318E-2</v>
      </c>
    </row>
    <row r="196" spans="1:31" ht="13.8">
      <c r="A196" s="13">
        <v>45726</v>
      </c>
      <c r="B196" s="7">
        <v>1701.45</v>
      </c>
      <c r="C196" s="4">
        <f t="shared" si="0"/>
        <v>9.1219691113605898E-3</v>
      </c>
      <c r="D196" s="8">
        <v>478.65</v>
      </c>
      <c r="E196" s="4">
        <f t="shared" si="1"/>
        <v>-2.9843746007640271E-2</v>
      </c>
      <c r="F196" s="7">
        <v>2259.3000000000002</v>
      </c>
      <c r="G196" s="4">
        <f t="shared" si="2"/>
        <v>-2.4808117630891541E-2</v>
      </c>
      <c r="H196" s="7">
        <v>1143.4000000000001</v>
      </c>
      <c r="I196" s="5">
        <f t="shared" si="3"/>
        <v>7.1974329840379615E-3</v>
      </c>
      <c r="J196" s="7">
        <v>1486.85</v>
      </c>
      <c r="K196" s="5">
        <f t="shared" si="4"/>
        <v>-3.6922705749151429E-3</v>
      </c>
      <c r="L196" s="7">
        <v>11637.2</v>
      </c>
      <c r="M196" s="9">
        <f t="shared" si="5"/>
        <v>-1.1767530070602328E-2</v>
      </c>
      <c r="N196" s="7">
        <v>1143.4000000000001</v>
      </c>
      <c r="O196" s="5">
        <f t="shared" si="6"/>
        <v>7.1974329840379615E-3</v>
      </c>
      <c r="P196" s="7">
        <v>5514.25</v>
      </c>
      <c r="Q196" s="5">
        <f t="shared" si="7"/>
        <v>-1.1629086250782412E-2</v>
      </c>
      <c r="R196" s="7">
        <v>1549.3</v>
      </c>
      <c r="S196" s="5">
        <f t="shared" si="8"/>
        <v>-5.5676384872871965E-3</v>
      </c>
      <c r="T196" s="7">
        <v>7534.55</v>
      </c>
      <c r="U196" s="5">
        <f t="shared" si="9"/>
        <v>-2.2662335318617791E-2</v>
      </c>
      <c r="V196" s="7">
        <v>2265</v>
      </c>
      <c r="W196" s="5">
        <f t="shared" si="10"/>
        <v>-1.6312146684341975E-2</v>
      </c>
      <c r="X196" s="7">
        <v>2257.25</v>
      </c>
      <c r="Y196" s="5">
        <f t="shared" si="11"/>
        <v>-3.2964870649004469E-2</v>
      </c>
      <c r="Z196" s="7">
        <v>5109.1000000000004</v>
      </c>
      <c r="AA196" s="5">
        <f t="shared" si="12"/>
        <v>-4.1642937132076591E-2</v>
      </c>
      <c r="AB196" s="10">
        <v>607.29999999999995</v>
      </c>
      <c r="AC196" s="5">
        <f t="shared" si="13"/>
        <v>-3.8621191027441576E-3</v>
      </c>
      <c r="AD196" s="11">
        <v>12714.8</v>
      </c>
      <c r="AE196" s="5">
        <f t="shared" si="14"/>
        <v>-2.5971654802130425E-2</v>
      </c>
    </row>
    <row r="197" spans="1:31" ht="13.8">
      <c r="A197" s="13">
        <v>45727</v>
      </c>
      <c r="B197" s="7">
        <v>1661.6</v>
      </c>
      <c r="C197" s="4">
        <f t="shared" si="0"/>
        <v>-2.3699835111258786E-2</v>
      </c>
      <c r="D197" s="8">
        <v>478.7</v>
      </c>
      <c r="E197" s="4">
        <f t="shared" si="1"/>
        <v>1.04455006101202E-4</v>
      </c>
      <c r="F197" s="7">
        <v>2210.1999999999998</v>
      </c>
      <c r="G197" s="4">
        <f t="shared" si="2"/>
        <v>-2.1972021620734E-2</v>
      </c>
      <c r="H197" s="7">
        <v>1116.5999999999999</v>
      </c>
      <c r="I197" s="5">
        <f t="shared" si="3"/>
        <v>-2.3717925953611021E-2</v>
      </c>
      <c r="J197" s="7">
        <v>1479.2</v>
      </c>
      <c r="K197" s="5">
        <f t="shared" si="4"/>
        <v>-5.1583870556480126E-3</v>
      </c>
      <c r="L197" s="7">
        <v>11384.55</v>
      </c>
      <c r="M197" s="9">
        <f t="shared" si="5"/>
        <v>-2.194969049552007E-2</v>
      </c>
      <c r="N197" s="7">
        <v>1116.5999999999999</v>
      </c>
      <c r="O197" s="5">
        <f t="shared" si="6"/>
        <v>-2.3717925953611021E-2</v>
      </c>
      <c r="P197" s="7">
        <v>5546.25</v>
      </c>
      <c r="Q197" s="5">
        <f t="shared" si="7"/>
        <v>5.7863730004219177E-3</v>
      </c>
      <c r="R197" s="7">
        <v>1567.85</v>
      </c>
      <c r="S197" s="5">
        <f t="shared" si="8"/>
        <v>1.1902038066778866E-2</v>
      </c>
      <c r="T197" s="7">
        <v>7632.1</v>
      </c>
      <c r="U197" s="5">
        <f t="shared" si="9"/>
        <v>1.2863927791038739E-2</v>
      </c>
      <c r="V197" s="7">
        <v>2277.85</v>
      </c>
      <c r="W197" s="5">
        <f t="shared" si="10"/>
        <v>5.6572566875525915E-3</v>
      </c>
      <c r="X197" s="7">
        <v>2288.85</v>
      </c>
      <c r="Y197" s="5">
        <f t="shared" si="11"/>
        <v>1.3902249818265598E-2</v>
      </c>
      <c r="Z197" s="7">
        <v>5226.3999999999996</v>
      </c>
      <c r="AA197" s="5">
        <f t="shared" si="12"/>
        <v>2.2699441085280919E-2</v>
      </c>
      <c r="AB197" s="10">
        <v>602.9</v>
      </c>
      <c r="AC197" s="5">
        <f t="shared" si="13"/>
        <v>-7.2715574081696852E-3</v>
      </c>
      <c r="AD197" s="11">
        <v>12169.6</v>
      </c>
      <c r="AE197" s="5">
        <f t="shared" si="14"/>
        <v>-4.3825630545168776E-2</v>
      </c>
    </row>
    <row r="198" spans="1:31" ht="13.8">
      <c r="A198" s="13">
        <v>45728</v>
      </c>
      <c r="B198" s="7">
        <v>1590.85</v>
      </c>
      <c r="C198" s="4">
        <f t="shared" si="0"/>
        <v>-4.3512528995623578E-2</v>
      </c>
      <c r="D198" s="8">
        <v>476</v>
      </c>
      <c r="E198" s="4">
        <f t="shared" si="1"/>
        <v>-5.6562421670433008E-3</v>
      </c>
      <c r="F198" s="7">
        <v>2166.4499999999998</v>
      </c>
      <c r="G198" s="4">
        <f t="shared" si="2"/>
        <v>-1.999312593939644E-2</v>
      </c>
      <c r="H198" s="7">
        <v>1093.7</v>
      </c>
      <c r="I198" s="5">
        <f t="shared" si="3"/>
        <v>-2.0721910535079817E-2</v>
      </c>
      <c r="J198" s="7">
        <v>1438.3</v>
      </c>
      <c r="K198" s="5">
        <f t="shared" si="4"/>
        <v>-2.8039540463071649E-2</v>
      </c>
      <c r="L198" s="7">
        <v>11458.3</v>
      </c>
      <c r="M198" s="9">
        <f t="shared" si="5"/>
        <v>6.4571851806425251E-3</v>
      </c>
      <c r="N198" s="7">
        <v>1093.7</v>
      </c>
      <c r="O198" s="5">
        <f t="shared" si="6"/>
        <v>-2.0721910535079817E-2</v>
      </c>
      <c r="P198" s="7">
        <v>5667.15</v>
      </c>
      <c r="Q198" s="5">
        <f t="shared" si="7"/>
        <v>2.1564322157434833E-2</v>
      </c>
      <c r="R198" s="7">
        <v>1540.6</v>
      </c>
      <c r="S198" s="5">
        <f t="shared" si="8"/>
        <v>-1.7533303150159552E-2</v>
      </c>
      <c r="T198" s="7">
        <v>7400.3</v>
      </c>
      <c r="U198" s="5">
        <f t="shared" si="9"/>
        <v>-3.0842496856593227E-2</v>
      </c>
      <c r="V198" s="7">
        <v>2225.0500000000002</v>
      </c>
      <c r="W198" s="5">
        <f t="shared" si="10"/>
        <v>-2.3452628346723507E-2</v>
      </c>
      <c r="X198" s="7">
        <v>2259</v>
      </c>
      <c r="Y198" s="5">
        <f t="shared" si="11"/>
        <v>-1.3127270537850963E-2</v>
      </c>
      <c r="Z198" s="7">
        <v>5436.45</v>
      </c>
      <c r="AA198" s="5">
        <f t="shared" si="12"/>
        <v>3.9403569775251723E-2</v>
      </c>
      <c r="AB198" s="10">
        <v>600.35</v>
      </c>
      <c r="AC198" s="5">
        <f t="shared" si="13"/>
        <v>-4.2385270186327964E-3</v>
      </c>
      <c r="AD198" s="11">
        <v>12170.55</v>
      </c>
      <c r="AE198" s="5">
        <f t="shared" si="14"/>
        <v>7.8060324236509028E-5</v>
      </c>
    </row>
    <row r="199" spans="1:31" ht="13.8">
      <c r="A199" s="13">
        <v>45729</v>
      </c>
      <c r="B199" s="7">
        <v>1579.85</v>
      </c>
      <c r="C199" s="4">
        <f t="shared" si="0"/>
        <v>-6.9385587609018346E-3</v>
      </c>
      <c r="D199" s="8">
        <v>470.65</v>
      </c>
      <c r="E199" s="4">
        <f t="shared" si="1"/>
        <v>-1.1303136238190839E-2</v>
      </c>
      <c r="F199" s="7">
        <v>2201.15</v>
      </c>
      <c r="G199" s="4">
        <f t="shared" si="2"/>
        <v>1.5890067829540271E-2</v>
      </c>
      <c r="H199" s="7">
        <v>1108.25</v>
      </c>
      <c r="I199" s="5">
        <f t="shared" si="3"/>
        <v>1.3215751283982809E-2</v>
      </c>
      <c r="J199" s="7">
        <v>1440.65</v>
      </c>
      <c r="K199" s="5">
        <f t="shared" si="4"/>
        <v>1.6325400037738981E-3</v>
      </c>
      <c r="L199" s="7">
        <v>11320.2</v>
      </c>
      <c r="M199" s="9">
        <f t="shared" si="5"/>
        <v>-1.2125617759999719E-2</v>
      </c>
      <c r="N199" s="7">
        <v>1108.25</v>
      </c>
      <c r="O199" s="5">
        <f t="shared" si="6"/>
        <v>1.3215751283982809E-2</v>
      </c>
      <c r="P199" s="7">
        <v>5620.45</v>
      </c>
      <c r="Q199" s="5">
        <f t="shared" si="7"/>
        <v>-8.2746139939654136E-3</v>
      </c>
      <c r="R199" s="7">
        <v>1534.75</v>
      </c>
      <c r="S199" s="5">
        <f t="shared" si="8"/>
        <v>-3.8044496112596957E-3</v>
      </c>
      <c r="T199" s="7">
        <v>7292.25</v>
      </c>
      <c r="U199" s="5">
        <f t="shared" si="9"/>
        <v>-1.4708399553179987E-2</v>
      </c>
      <c r="V199" s="7">
        <v>2205.15</v>
      </c>
      <c r="W199" s="5">
        <f t="shared" si="10"/>
        <v>-8.9838534798784252E-3</v>
      </c>
      <c r="X199" s="7">
        <v>2250.9</v>
      </c>
      <c r="Y199" s="5">
        <f t="shared" si="11"/>
        <v>-3.5921012482104477E-3</v>
      </c>
      <c r="Z199" s="7">
        <v>5708.25</v>
      </c>
      <c r="AA199" s="5">
        <f t="shared" si="12"/>
        <v>4.8786222513818367E-2</v>
      </c>
      <c r="AB199" s="10">
        <v>606.29999999999995</v>
      </c>
      <c r="AC199" s="5">
        <f t="shared" si="13"/>
        <v>9.8620946009578617E-3</v>
      </c>
      <c r="AD199" s="11">
        <v>12033.5</v>
      </c>
      <c r="AE199" s="5">
        <f t="shared" si="14"/>
        <v>-1.1324672085718041E-2</v>
      </c>
    </row>
    <row r="200" spans="1:31" ht="13.8">
      <c r="A200" s="13">
        <v>45733</v>
      </c>
      <c r="B200" s="7">
        <v>1590.05</v>
      </c>
      <c r="C200" s="4">
        <f t="shared" si="0"/>
        <v>6.4355564553485924E-3</v>
      </c>
      <c r="D200" s="8">
        <v>488.6</v>
      </c>
      <c r="E200" s="4">
        <f t="shared" si="1"/>
        <v>3.7429440830410901E-2</v>
      </c>
      <c r="F200" s="7">
        <v>2170.9499999999998</v>
      </c>
      <c r="G200" s="4">
        <f t="shared" si="2"/>
        <v>-1.3815091293102525E-2</v>
      </c>
      <c r="H200" s="7">
        <v>1107.1500000000001</v>
      </c>
      <c r="I200" s="5">
        <f t="shared" si="3"/>
        <v>-9.9304874099181506E-4</v>
      </c>
      <c r="J200" s="7">
        <v>1440.1</v>
      </c>
      <c r="K200" s="5">
        <f t="shared" si="4"/>
        <v>-3.8184501028057599E-4</v>
      </c>
      <c r="L200" s="7">
        <v>11566.6</v>
      </c>
      <c r="M200" s="9">
        <f t="shared" si="5"/>
        <v>2.153289411584753E-2</v>
      </c>
      <c r="N200" s="7">
        <v>1107.1500000000001</v>
      </c>
      <c r="O200" s="5">
        <f t="shared" si="6"/>
        <v>-9.9304874099181506E-4</v>
      </c>
      <c r="P200" s="7">
        <v>5670.85</v>
      </c>
      <c r="Q200" s="5">
        <f t="shared" si="7"/>
        <v>8.927286446134209E-3</v>
      </c>
      <c r="R200" s="7">
        <v>1545.15</v>
      </c>
      <c r="S200" s="5">
        <f t="shared" si="8"/>
        <v>6.7534916902064028E-3</v>
      </c>
      <c r="T200" s="7">
        <v>7365.05</v>
      </c>
      <c r="U200" s="5">
        <f t="shared" si="9"/>
        <v>9.933698382069622E-3</v>
      </c>
      <c r="V200" s="7">
        <v>2200.1999999999998</v>
      </c>
      <c r="W200" s="5">
        <f t="shared" si="10"/>
        <v>-2.2472684727497644E-3</v>
      </c>
      <c r="X200" s="7">
        <v>2266.8000000000002</v>
      </c>
      <c r="Y200" s="5">
        <f t="shared" si="11"/>
        <v>7.0390090756714775E-3</v>
      </c>
      <c r="Z200" s="7">
        <v>5949.25</v>
      </c>
      <c r="AA200" s="5">
        <f t="shared" si="12"/>
        <v>4.1352664358874976E-2</v>
      </c>
      <c r="AB200" s="10">
        <v>607.54999999999995</v>
      </c>
      <c r="AC200" s="5">
        <f t="shared" si="13"/>
        <v>2.0595632769356614E-3</v>
      </c>
      <c r="AD200" s="11">
        <v>12663.35</v>
      </c>
      <c r="AE200" s="5">
        <f t="shared" si="14"/>
        <v>5.1017567676061831E-2</v>
      </c>
    </row>
    <row r="201" spans="1:31" ht="13.8">
      <c r="A201" s="13">
        <v>45734</v>
      </c>
      <c r="B201" s="7">
        <v>1609.35</v>
      </c>
      <c r="C201" s="4">
        <f t="shared" si="0"/>
        <v>1.2064908490139265E-2</v>
      </c>
      <c r="D201" s="8">
        <v>495.5</v>
      </c>
      <c r="E201" s="4">
        <f t="shared" si="1"/>
        <v>1.4023194946402449E-2</v>
      </c>
      <c r="F201" s="7">
        <v>2145.8000000000002</v>
      </c>
      <c r="G201" s="4">
        <f t="shared" si="2"/>
        <v>-1.1652416549077267E-2</v>
      </c>
      <c r="H201" s="7">
        <v>1126.8</v>
      </c>
      <c r="I201" s="5">
        <f t="shared" si="3"/>
        <v>1.7592611118046452E-2</v>
      </c>
      <c r="J201" s="7">
        <v>1430.65</v>
      </c>
      <c r="K201" s="5">
        <f t="shared" si="4"/>
        <v>-6.5836691693294024E-3</v>
      </c>
      <c r="L201" s="7">
        <v>11619.4</v>
      </c>
      <c r="M201" s="9">
        <f t="shared" si="5"/>
        <v>4.5544803994177581E-3</v>
      </c>
      <c r="N201" s="7">
        <v>1126.8</v>
      </c>
      <c r="O201" s="5">
        <f t="shared" si="6"/>
        <v>1.7592611118046452E-2</v>
      </c>
      <c r="P201" s="7">
        <v>5772.95</v>
      </c>
      <c r="Q201" s="5">
        <f t="shared" si="7"/>
        <v>1.784419671256271E-2</v>
      </c>
      <c r="R201" s="7">
        <v>1558.2</v>
      </c>
      <c r="S201" s="5">
        <f t="shared" si="8"/>
        <v>8.4103158989456781E-3</v>
      </c>
      <c r="T201" s="7">
        <v>7566</v>
      </c>
      <c r="U201" s="5">
        <f t="shared" si="9"/>
        <v>2.6918687453028754E-2</v>
      </c>
      <c r="V201" s="7">
        <v>2293.4</v>
      </c>
      <c r="W201" s="5">
        <f t="shared" si="10"/>
        <v>4.1487167298868706E-2</v>
      </c>
      <c r="X201" s="7">
        <v>2311.75</v>
      </c>
      <c r="Y201" s="5">
        <f t="shared" si="11"/>
        <v>1.963566816228364E-2</v>
      </c>
      <c r="Z201" s="7">
        <v>6201.1</v>
      </c>
      <c r="AA201" s="5">
        <f t="shared" si="12"/>
        <v>4.1461534476583753E-2</v>
      </c>
      <c r="AB201" s="10">
        <v>621.35</v>
      </c>
      <c r="AC201" s="5">
        <f t="shared" si="13"/>
        <v>2.2460053897382884E-2</v>
      </c>
      <c r="AD201" s="11">
        <v>11954</v>
      </c>
      <c r="AE201" s="5">
        <f t="shared" si="14"/>
        <v>-5.7646044264321232E-2</v>
      </c>
    </row>
    <row r="202" spans="1:31" ht="13.8">
      <c r="A202" s="13">
        <v>45735</v>
      </c>
      <c r="B202" s="7">
        <v>1586.55</v>
      </c>
      <c r="C202" s="4">
        <f t="shared" si="0"/>
        <v>-1.42685233086933E-2</v>
      </c>
      <c r="D202" s="8">
        <v>496.25</v>
      </c>
      <c r="E202" s="4">
        <f t="shared" si="1"/>
        <v>1.5124782313575191E-3</v>
      </c>
      <c r="F202" s="7">
        <v>2161.6999999999998</v>
      </c>
      <c r="G202" s="4">
        <f t="shared" si="2"/>
        <v>7.3825059613610708E-3</v>
      </c>
      <c r="H202" s="7">
        <v>1198</v>
      </c>
      <c r="I202" s="5">
        <f t="shared" si="3"/>
        <v>6.1271742673177108E-2</v>
      </c>
      <c r="J202" s="7">
        <v>1396.15</v>
      </c>
      <c r="K202" s="5">
        <f t="shared" si="4"/>
        <v>-2.4410438027278478E-2</v>
      </c>
      <c r="L202" s="7">
        <v>11870.05</v>
      </c>
      <c r="M202" s="9">
        <f t="shared" si="5"/>
        <v>2.1342305933869828E-2</v>
      </c>
      <c r="N202" s="7">
        <v>1198</v>
      </c>
      <c r="O202" s="5">
        <f t="shared" si="6"/>
        <v>6.1271742673177108E-2</v>
      </c>
      <c r="P202" s="7">
        <v>5818.1</v>
      </c>
      <c r="Q202" s="5">
        <f t="shared" si="7"/>
        <v>7.7905329292751145E-3</v>
      </c>
      <c r="R202" s="7">
        <v>1544.45</v>
      </c>
      <c r="S202" s="5">
        <f t="shared" si="8"/>
        <v>-8.863448998361504E-3</v>
      </c>
      <c r="T202" s="7">
        <v>7550.45</v>
      </c>
      <c r="U202" s="5">
        <f t="shared" si="9"/>
        <v>-2.0573620770648502E-3</v>
      </c>
      <c r="V202" s="7">
        <v>2285.85</v>
      </c>
      <c r="W202" s="5">
        <f t="shared" si="10"/>
        <v>-3.2974862002246876E-3</v>
      </c>
      <c r="X202" s="7">
        <v>2319.75</v>
      </c>
      <c r="Y202" s="5">
        <f t="shared" si="11"/>
        <v>3.4546077755406566E-3</v>
      </c>
      <c r="Z202" s="7">
        <v>6088.55</v>
      </c>
      <c r="AA202" s="5">
        <f t="shared" si="12"/>
        <v>-1.8316737534392929E-2</v>
      </c>
      <c r="AB202" s="10">
        <v>619.1</v>
      </c>
      <c r="AC202" s="5">
        <f t="shared" si="13"/>
        <v>-3.6277197268171019E-3</v>
      </c>
      <c r="AD202" s="11">
        <v>11800.25</v>
      </c>
      <c r="AE202" s="5">
        <f t="shared" si="14"/>
        <v>-1.2945232714194821E-2</v>
      </c>
    </row>
    <row r="203" spans="1:31" ht="13.8">
      <c r="A203" s="13">
        <v>45736</v>
      </c>
      <c r="B203" s="7">
        <v>1615.55</v>
      </c>
      <c r="C203" s="4">
        <f t="shared" si="0"/>
        <v>1.8113608513660645E-2</v>
      </c>
      <c r="D203" s="8">
        <v>500.35</v>
      </c>
      <c r="E203" s="4">
        <f t="shared" si="1"/>
        <v>8.2280215350649787E-3</v>
      </c>
      <c r="F203" s="7">
        <v>2244.85</v>
      </c>
      <c r="G203" s="4">
        <f t="shared" si="2"/>
        <v>3.774375463535027E-2</v>
      </c>
      <c r="H203" s="7">
        <v>1247</v>
      </c>
      <c r="I203" s="5">
        <f t="shared" si="3"/>
        <v>4.0087167004641849E-2</v>
      </c>
      <c r="J203" s="7">
        <v>1410.55</v>
      </c>
      <c r="K203" s="5">
        <f t="shared" si="4"/>
        <v>1.0261250829586767E-2</v>
      </c>
      <c r="L203" s="7">
        <v>11998.7</v>
      </c>
      <c r="M203" s="9">
        <f t="shared" si="5"/>
        <v>1.0779889673567035E-2</v>
      </c>
      <c r="N203" s="7">
        <v>1247</v>
      </c>
      <c r="O203" s="5">
        <f t="shared" si="6"/>
        <v>4.0087167004641849E-2</v>
      </c>
      <c r="P203" s="7">
        <v>5822.1</v>
      </c>
      <c r="Q203" s="5">
        <f t="shared" si="7"/>
        <v>6.8727344159864813E-4</v>
      </c>
      <c r="R203" s="7">
        <v>1562</v>
      </c>
      <c r="S203" s="5">
        <f t="shared" si="8"/>
        <v>1.1299191501234878E-2</v>
      </c>
      <c r="T203" s="7">
        <v>7578.3</v>
      </c>
      <c r="U203" s="5">
        <f t="shared" si="9"/>
        <v>3.6817359609095778E-3</v>
      </c>
      <c r="V203" s="7">
        <v>2305.85</v>
      </c>
      <c r="W203" s="5">
        <f t="shared" si="10"/>
        <v>8.7114256076835303E-3</v>
      </c>
      <c r="X203" s="7">
        <v>2346.8000000000002</v>
      </c>
      <c r="Y203" s="5">
        <f t="shared" si="11"/>
        <v>1.1593276818416244E-2</v>
      </c>
      <c r="Z203" s="7">
        <v>6135.6</v>
      </c>
      <c r="AA203" s="5">
        <f t="shared" si="12"/>
        <v>7.6979147572776609E-3</v>
      </c>
      <c r="AB203" s="10">
        <v>632.35</v>
      </c>
      <c r="AC203" s="5">
        <f t="shared" si="13"/>
        <v>2.1176227800798968E-2</v>
      </c>
      <c r="AD203" s="11">
        <v>11887.15</v>
      </c>
      <c r="AE203" s="5">
        <f t="shared" si="14"/>
        <v>7.3372670582933022E-3</v>
      </c>
    </row>
    <row r="204" spans="1:31" ht="13.8">
      <c r="A204" s="13">
        <v>45737</v>
      </c>
      <c r="B204" s="7">
        <v>1592.55</v>
      </c>
      <c r="C204" s="4">
        <f t="shared" si="0"/>
        <v>-1.4338950828140478E-2</v>
      </c>
      <c r="D204" s="8">
        <v>507.45</v>
      </c>
      <c r="E204" s="4">
        <f t="shared" si="1"/>
        <v>1.4090330358362024E-2</v>
      </c>
      <c r="F204" s="7">
        <v>2415.0500000000002</v>
      </c>
      <c r="G204" s="4">
        <f t="shared" si="2"/>
        <v>7.3081287006739756E-2</v>
      </c>
      <c r="H204" s="7">
        <v>1293.0999999999999</v>
      </c>
      <c r="I204" s="5">
        <f t="shared" si="3"/>
        <v>3.6301769621769418E-2</v>
      </c>
      <c r="J204" s="7">
        <v>1409.25</v>
      </c>
      <c r="K204" s="5">
        <f t="shared" si="4"/>
        <v>-9.2205127463129797E-4</v>
      </c>
      <c r="L204" s="7">
        <v>12273.55</v>
      </c>
      <c r="M204" s="9">
        <f t="shared" si="5"/>
        <v>2.2648229844026563E-2</v>
      </c>
      <c r="N204" s="7">
        <v>1293.0999999999999</v>
      </c>
      <c r="O204" s="5">
        <f t="shared" si="6"/>
        <v>3.6301769621769418E-2</v>
      </c>
      <c r="P204" s="7">
        <v>5797.35</v>
      </c>
      <c r="Q204" s="5">
        <f t="shared" si="7"/>
        <v>-4.2601048124060554E-3</v>
      </c>
      <c r="R204" s="7">
        <v>1566.7</v>
      </c>
      <c r="S204" s="5">
        <f t="shared" si="8"/>
        <v>3.0044449998101229E-3</v>
      </c>
      <c r="T204" s="7">
        <v>7746.8</v>
      </c>
      <c r="U204" s="5">
        <f t="shared" si="9"/>
        <v>2.199095477675763E-2</v>
      </c>
      <c r="V204" s="7">
        <v>2429.9499999999998</v>
      </c>
      <c r="W204" s="5">
        <f t="shared" si="10"/>
        <v>5.2421308979552321E-2</v>
      </c>
      <c r="X204" s="7">
        <v>2413.85</v>
      </c>
      <c r="Y204" s="5">
        <f t="shared" si="11"/>
        <v>2.8170285144086642E-2</v>
      </c>
      <c r="Z204" s="7">
        <v>6258.9</v>
      </c>
      <c r="AA204" s="5">
        <f t="shared" si="12"/>
        <v>1.989657792998397E-2</v>
      </c>
      <c r="AB204" s="10">
        <v>630.79999999999995</v>
      </c>
      <c r="AC204" s="5">
        <f t="shared" si="13"/>
        <v>-2.4541832371021786E-3</v>
      </c>
      <c r="AD204" s="11">
        <v>12059.7</v>
      </c>
      <c r="AE204" s="5">
        <f t="shared" si="14"/>
        <v>1.4411330621584598E-2</v>
      </c>
    </row>
    <row r="205" spans="1:31" ht="13.8">
      <c r="A205" s="13">
        <v>45740</v>
      </c>
      <c r="B205" s="7">
        <v>1592.75</v>
      </c>
      <c r="C205" s="4">
        <f t="shared" si="0"/>
        <v>1.2557686890586026E-4</v>
      </c>
      <c r="D205" s="8">
        <v>511.45</v>
      </c>
      <c r="E205" s="4">
        <f t="shared" si="1"/>
        <v>7.8516450081892834E-3</v>
      </c>
      <c r="F205" s="7">
        <v>2372.15</v>
      </c>
      <c r="G205" s="4">
        <f t="shared" si="2"/>
        <v>-1.7923273913874379E-2</v>
      </c>
      <c r="H205" s="7">
        <v>1359.65</v>
      </c>
      <c r="I205" s="5">
        <f t="shared" si="3"/>
        <v>5.0184877366164567E-2</v>
      </c>
      <c r="J205" s="7">
        <v>1458.65</v>
      </c>
      <c r="K205" s="5">
        <f t="shared" si="4"/>
        <v>3.4453702446965613E-2</v>
      </c>
      <c r="L205" s="7">
        <v>12435.5</v>
      </c>
      <c r="M205" s="9">
        <f t="shared" si="5"/>
        <v>1.3108745104043945E-2</v>
      </c>
      <c r="N205" s="7">
        <v>1359.65</v>
      </c>
      <c r="O205" s="5">
        <f t="shared" si="6"/>
        <v>5.0184877366164567E-2</v>
      </c>
      <c r="P205" s="7">
        <v>5910.7</v>
      </c>
      <c r="Q205" s="5">
        <f t="shared" si="7"/>
        <v>1.9363351128947773E-2</v>
      </c>
      <c r="R205" s="7">
        <v>1604.15</v>
      </c>
      <c r="S205" s="5">
        <f t="shared" si="8"/>
        <v>2.362252486412662E-2</v>
      </c>
      <c r="T205" s="7">
        <v>7769.55</v>
      </c>
      <c r="U205" s="5">
        <f t="shared" si="9"/>
        <v>2.9323927730594869E-3</v>
      </c>
      <c r="V205" s="7">
        <v>2482.9499999999998</v>
      </c>
      <c r="W205" s="5">
        <f t="shared" si="10"/>
        <v>2.1576688383068889E-2</v>
      </c>
      <c r="X205" s="7">
        <v>2444.6999999999998</v>
      </c>
      <c r="Y205" s="5">
        <f t="shared" si="11"/>
        <v>1.2699432798492028E-2</v>
      </c>
      <c r="Z205" s="7">
        <v>6314.05</v>
      </c>
      <c r="AA205" s="5">
        <f t="shared" si="12"/>
        <v>8.7728581930025945E-3</v>
      </c>
      <c r="AB205" s="10">
        <v>632.9</v>
      </c>
      <c r="AC205" s="5">
        <f t="shared" si="13"/>
        <v>3.3235766923763606E-3</v>
      </c>
      <c r="AD205" s="11">
        <v>12255.15</v>
      </c>
      <c r="AE205" s="5">
        <f t="shared" si="14"/>
        <v>1.6076941439504142E-2</v>
      </c>
    </row>
    <row r="206" spans="1:31" ht="13.8">
      <c r="A206" s="13">
        <v>45741</v>
      </c>
      <c r="B206" s="7">
        <v>1628.45</v>
      </c>
      <c r="C206" s="4">
        <f t="shared" si="0"/>
        <v>2.2166560147327478E-2</v>
      </c>
      <c r="D206" s="8">
        <v>505.1</v>
      </c>
      <c r="E206" s="4">
        <f t="shared" si="1"/>
        <v>-1.2493399429009389E-2</v>
      </c>
      <c r="F206" s="7">
        <v>2398.0500000000002</v>
      </c>
      <c r="G206" s="4">
        <f t="shared" si="2"/>
        <v>1.0859190186788076E-2</v>
      </c>
      <c r="H206" s="7">
        <v>1315.6</v>
      </c>
      <c r="I206" s="5">
        <f t="shared" si="3"/>
        <v>-3.2934478353068647E-2</v>
      </c>
      <c r="J206" s="7">
        <v>1455.5</v>
      </c>
      <c r="K206" s="5">
        <f t="shared" si="4"/>
        <v>-2.1618662229721938E-3</v>
      </c>
      <c r="L206" s="7">
        <v>12521.5</v>
      </c>
      <c r="M206" s="9">
        <f t="shared" si="5"/>
        <v>6.8918812679618011E-3</v>
      </c>
      <c r="N206" s="7">
        <v>1315.6</v>
      </c>
      <c r="O206" s="5">
        <f t="shared" si="6"/>
        <v>-3.2934478353068647E-2</v>
      </c>
      <c r="P206" s="7">
        <v>5840.65</v>
      </c>
      <c r="Q206" s="5">
        <f t="shared" si="7"/>
        <v>-1.192217570410318E-2</v>
      </c>
      <c r="R206" s="7">
        <v>1624.9</v>
      </c>
      <c r="S206" s="5">
        <f t="shared" si="8"/>
        <v>1.285225414516271E-2</v>
      </c>
      <c r="T206" s="7">
        <v>7958.2</v>
      </c>
      <c r="U206" s="5">
        <f t="shared" si="9"/>
        <v>2.399059598713478E-2</v>
      </c>
      <c r="V206" s="7">
        <v>2534.4</v>
      </c>
      <c r="W206" s="5">
        <f t="shared" si="10"/>
        <v>2.0509553245822609E-2</v>
      </c>
      <c r="X206" s="7">
        <v>2421.5</v>
      </c>
      <c r="Y206" s="5">
        <f t="shared" si="11"/>
        <v>-9.535233150999944E-3</v>
      </c>
      <c r="Z206" s="7">
        <v>6230.6</v>
      </c>
      <c r="AA206" s="5">
        <f t="shared" si="12"/>
        <v>-1.3304672666581434E-2</v>
      </c>
      <c r="AB206" s="10">
        <v>624.79999999999995</v>
      </c>
      <c r="AC206" s="5">
        <f t="shared" si="13"/>
        <v>-1.2880833255783482E-2</v>
      </c>
      <c r="AD206" s="11">
        <v>12141.6</v>
      </c>
      <c r="AE206" s="5">
        <f t="shared" si="14"/>
        <v>-9.3086841435506117E-3</v>
      </c>
    </row>
    <row r="207" spans="1:31" ht="13.8">
      <c r="A207" s="13">
        <v>45742</v>
      </c>
      <c r="B207" s="7">
        <v>1599.45</v>
      </c>
      <c r="C207" s="4">
        <f t="shared" si="0"/>
        <v>-1.7968822011626924E-2</v>
      </c>
      <c r="D207" s="8">
        <v>492.45</v>
      </c>
      <c r="E207" s="4">
        <f t="shared" si="1"/>
        <v>-2.5363496858295555E-2</v>
      </c>
      <c r="F207" s="7">
        <v>2403.6999999999998</v>
      </c>
      <c r="G207" s="4">
        <f t="shared" si="2"/>
        <v>2.353309775605091E-3</v>
      </c>
      <c r="H207" s="7">
        <v>1326.75</v>
      </c>
      <c r="I207" s="5">
        <f t="shared" si="3"/>
        <v>8.4395073931024748E-3</v>
      </c>
      <c r="J207" s="7">
        <v>1416.3</v>
      </c>
      <c r="K207" s="5">
        <f t="shared" si="4"/>
        <v>-2.7301646965327168E-2</v>
      </c>
      <c r="L207" s="7">
        <v>12599.05</v>
      </c>
      <c r="M207" s="9">
        <f t="shared" si="5"/>
        <v>6.1742474873321173E-3</v>
      </c>
      <c r="N207" s="7">
        <v>1326.75</v>
      </c>
      <c r="O207" s="5">
        <f t="shared" si="6"/>
        <v>8.4395073931024748E-3</v>
      </c>
      <c r="P207" s="7">
        <v>5839.2</v>
      </c>
      <c r="Q207" s="5">
        <f t="shared" si="7"/>
        <v>-2.4829086117527266E-4</v>
      </c>
      <c r="R207" s="7">
        <v>1633.4</v>
      </c>
      <c r="S207" s="5">
        <f t="shared" si="8"/>
        <v>5.2174565154448141E-3</v>
      </c>
      <c r="T207" s="7">
        <v>8027.2</v>
      </c>
      <c r="U207" s="5">
        <f t="shared" si="9"/>
        <v>8.6329311162174367E-3</v>
      </c>
      <c r="V207" s="7">
        <v>2515.15</v>
      </c>
      <c r="W207" s="5">
        <f t="shared" si="10"/>
        <v>-7.6244787176720308E-3</v>
      </c>
      <c r="X207" s="7">
        <v>2429.1999999999998</v>
      </c>
      <c r="Y207" s="5">
        <f t="shared" si="11"/>
        <v>3.1748021801363919E-3</v>
      </c>
      <c r="Z207" s="7">
        <v>6157.15</v>
      </c>
      <c r="AA207" s="5">
        <f t="shared" si="12"/>
        <v>-1.1858628201698772E-2</v>
      </c>
      <c r="AB207" s="10">
        <v>639.75</v>
      </c>
      <c r="AC207" s="5">
        <f t="shared" si="13"/>
        <v>2.3645876514421967E-2</v>
      </c>
      <c r="AD207" s="11">
        <v>12172.85</v>
      </c>
      <c r="AE207" s="5">
        <f t="shared" si="14"/>
        <v>2.57048933509172E-3</v>
      </c>
    </row>
    <row r="208" spans="1:31" ht="13.8">
      <c r="A208" s="13">
        <v>45743</v>
      </c>
      <c r="B208" s="7">
        <v>1603.55</v>
      </c>
      <c r="C208" s="4">
        <f t="shared" si="0"/>
        <v>2.5601013046041804E-3</v>
      </c>
      <c r="D208" s="8">
        <v>490.4</v>
      </c>
      <c r="E208" s="4">
        <f t="shared" si="1"/>
        <v>-4.1715479937097875E-3</v>
      </c>
      <c r="F208" s="7">
        <v>2452.15</v>
      </c>
      <c r="G208" s="4">
        <f t="shared" si="2"/>
        <v>1.9955973881786337E-2</v>
      </c>
      <c r="H208" s="7">
        <v>1281.6500000000001</v>
      </c>
      <c r="I208" s="5">
        <f t="shared" si="3"/>
        <v>-3.4584032422091439E-2</v>
      </c>
      <c r="J208" s="7">
        <v>1423.9</v>
      </c>
      <c r="K208" s="5">
        <f t="shared" si="4"/>
        <v>5.3517485665983151E-3</v>
      </c>
      <c r="L208" s="7">
        <v>12462.55</v>
      </c>
      <c r="M208" s="9">
        <f t="shared" si="5"/>
        <v>-1.08932669735351E-2</v>
      </c>
      <c r="N208" s="7">
        <v>1281.6500000000001</v>
      </c>
      <c r="O208" s="5">
        <f t="shared" si="6"/>
        <v>-3.4584032422091439E-2</v>
      </c>
      <c r="P208" s="7">
        <v>5872.65</v>
      </c>
      <c r="Q208" s="5">
        <f t="shared" si="7"/>
        <v>5.712178853597415E-3</v>
      </c>
      <c r="R208" s="7">
        <v>1630.15</v>
      </c>
      <c r="S208" s="5">
        <f t="shared" si="8"/>
        <v>-1.9916968174882115E-3</v>
      </c>
      <c r="T208" s="7">
        <v>8107.6</v>
      </c>
      <c r="U208" s="5">
        <f t="shared" si="9"/>
        <v>9.9661186338210143E-3</v>
      </c>
      <c r="V208" s="7">
        <v>2528.1999999999998</v>
      </c>
      <c r="W208" s="5">
        <f t="shared" si="10"/>
        <v>5.1751431590224143E-3</v>
      </c>
      <c r="X208" s="7">
        <v>2455.65</v>
      </c>
      <c r="Y208" s="5">
        <f t="shared" si="11"/>
        <v>1.0829506945040273E-2</v>
      </c>
      <c r="Z208" s="7">
        <v>6465</v>
      </c>
      <c r="AA208" s="5">
        <f t="shared" si="12"/>
        <v>4.8789004077297513E-2</v>
      </c>
      <c r="AB208" s="10">
        <v>649.04999999999995</v>
      </c>
      <c r="AC208" s="5">
        <f t="shared" si="13"/>
        <v>1.4432280299105186E-2</v>
      </c>
      <c r="AD208" s="11">
        <v>12947.95</v>
      </c>
      <c r="AE208" s="5">
        <f t="shared" si="14"/>
        <v>6.1729412457504178E-2</v>
      </c>
    </row>
    <row r="209" spans="1:31" ht="13.8">
      <c r="A209" s="13">
        <v>45744</v>
      </c>
      <c r="B209" s="7">
        <v>1570.65</v>
      </c>
      <c r="C209" s="4">
        <f t="shared" si="0"/>
        <v>-2.073037503532163E-2</v>
      </c>
      <c r="D209" s="8">
        <v>486.35</v>
      </c>
      <c r="E209" s="4">
        <f t="shared" si="1"/>
        <v>-8.2928553065522558E-3</v>
      </c>
      <c r="F209" s="7">
        <v>2424.75</v>
      </c>
      <c r="G209" s="4">
        <f t="shared" si="2"/>
        <v>-1.1236764462749942E-2</v>
      </c>
      <c r="H209" s="7">
        <v>1281.4000000000001</v>
      </c>
      <c r="I209" s="5">
        <f t="shared" si="3"/>
        <v>-1.9508008099165965E-4</v>
      </c>
      <c r="J209" s="7">
        <v>1418.25</v>
      </c>
      <c r="K209" s="5">
        <f t="shared" si="4"/>
        <v>-3.97586858027242E-3</v>
      </c>
      <c r="L209" s="7">
        <v>12473.05</v>
      </c>
      <c r="M209" s="9">
        <f t="shared" si="5"/>
        <v>8.4216947822338237E-4</v>
      </c>
      <c r="N209" s="7">
        <v>1281.4000000000001</v>
      </c>
      <c r="O209" s="5">
        <f t="shared" si="6"/>
        <v>-1.9508008099165965E-4</v>
      </c>
      <c r="P209" s="7">
        <v>5775.45</v>
      </c>
      <c r="Q209" s="5">
        <f t="shared" si="7"/>
        <v>-1.6689804558870969E-2</v>
      </c>
      <c r="R209" s="7">
        <v>1592.5</v>
      </c>
      <c r="S209" s="5">
        <f t="shared" si="8"/>
        <v>-2.3366926660368725E-2</v>
      </c>
      <c r="T209" s="7">
        <v>8109.2</v>
      </c>
      <c r="U209" s="5">
        <f t="shared" si="9"/>
        <v>1.9732623022938563E-4</v>
      </c>
      <c r="V209" s="7">
        <v>2500.1999999999998</v>
      </c>
      <c r="W209" s="5">
        <f t="shared" si="10"/>
        <v>-1.1136858404994508E-2</v>
      </c>
      <c r="X209" s="7">
        <v>2419.85</v>
      </c>
      <c r="Y209" s="5">
        <f t="shared" si="11"/>
        <v>-1.4685937209857485E-2</v>
      </c>
      <c r="Z209" s="7">
        <v>6769.2</v>
      </c>
      <c r="AA209" s="5">
        <f t="shared" si="12"/>
        <v>4.5979899327972869E-2</v>
      </c>
      <c r="AB209" s="10">
        <v>651.65</v>
      </c>
      <c r="AC209" s="5">
        <f t="shared" si="13"/>
        <v>3.997852637725347E-3</v>
      </c>
      <c r="AD209" s="11">
        <v>12653.65</v>
      </c>
      <c r="AE209" s="5">
        <f t="shared" si="14"/>
        <v>-2.2991763352311706E-2</v>
      </c>
    </row>
    <row r="210" spans="1:31" ht="13.8">
      <c r="A210" s="12">
        <v>45748</v>
      </c>
      <c r="B210" s="7">
        <v>1526.5</v>
      </c>
      <c r="C210" s="4">
        <f t="shared" si="0"/>
        <v>-2.8512013226648262E-2</v>
      </c>
      <c r="D210" s="8">
        <v>482.75</v>
      </c>
      <c r="E210" s="4">
        <f t="shared" si="1"/>
        <v>-7.4296080068256007E-3</v>
      </c>
      <c r="F210" s="7">
        <v>2458.1</v>
      </c>
      <c r="G210" s="4">
        <f t="shared" si="2"/>
        <v>1.3660267507283603E-2</v>
      </c>
      <c r="H210" s="7">
        <v>1245.1500000000001</v>
      </c>
      <c r="I210" s="5">
        <f t="shared" si="3"/>
        <v>-2.8697225635766901E-2</v>
      </c>
      <c r="J210" s="7">
        <v>1395.15</v>
      </c>
      <c r="K210" s="5">
        <f t="shared" si="4"/>
        <v>-1.6421780850090797E-2</v>
      </c>
      <c r="L210" s="7">
        <v>11911.45</v>
      </c>
      <c r="M210" s="9">
        <f t="shared" si="5"/>
        <v>-4.6070194405956527E-2</v>
      </c>
      <c r="N210" s="7">
        <v>1245.1500000000001</v>
      </c>
      <c r="O210" s="5">
        <f t="shared" si="6"/>
        <v>-2.8697225635766901E-2</v>
      </c>
      <c r="P210" s="7">
        <v>5549.7</v>
      </c>
      <c r="Q210" s="5">
        <f t="shared" si="7"/>
        <v>-3.9872303206695867E-2</v>
      </c>
      <c r="R210" s="7">
        <v>1530.35</v>
      </c>
      <c r="S210" s="5">
        <f t="shared" si="8"/>
        <v>-3.9808641051063194E-2</v>
      </c>
      <c r="T210" s="7">
        <v>7780.8</v>
      </c>
      <c r="U210" s="5">
        <f t="shared" si="9"/>
        <v>-4.1340058944517352E-2</v>
      </c>
      <c r="V210" s="7">
        <v>2446.75</v>
      </c>
      <c r="W210" s="5">
        <f t="shared" si="10"/>
        <v>-2.161011535053382E-2</v>
      </c>
      <c r="X210" s="7">
        <v>2440.85</v>
      </c>
      <c r="Y210" s="5">
        <f t="shared" si="11"/>
        <v>8.6407845208970983E-3</v>
      </c>
      <c r="Z210" s="7">
        <v>7107.65</v>
      </c>
      <c r="AA210" s="5">
        <f t="shared" si="12"/>
        <v>4.8788757235640093E-2</v>
      </c>
      <c r="AB210" s="10">
        <v>647.54999999999995</v>
      </c>
      <c r="AC210" s="5">
        <f t="shared" si="13"/>
        <v>-6.3115973071326444E-3</v>
      </c>
      <c r="AD210" s="11">
        <v>12280.55</v>
      </c>
      <c r="AE210" s="5">
        <f t="shared" si="14"/>
        <v>-2.9929001114336003E-2</v>
      </c>
    </row>
    <row r="211" spans="1:31" ht="13.8">
      <c r="A211" s="12">
        <v>45749</v>
      </c>
      <c r="B211" s="7">
        <v>1550.15</v>
      </c>
      <c r="C211" s="4">
        <f t="shared" si="0"/>
        <v>1.537416724958795E-2</v>
      </c>
      <c r="D211" s="8">
        <v>483.15</v>
      </c>
      <c r="E211" s="4">
        <f t="shared" si="1"/>
        <v>8.2824313669358971E-4</v>
      </c>
      <c r="F211" s="7">
        <v>2421.9</v>
      </c>
      <c r="G211" s="4">
        <f t="shared" si="2"/>
        <v>-1.4836337711856206E-2</v>
      </c>
      <c r="H211" s="7">
        <v>1293.55</v>
      </c>
      <c r="I211" s="5">
        <f t="shared" si="3"/>
        <v>3.813437212237554E-2</v>
      </c>
      <c r="J211" s="7">
        <v>1423.05</v>
      </c>
      <c r="K211" s="5">
        <f t="shared" si="4"/>
        <v>1.9800519150409847E-2</v>
      </c>
      <c r="L211" s="7">
        <v>11515.1</v>
      </c>
      <c r="M211" s="9">
        <f t="shared" si="5"/>
        <v>-3.3840904828549762E-2</v>
      </c>
      <c r="N211" s="7">
        <v>1293.55</v>
      </c>
      <c r="O211" s="5">
        <f t="shared" si="6"/>
        <v>3.813437212237554E-2</v>
      </c>
      <c r="P211" s="7">
        <v>5666</v>
      </c>
      <c r="Q211" s="5">
        <f t="shared" si="7"/>
        <v>2.0739529165008791E-2</v>
      </c>
      <c r="R211" s="7">
        <v>1527.55</v>
      </c>
      <c r="S211" s="5">
        <f t="shared" si="8"/>
        <v>-1.8313226610026047E-3</v>
      </c>
      <c r="T211" s="7">
        <v>7761.55</v>
      </c>
      <c r="U211" s="5">
        <f t="shared" si="9"/>
        <v>-2.4771041500465732E-3</v>
      </c>
      <c r="V211" s="7">
        <v>2474.4</v>
      </c>
      <c r="W211" s="5">
        <f t="shared" si="10"/>
        <v>1.1237329064931077E-2</v>
      </c>
      <c r="X211" s="7">
        <v>2496.1</v>
      </c>
      <c r="Y211" s="5">
        <f t="shared" si="11"/>
        <v>2.2383174509837449E-2</v>
      </c>
      <c r="Z211" s="7">
        <v>7173.5</v>
      </c>
      <c r="AA211" s="5">
        <f t="shared" si="12"/>
        <v>9.2220117688736995E-3</v>
      </c>
      <c r="AB211" s="10">
        <v>656.45</v>
      </c>
      <c r="AC211" s="5">
        <f t="shared" si="13"/>
        <v>1.3650518710523269E-2</v>
      </c>
      <c r="AD211" s="11">
        <v>12433.7</v>
      </c>
      <c r="AE211" s="5">
        <f t="shared" si="14"/>
        <v>1.239381817379525E-2</v>
      </c>
    </row>
    <row r="212" spans="1:31" ht="13.8">
      <c r="A212" s="12">
        <v>45750</v>
      </c>
      <c r="B212" s="7">
        <v>1496.5</v>
      </c>
      <c r="C212" s="4">
        <f t="shared" si="0"/>
        <v>-3.5222652131766993E-2</v>
      </c>
      <c r="D212" s="8">
        <v>491.2</v>
      </c>
      <c r="E212" s="4">
        <f t="shared" si="1"/>
        <v>1.6524212387615252E-2</v>
      </c>
      <c r="F212" s="7">
        <v>2427.6999999999998</v>
      </c>
      <c r="G212" s="4">
        <f t="shared" si="2"/>
        <v>2.391950991981728E-3</v>
      </c>
      <c r="H212" s="7">
        <v>1343.5</v>
      </c>
      <c r="I212" s="5">
        <f t="shared" si="3"/>
        <v>3.7887772364016019E-2</v>
      </c>
      <c r="J212" s="7">
        <v>1369.35</v>
      </c>
      <c r="K212" s="5">
        <f t="shared" si="4"/>
        <v>-3.8466280827796052E-2</v>
      </c>
      <c r="L212" s="7">
        <v>11499.85</v>
      </c>
      <c r="M212" s="9">
        <f t="shared" si="5"/>
        <v>-1.325225753857149E-3</v>
      </c>
      <c r="N212" s="7">
        <v>1343.5</v>
      </c>
      <c r="O212" s="5">
        <f t="shared" si="6"/>
        <v>3.7887772364016019E-2</v>
      </c>
      <c r="P212" s="7">
        <v>5763</v>
      </c>
      <c r="Q212" s="5">
        <f t="shared" si="7"/>
        <v>1.6974771046204411E-2</v>
      </c>
      <c r="R212" s="7">
        <v>1470.1</v>
      </c>
      <c r="S212" s="5">
        <f t="shared" si="8"/>
        <v>-3.8334719064332175E-2</v>
      </c>
      <c r="T212" s="7">
        <v>7157.4</v>
      </c>
      <c r="U212" s="5">
        <f t="shared" si="9"/>
        <v>-8.1035269983519773E-2</v>
      </c>
      <c r="V212" s="7">
        <v>2374.0500000000002</v>
      </c>
      <c r="W212" s="5">
        <f t="shared" si="10"/>
        <v>-4.1400584923457946E-2</v>
      </c>
      <c r="X212" s="7">
        <v>2476.0500000000002</v>
      </c>
      <c r="Y212" s="5">
        <f t="shared" si="11"/>
        <v>-8.064965327677873E-3</v>
      </c>
      <c r="Z212" s="7">
        <v>7030.95</v>
      </c>
      <c r="AA212" s="5">
        <f t="shared" si="12"/>
        <v>-2.0071848728528852E-2</v>
      </c>
      <c r="AB212" s="10">
        <v>660.95</v>
      </c>
      <c r="AC212" s="5">
        <f t="shared" si="13"/>
        <v>6.8316646452892893E-3</v>
      </c>
      <c r="AD212" s="11">
        <v>12406</v>
      </c>
      <c r="AE212" s="5">
        <f t="shared" si="14"/>
        <v>-2.2303016125167583E-3</v>
      </c>
    </row>
    <row r="213" spans="1:31" ht="13.8">
      <c r="A213" s="12">
        <v>45751</v>
      </c>
      <c r="B213" s="7">
        <v>1451.65</v>
      </c>
      <c r="C213" s="4">
        <f t="shared" si="0"/>
        <v>-3.0428207796425147E-2</v>
      </c>
      <c r="D213" s="8">
        <v>456.75</v>
      </c>
      <c r="E213" s="4">
        <f t="shared" si="1"/>
        <v>-7.2715181574816601E-2</v>
      </c>
      <c r="F213" s="7">
        <v>2451.1999999999998</v>
      </c>
      <c r="G213" s="4">
        <f t="shared" si="2"/>
        <v>9.6333934852109188E-3</v>
      </c>
      <c r="H213" s="7">
        <v>1337.85</v>
      </c>
      <c r="I213" s="5">
        <f t="shared" si="3"/>
        <v>-4.2143012752198783E-3</v>
      </c>
      <c r="J213" s="7">
        <v>1320.95</v>
      </c>
      <c r="K213" s="5">
        <f t="shared" si="4"/>
        <v>-3.5984999986757991E-2</v>
      </c>
      <c r="L213" s="7">
        <v>11506.9</v>
      </c>
      <c r="M213" s="9">
        <f t="shared" si="5"/>
        <v>6.1286363529528378E-4</v>
      </c>
      <c r="N213" s="7">
        <v>1337.85</v>
      </c>
      <c r="O213" s="5">
        <f t="shared" si="6"/>
        <v>-4.2143012752198783E-3</v>
      </c>
      <c r="P213" s="7">
        <v>5482.85</v>
      </c>
      <c r="Q213" s="5">
        <f t="shared" si="7"/>
        <v>-4.9833133692992401E-2</v>
      </c>
      <c r="R213" s="7">
        <v>1422.1</v>
      </c>
      <c r="S213" s="5">
        <f t="shared" si="8"/>
        <v>-3.3195773291269909E-2</v>
      </c>
      <c r="T213" s="7">
        <v>6607.9</v>
      </c>
      <c r="U213" s="5">
        <f t="shared" si="9"/>
        <v>-7.9880883601561564E-2</v>
      </c>
      <c r="V213" s="7">
        <v>2229.1999999999998</v>
      </c>
      <c r="W213" s="5">
        <f t="shared" si="10"/>
        <v>-6.2954580752020747E-2</v>
      </c>
      <c r="X213" s="7">
        <v>2464.9499999999998</v>
      </c>
      <c r="Y213" s="5">
        <f t="shared" si="11"/>
        <v>-4.4930251662511564E-3</v>
      </c>
      <c r="Z213" s="7">
        <v>6679.4</v>
      </c>
      <c r="AA213" s="5">
        <f t="shared" si="12"/>
        <v>-5.1293668672595917E-2</v>
      </c>
      <c r="AB213" s="10">
        <v>677.3</v>
      </c>
      <c r="AC213" s="5">
        <f t="shared" si="13"/>
        <v>2.4436112195449063E-2</v>
      </c>
      <c r="AD213" s="11">
        <v>12120.05</v>
      </c>
      <c r="AE213" s="5">
        <f t="shared" si="14"/>
        <v>-2.3319120505725672E-2</v>
      </c>
    </row>
    <row r="214" spans="1:31" ht="13.8">
      <c r="A214" s="12">
        <v>45754</v>
      </c>
      <c r="B214" s="7">
        <v>1396.75</v>
      </c>
      <c r="C214" s="4">
        <f t="shared" si="0"/>
        <v>-3.8552731157070398E-2</v>
      </c>
      <c r="D214" s="8">
        <v>436.9</v>
      </c>
      <c r="E214" s="4">
        <f t="shared" si="1"/>
        <v>-4.44318593007259E-2</v>
      </c>
      <c r="F214" s="7">
        <v>2383.4499999999998</v>
      </c>
      <c r="G214" s="4">
        <f t="shared" si="2"/>
        <v>-2.8028682675440921E-2</v>
      </c>
      <c r="H214" s="7">
        <v>1255.45</v>
      </c>
      <c r="I214" s="5">
        <f t="shared" si="3"/>
        <v>-6.3569773746721112E-2</v>
      </c>
      <c r="J214" s="7">
        <v>1288</v>
      </c>
      <c r="K214" s="5">
        <f t="shared" si="4"/>
        <v>-2.5260547028142441E-2</v>
      </c>
      <c r="L214" s="7">
        <v>10779.6</v>
      </c>
      <c r="M214" s="9">
        <f t="shared" si="5"/>
        <v>-6.5291396400147778E-2</v>
      </c>
      <c r="N214" s="7">
        <v>1255.45</v>
      </c>
      <c r="O214" s="5">
        <f t="shared" si="6"/>
        <v>-6.3569773746721112E-2</v>
      </c>
      <c r="P214" s="7">
        <v>5258.95</v>
      </c>
      <c r="Q214" s="5">
        <f t="shared" si="7"/>
        <v>-4.169365171046012E-2</v>
      </c>
      <c r="R214" s="7">
        <v>1374.1</v>
      </c>
      <c r="S214" s="5">
        <f t="shared" si="8"/>
        <v>-3.4335681040921974E-2</v>
      </c>
      <c r="T214" s="7">
        <v>6340.7</v>
      </c>
      <c r="U214" s="5">
        <f t="shared" si="9"/>
        <v>-4.1276730483230578E-2</v>
      </c>
      <c r="V214" s="7">
        <v>2102.1999999999998</v>
      </c>
      <c r="W214" s="5">
        <f t="shared" si="10"/>
        <v>-5.8658361306127255E-2</v>
      </c>
      <c r="X214" s="7">
        <v>2368.15</v>
      </c>
      <c r="Y214" s="5">
        <f t="shared" si="11"/>
        <v>-4.0062463703101694E-2</v>
      </c>
      <c r="Z214" s="7">
        <v>6345.45</v>
      </c>
      <c r="AA214" s="5">
        <f t="shared" si="12"/>
        <v>-5.1290142517861369E-2</v>
      </c>
      <c r="AB214" s="10">
        <v>662.65</v>
      </c>
      <c r="AC214" s="5">
        <f t="shared" si="13"/>
        <v>-2.1867358894170179E-2</v>
      </c>
      <c r="AD214" s="11">
        <v>11520.85</v>
      </c>
      <c r="AE214" s="5">
        <f t="shared" si="14"/>
        <v>-5.0702668777191373E-2</v>
      </c>
    </row>
    <row r="215" spans="1:31" ht="13.8">
      <c r="A215" s="12">
        <v>45755</v>
      </c>
      <c r="B215" s="7">
        <v>1428.8</v>
      </c>
      <c r="C215" s="4">
        <f t="shared" si="0"/>
        <v>2.2686821782976499E-2</v>
      </c>
      <c r="D215" s="8">
        <v>444.35</v>
      </c>
      <c r="E215" s="4">
        <f t="shared" si="1"/>
        <v>1.6908204227094176E-2</v>
      </c>
      <c r="F215" s="7">
        <v>2347.5</v>
      </c>
      <c r="G215" s="4">
        <f t="shared" si="2"/>
        <v>-1.5198085788413121E-2</v>
      </c>
      <c r="H215" s="7">
        <v>1287.5</v>
      </c>
      <c r="I215" s="5">
        <f t="shared" si="3"/>
        <v>2.5208279504286359E-2</v>
      </c>
      <c r="J215" s="7">
        <v>1314.4</v>
      </c>
      <c r="K215" s="5">
        <f t="shared" si="4"/>
        <v>2.0289660058759471E-2</v>
      </c>
      <c r="L215" s="7">
        <v>10811.75</v>
      </c>
      <c r="M215" s="9">
        <f t="shared" si="5"/>
        <v>2.9780466493190129E-3</v>
      </c>
      <c r="N215" s="7">
        <v>1287.5</v>
      </c>
      <c r="O215" s="5">
        <f t="shared" si="6"/>
        <v>2.5208279504286359E-2</v>
      </c>
      <c r="P215" s="7">
        <v>5387.3</v>
      </c>
      <c r="Q215" s="5">
        <f t="shared" si="7"/>
        <v>2.4112944719877426E-2</v>
      </c>
      <c r="R215" s="7">
        <v>1403.35</v>
      </c>
      <c r="S215" s="5">
        <f t="shared" si="8"/>
        <v>2.1063264084624469E-2</v>
      </c>
      <c r="T215" s="7">
        <v>6472.6</v>
      </c>
      <c r="U215" s="5">
        <f t="shared" si="9"/>
        <v>2.0588710055867553E-2</v>
      </c>
      <c r="V215" s="7">
        <v>2168.9</v>
      </c>
      <c r="W215" s="5">
        <f t="shared" si="10"/>
        <v>3.1235711179307669E-2</v>
      </c>
      <c r="X215" s="7">
        <v>2437.65</v>
      </c>
      <c r="Y215" s="5">
        <f t="shared" si="11"/>
        <v>2.8925400847820394E-2</v>
      </c>
      <c r="Z215" s="7">
        <v>6662.7</v>
      </c>
      <c r="AA215" s="5">
        <f t="shared" si="12"/>
        <v>4.8786787165813542E-2</v>
      </c>
      <c r="AB215" s="10">
        <v>678.1</v>
      </c>
      <c r="AC215" s="5">
        <f t="shared" si="13"/>
        <v>2.3047822363108747E-2</v>
      </c>
      <c r="AD215" s="11">
        <v>11666.1</v>
      </c>
      <c r="AE215" s="5">
        <f t="shared" si="14"/>
        <v>1.2528762945093867E-2</v>
      </c>
    </row>
    <row r="216" spans="1:31" ht="13.8">
      <c r="A216" s="12">
        <v>45756</v>
      </c>
      <c r="B216" s="7">
        <v>1403.7</v>
      </c>
      <c r="C216" s="4">
        <f t="shared" si="0"/>
        <v>-1.7723323581954265E-2</v>
      </c>
      <c r="D216" s="8">
        <v>431.1</v>
      </c>
      <c r="E216" s="4">
        <f t="shared" si="1"/>
        <v>-3.0272458431395293E-2</v>
      </c>
      <c r="F216" s="7">
        <v>2313.9499999999998</v>
      </c>
      <c r="G216" s="4">
        <f t="shared" si="2"/>
        <v>-1.4394911168121149E-2</v>
      </c>
      <c r="H216" s="7">
        <v>1285.8</v>
      </c>
      <c r="I216" s="5">
        <f t="shared" si="3"/>
        <v>-1.3212608303049579E-3</v>
      </c>
      <c r="J216" s="7">
        <v>1272.75</v>
      </c>
      <c r="K216" s="5">
        <f t="shared" si="4"/>
        <v>-3.2200373940612988E-2</v>
      </c>
      <c r="L216" s="7">
        <v>11092.3</v>
      </c>
      <c r="M216" s="9">
        <f t="shared" si="5"/>
        <v>2.561766821745223E-2</v>
      </c>
      <c r="N216" s="7">
        <v>1285.8</v>
      </c>
      <c r="O216" s="5">
        <f t="shared" si="6"/>
        <v>-1.3212608303049579E-3</v>
      </c>
      <c r="P216" s="7">
        <v>5386.15</v>
      </c>
      <c r="Q216" s="5">
        <f t="shared" si="7"/>
        <v>-2.1348778791723173E-4</v>
      </c>
      <c r="R216" s="7">
        <v>1380</v>
      </c>
      <c r="S216" s="5">
        <f t="shared" si="8"/>
        <v>-1.6778736271102629E-2</v>
      </c>
      <c r="T216" s="7">
        <v>6323.65</v>
      </c>
      <c r="U216" s="5">
        <f t="shared" si="9"/>
        <v>-2.3281309407776056E-2</v>
      </c>
      <c r="V216" s="7">
        <v>2117.6</v>
      </c>
      <c r="W216" s="5">
        <f t="shared" si="10"/>
        <v>-2.3936754655670047E-2</v>
      </c>
      <c r="X216" s="7">
        <v>2475.25</v>
      </c>
      <c r="Y216" s="5">
        <f t="shared" si="11"/>
        <v>1.5306940562496671E-2</v>
      </c>
      <c r="Z216" s="7">
        <v>6921.55</v>
      </c>
      <c r="AA216" s="5">
        <f t="shared" si="12"/>
        <v>3.8114925184084339E-2</v>
      </c>
      <c r="AB216" s="10">
        <v>693.45</v>
      </c>
      <c r="AC216" s="5">
        <f t="shared" si="13"/>
        <v>2.2384369412547692E-2</v>
      </c>
      <c r="AD216" s="11">
        <v>11353.45</v>
      </c>
      <c r="AE216" s="5">
        <f t="shared" si="14"/>
        <v>-2.7165537715909099E-2</v>
      </c>
    </row>
    <row r="217" spans="1:31" ht="13.8">
      <c r="A217" s="13">
        <v>45758</v>
      </c>
      <c r="B217" s="7">
        <v>1409.45</v>
      </c>
      <c r="C217" s="4">
        <f t="shared" si="0"/>
        <v>4.0879498124961966E-3</v>
      </c>
      <c r="D217" s="8">
        <v>451.3</v>
      </c>
      <c r="E217" s="4">
        <f t="shared" si="1"/>
        <v>4.5792225079866515E-2</v>
      </c>
      <c r="F217" s="7">
        <v>2350.5</v>
      </c>
      <c r="G217" s="4">
        <f t="shared" si="2"/>
        <v>1.567205054988834E-2</v>
      </c>
      <c r="H217" s="7">
        <v>1325.1</v>
      </c>
      <c r="I217" s="5">
        <f t="shared" si="3"/>
        <v>3.0106835563004121E-2</v>
      </c>
      <c r="J217" s="7">
        <v>1282.25</v>
      </c>
      <c r="K217" s="5">
        <f t="shared" si="4"/>
        <v>7.4364334869325387E-3</v>
      </c>
      <c r="L217" s="7">
        <v>11282.15</v>
      </c>
      <c r="M217" s="9">
        <f t="shared" si="5"/>
        <v>1.6970656836583893E-2</v>
      </c>
      <c r="N217" s="7">
        <v>1325.1</v>
      </c>
      <c r="O217" s="5">
        <f t="shared" si="6"/>
        <v>3.0106835563004121E-2</v>
      </c>
      <c r="P217" s="7">
        <v>5589.3</v>
      </c>
      <c r="Q217" s="5">
        <f t="shared" si="7"/>
        <v>3.7023211729243943E-2</v>
      </c>
      <c r="R217" s="7">
        <v>1390.55</v>
      </c>
      <c r="S217" s="5">
        <f t="shared" si="8"/>
        <v>7.6158531646708001E-3</v>
      </c>
      <c r="T217" s="7">
        <v>6316.65</v>
      </c>
      <c r="U217" s="5">
        <f t="shared" si="9"/>
        <v>-1.1075687627002937E-3</v>
      </c>
      <c r="V217" s="7">
        <v>2160.5500000000002</v>
      </c>
      <c r="W217" s="5">
        <f t="shared" si="10"/>
        <v>2.007944698232686E-2</v>
      </c>
      <c r="X217" s="7">
        <v>2513.3000000000002</v>
      </c>
      <c r="Y217" s="5">
        <f t="shared" si="11"/>
        <v>1.5255229643849533E-2</v>
      </c>
      <c r="Z217" s="7">
        <v>7037.1</v>
      </c>
      <c r="AA217" s="5">
        <f t="shared" si="12"/>
        <v>1.6556420497331345E-2</v>
      </c>
      <c r="AB217" s="10">
        <v>709.95</v>
      </c>
      <c r="AC217" s="5">
        <f t="shared" si="13"/>
        <v>2.3515405918022484E-2</v>
      </c>
      <c r="AD217" s="11">
        <v>11979.3</v>
      </c>
      <c r="AE217" s="5">
        <f t="shared" si="14"/>
        <v>5.365849776510577E-2</v>
      </c>
    </row>
    <row r="218" spans="1:31" ht="13.8">
      <c r="A218" s="13">
        <v>45762</v>
      </c>
      <c r="B218" s="7">
        <v>1426</v>
      </c>
      <c r="C218" s="4">
        <f t="shared" si="0"/>
        <v>1.1673764621464631E-2</v>
      </c>
      <c r="D218" s="8">
        <v>464.4</v>
      </c>
      <c r="E218" s="4">
        <f t="shared" si="1"/>
        <v>2.8613942990780943E-2</v>
      </c>
      <c r="F218" s="7">
        <v>2426.1</v>
      </c>
      <c r="G218" s="4">
        <f t="shared" si="2"/>
        <v>3.1656958305700852E-2</v>
      </c>
      <c r="H218" s="7">
        <v>1404.9</v>
      </c>
      <c r="I218" s="5">
        <f t="shared" si="3"/>
        <v>5.8478197587015356E-2</v>
      </c>
      <c r="J218" s="7">
        <v>1301.7</v>
      </c>
      <c r="K218" s="5">
        <f t="shared" si="4"/>
        <v>1.5054755203037014E-2</v>
      </c>
      <c r="L218" s="7">
        <v>11826</v>
      </c>
      <c r="M218" s="9">
        <f t="shared" si="5"/>
        <v>4.7078666654258812E-2</v>
      </c>
      <c r="N218" s="7">
        <v>1404.9</v>
      </c>
      <c r="O218" s="5">
        <f t="shared" si="6"/>
        <v>5.8478197587015356E-2</v>
      </c>
      <c r="P218" s="7">
        <v>5734.5</v>
      </c>
      <c r="Q218" s="5">
        <f t="shared" si="7"/>
        <v>2.5646507110159318E-2</v>
      </c>
      <c r="R218" s="7">
        <v>1426.5</v>
      </c>
      <c r="S218" s="5">
        <f t="shared" si="8"/>
        <v>2.552453933763351E-2</v>
      </c>
      <c r="T218" s="7">
        <v>6466</v>
      </c>
      <c r="U218" s="5">
        <f t="shared" si="9"/>
        <v>2.336867496882401E-2</v>
      </c>
      <c r="V218" s="7">
        <v>2269.6999999999998</v>
      </c>
      <c r="W218" s="5">
        <f t="shared" si="10"/>
        <v>4.928484525620571E-2</v>
      </c>
      <c r="X218" s="7">
        <v>2586.5</v>
      </c>
      <c r="Y218" s="5">
        <f t="shared" si="11"/>
        <v>2.8708979797096187E-2</v>
      </c>
      <c r="Z218" s="7">
        <v>7312</v>
      </c>
      <c r="AA218" s="5">
        <f t="shared" si="12"/>
        <v>3.8320680667298254E-2</v>
      </c>
      <c r="AB218" s="10">
        <v>711.85</v>
      </c>
      <c r="AC218" s="5">
        <f t="shared" si="13"/>
        <v>2.6726700393881488E-3</v>
      </c>
      <c r="AD218" s="11">
        <v>12574</v>
      </c>
      <c r="AE218" s="5">
        <f t="shared" si="14"/>
        <v>4.8451029698570042E-2</v>
      </c>
    </row>
    <row r="219" spans="1:31" ht="13.8">
      <c r="A219" s="13">
        <v>45763</v>
      </c>
      <c r="B219" s="7">
        <v>1413.1</v>
      </c>
      <c r="C219" s="4">
        <f t="shared" si="0"/>
        <v>-9.0874493855407634E-3</v>
      </c>
      <c r="D219" s="8">
        <v>463.05</v>
      </c>
      <c r="E219" s="4">
        <f t="shared" si="1"/>
        <v>-2.91121020745833E-3</v>
      </c>
      <c r="F219" s="7">
        <v>2520</v>
      </c>
      <c r="G219" s="4">
        <f t="shared" si="2"/>
        <v>3.7973871735582906E-2</v>
      </c>
      <c r="H219" s="7">
        <v>1399.3</v>
      </c>
      <c r="I219" s="5">
        <f t="shared" si="3"/>
        <v>-3.9940142959381765E-3</v>
      </c>
      <c r="J219" s="7">
        <v>1308.7</v>
      </c>
      <c r="K219" s="5">
        <f t="shared" si="4"/>
        <v>5.3631755890203069E-3</v>
      </c>
      <c r="L219" s="7">
        <v>11585</v>
      </c>
      <c r="M219" s="9">
        <f t="shared" si="5"/>
        <v>-2.058933951429865E-2</v>
      </c>
      <c r="N219" s="7">
        <v>1399.3</v>
      </c>
      <c r="O219" s="5">
        <f t="shared" si="6"/>
        <v>-3.9940142959381765E-3</v>
      </c>
      <c r="P219" s="7">
        <v>5754</v>
      </c>
      <c r="Q219" s="5">
        <f t="shared" si="7"/>
        <v>3.3947023069161157E-3</v>
      </c>
      <c r="R219" s="7">
        <v>1431.7</v>
      </c>
      <c r="S219" s="5">
        <f t="shared" si="8"/>
        <v>3.6386577127271191E-3</v>
      </c>
      <c r="T219" s="7">
        <v>6408</v>
      </c>
      <c r="U219" s="5">
        <f t="shared" si="9"/>
        <v>-9.0104695371832164E-3</v>
      </c>
      <c r="V219" s="7">
        <v>2267.1</v>
      </c>
      <c r="W219" s="5">
        <f t="shared" si="10"/>
        <v>-1.1461824566400452E-3</v>
      </c>
      <c r="X219" s="7">
        <v>2614.1999999999998</v>
      </c>
      <c r="Y219" s="5">
        <f t="shared" si="11"/>
        <v>1.0652512907881561E-2</v>
      </c>
      <c r="Z219" s="7">
        <v>7344.5</v>
      </c>
      <c r="AA219" s="5">
        <f t="shared" si="12"/>
        <v>4.434899637483572E-3</v>
      </c>
      <c r="AB219" s="10">
        <v>720.45</v>
      </c>
      <c r="AC219" s="5">
        <f t="shared" si="13"/>
        <v>1.2008801719188261E-2</v>
      </c>
      <c r="AD219" s="11">
        <v>12695</v>
      </c>
      <c r="AE219" s="5">
        <f t="shared" si="14"/>
        <v>9.5770251957723682E-3</v>
      </c>
    </row>
    <row r="220" spans="1:31" ht="13.8">
      <c r="A220" s="13">
        <v>45764</v>
      </c>
      <c r="B220" s="7">
        <v>1419.5</v>
      </c>
      <c r="C220" s="4">
        <f t="shared" si="0"/>
        <v>4.5188243243254409E-3</v>
      </c>
      <c r="D220" s="8">
        <v>467.5</v>
      </c>
      <c r="E220" s="4">
        <f t="shared" si="1"/>
        <v>9.5643091124637709E-3</v>
      </c>
      <c r="F220" s="7">
        <v>2581.6</v>
      </c>
      <c r="G220" s="4">
        <f t="shared" si="2"/>
        <v>2.4150460232283122E-2</v>
      </c>
      <c r="H220" s="7">
        <v>1393.2</v>
      </c>
      <c r="I220" s="5">
        <f t="shared" si="3"/>
        <v>-4.3688520698214892E-3</v>
      </c>
      <c r="J220" s="7">
        <v>1306.8</v>
      </c>
      <c r="K220" s="5">
        <f t="shared" si="4"/>
        <v>-1.4528773345199363E-3</v>
      </c>
      <c r="L220" s="7">
        <v>11955</v>
      </c>
      <c r="M220" s="9">
        <f t="shared" si="5"/>
        <v>3.1438443025948511E-2</v>
      </c>
      <c r="N220" s="7">
        <v>1393.2</v>
      </c>
      <c r="O220" s="5">
        <f t="shared" si="6"/>
        <v>-4.3688520698214892E-3</v>
      </c>
      <c r="P220" s="7">
        <v>5640</v>
      </c>
      <c r="Q220" s="5">
        <f t="shared" si="7"/>
        <v>-2.0011199619388617E-2</v>
      </c>
      <c r="R220" s="7">
        <v>1438</v>
      </c>
      <c r="S220" s="5">
        <f t="shared" si="8"/>
        <v>4.3907099147101137E-3</v>
      </c>
      <c r="T220" s="7">
        <v>6600</v>
      </c>
      <c r="U220" s="5">
        <f t="shared" si="9"/>
        <v>2.9522439266321834E-2</v>
      </c>
      <c r="V220" s="7">
        <v>2273.6999999999998</v>
      </c>
      <c r="W220" s="5">
        <f t="shared" si="10"/>
        <v>2.9069787913090896E-3</v>
      </c>
      <c r="X220" s="7">
        <v>2679.3</v>
      </c>
      <c r="Y220" s="5">
        <f t="shared" si="11"/>
        <v>2.4597443006498694E-2</v>
      </c>
      <c r="Z220" s="7">
        <v>7632.5</v>
      </c>
      <c r="AA220" s="5">
        <f t="shared" si="12"/>
        <v>3.846371183756337E-2</v>
      </c>
      <c r="AB220" s="10">
        <v>714.8</v>
      </c>
      <c r="AC220" s="5">
        <f t="shared" si="13"/>
        <v>-7.8732334936701797E-3</v>
      </c>
      <c r="AD220" s="11">
        <v>13206</v>
      </c>
      <c r="AE220" s="5">
        <f t="shared" si="14"/>
        <v>3.9463056615737763E-2</v>
      </c>
    </row>
    <row r="221" spans="1:31" ht="13.8">
      <c r="A221" s="13">
        <v>45768</v>
      </c>
      <c r="B221" s="7">
        <v>1451</v>
      </c>
      <c r="C221" s="4">
        <f t="shared" si="0"/>
        <v>2.1948276971162056E-2</v>
      </c>
      <c r="D221" s="8">
        <v>480.2</v>
      </c>
      <c r="E221" s="4">
        <f t="shared" si="1"/>
        <v>2.6803335058411096E-2</v>
      </c>
      <c r="F221" s="7">
        <v>2588.4</v>
      </c>
      <c r="G221" s="4">
        <f t="shared" si="2"/>
        <v>2.6305624453589549E-3</v>
      </c>
      <c r="H221" s="7">
        <v>1427.4</v>
      </c>
      <c r="I221" s="5">
        <f t="shared" si="3"/>
        <v>2.425134804512084E-2</v>
      </c>
      <c r="J221" s="7">
        <v>1373.5</v>
      </c>
      <c r="K221" s="5">
        <f t="shared" si="4"/>
        <v>4.978082580841349E-2</v>
      </c>
      <c r="L221" s="7">
        <v>12207</v>
      </c>
      <c r="M221" s="9">
        <f t="shared" si="5"/>
        <v>2.0859956777374618E-2</v>
      </c>
      <c r="N221" s="7">
        <v>1427.4</v>
      </c>
      <c r="O221" s="5">
        <f t="shared" si="6"/>
        <v>2.425134804512084E-2</v>
      </c>
      <c r="P221" s="7">
        <v>5891.5</v>
      </c>
      <c r="Q221" s="5">
        <f t="shared" si="7"/>
        <v>4.3626568661290811E-2</v>
      </c>
      <c r="R221" s="7">
        <v>1482</v>
      </c>
      <c r="S221" s="5">
        <f t="shared" si="8"/>
        <v>3.0139267575040225E-2</v>
      </c>
      <c r="T221" s="7">
        <v>6938</v>
      </c>
      <c r="U221" s="5">
        <f t="shared" si="9"/>
        <v>4.9943899515178157E-2</v>
      </c>
      <c r="V221" s="7">
        <v>2380.6999999999998</v>
      </c>
      <c r="W221" s="5">
        <f t="shared" si="10"/>
        <v>4.5986101582369855E-2</v>
      </c>
      <c r="X221" s="7">
        <v>2735.6</v>
      </c>
      <c r="Y221" s="5">
        <f t="shared" si="11"/>
        <v>2.0795223865990795E-2</v>
      </c>
      <c r="Z221" s="7">
        <v>7564.5</v>
      </c>
      <c r="AA221" s="5">
        <f t="shared" si="12"/>
        <v>-8.9491944241432437E-3</v>
      </c>
      <c r="AB221" s="10">
        <v>695.15</v>
      </c>
      <c r="AC221" s="5">
        <f t="shared" si="13"/>
        <v>-2.7875133669720623E-2</v>
      </c>
      <c r="AD221" s="11">
        <v>13453</v>
      </c>
      <c r="AE221" s="5">
        <f t="shared" si="14"/>
        <v>1.8530857731026189E-2</v>
      </c>
    </row>
    <row r="222" spans="1:31" ht="13.8">
      <c r="A222" s="13">
        <v>45769</v>
      </c>
      <c r="B222" s="7">
        <v>1422.8</v>
      </c>
      <c r="C222" s="4">
        <f t="shared" si="0"/>
        <v>-1.9626212809887696E-2</v>
      </c>
      <c r="D222" s="8">
        <v>480.05</v>
      </c>
      <c r="E222" s="4">
        <f t="shared" si="1"/>
        <v>-3.1241864351995701E-4</v>
      </c>
      <c r="F222" s="7">
        <v>2579.5</v>
      </c>
      <c r="G222" s="4">
        <f t="shared" si="2"/>
        <v>-3.4443424984064649E-3</v>
      </c>
      <c r="H222" s="7">
        <v>1409.9</v>
      </c>
      <c r="I222" s="5">
        <f t="shared" si="3"/>
        <v>-1.2335827665651538E-2</v>
      </c>
      <c r="J222" s="7">
        <v>1376.5</v>
      </c>
      <c r="K222" s="5">
        <f t="shared" si="4"/>
        <v>2.1818190473333432E-3</v>
      </c>
      <c r="L222" s="7">
        <v>12324</v>
      </c>
      <c r="M222" s="9">
        <f t="shared" si="5"/>
        <v>9.5390230467589099E-3</v>
      </c>
      <c r="N222" s="7">
        <v>1409.9</v>
      </c>
      <c r="O222" s="5">
        <f t="shared" si="6"/>
        <v>-1.2335827665651538E-2</v>
      </c>
      <c r="P222" s="7">
        <v>5911.5</v>
      </c>
      <c r="Q222" s="5">
        <f t="shared" si="7"/>
        <v>3.3889721497727169E-3</v>
      </c>
      <c r="R222" s="7">
        <v>1479.9</v>
      </c>
      <c r="S222" s="5">
        <f t="shared" si="8"/>
        <v>-1.4180089482298587E-3</v>
      </c>
      <c r="T222" s="7">
        <v>6956</v>
      </c>
      <c r="U222" s="5">
        <f t="shared" si="9"/>
        <v>2.5910479444787244E-3</v>
      </c>
      <c r="V222" s="7">
        <v>2401.8000000000002</v>
      </c>
      <c r="W222" s="5">
        <f t="shared" si="10"/>
        <v>8.8238941581200957E-3</v>
      </c>
      <c r="X222" s="7">
        <v>2738.5</v>
      </c>
      <c r="Y222" s="5">
        <f t="shared" si="11"/>
        <v>1.0595349998351118E-3</v>
      </c>
      <c r="Z222" s="7">
        <v>7544.5</v>
      </c>
      <c r="AA222" s="5">
        <f t="shared" si="12"/>
        <v>-2.6474302311836678E-3</v>
      </c>
      <c r="AB222" s="10">
        <v>709.15</v>
      </c>
      <c r="AC222" s="5">
        <f t="shared" si="13"/>
        <v>1.9939420125064208E-2</v>
      </c>
      <c r="AD222" s="11">
        <v>13802</v>
      </c>
      <c r="AE222" s="5">
        <f t="shared" si="14"/>
        <v>2.5611379695004342E-2</v>
      </c>
    </row>
    <row r="223" spans="1:31" ht="13.8">
      <c r="A223" s="13">
        <v>45770</v>
      </c>
      <c r="B223" s="7">
        <v>1474.9</v>
      </c>
      <c r="C223" s="4">
        <f t="shared" si="0"/>
        <v>3.5963429791156645E-2</v>
      </c>
      <c r="D223" s="8">
        <v>484.95</v>
      </c>
      <c r="E223" s="4">
        <f t="shared" si="1"/>
        <v>1.0155527695918862E-2</v>
      </c>
      <c r="F223" s="7">
        <v>2545.5</v>
      </c>
      <c r="G223" s="4">
        <f t="shared" si="2"/>
        <v>-1.3268487342313921E-2</v>
      </c>
      <c r="H223" s="7">
        <v>1427.3</v>
      </c>
      <c r="I223" s="5">
        <f t="shared" si="3"/>
        <v>1.2265767764407328E-2</v>
      </c>
      <c r="J223" s="7">
        <v>1439.6</v>
      </c>
      <c r="K223" s="5">
        <f t="shared" si="4"/>
        <v>4.4821251622213516E-2</v>
      </c>
      <c r="L223" s="7">
        <v>12422</v>
      </c>
      <c r="M223" s="9">
        <f t="shared" si="5"/>
        <v>7.9205134026897606E-3</v>
      </c>
      <c r="N223" s="7">
        <v>1427.3</v>
      </c>
      <c r="O223" s="5">
        <f t="shared" si="6"/>
        <v>1.2265767764407328E-2</v>
      </c>
      <c r="P223" s="7">
        <v>5924.5</v>
      </c>
      <c r="Q223" s="5">
        <f t="shared" si="7"/>
        <v>2.1966889536265632E-3</v>
      </c>
      <c r="R223" s="7">
        <v>1594</v>
      </c>
      <c r="S223" s="5">
        <f t="shared" si="8"/>
        <v>7.4272062442358039E-2</v>
      </c>
      <c r="T223" s="7">
        <v>7392</v>
      </c>
      <c r="U223" s="5">
        <f t="shared" si="9"/>
        <v>6.0793737847346374E-2</v>
      </c>
      <c r="V223" s="7">
        <v>2507.3000000000002</v>
      </c>
      <c r="W223" s="5">
        <f t="shared" si="10"/>
        <v>4.2988020710606097E-2</v>
      </c>
      <c r="X223" s="7">
        <v>2806.7</v>
      </c>
      <c r="Y223" s="5">
        <f t="shared" si="11"/>
        <v>2.4599090758522252E-2</v>
      </c>
      <c r="Z223" s="7">
        <v>7921.5</v>
      </c>
      <c r="AA223" s="5">
        <f t="shared" si="12"/>
        <v>4.8761760861391584E-2</v>
      </c>
      <c r="AB223" s="10">
        <v>716.55</v>
      </c>
      <c r="AC223" s="5">
        <f t="shared" si="13"/>
        <v>1.0380958763463928E-2</v>
      </c>
      <c r="AD223" s="11">
        <v>13910</v>
      </c>
      <c r="AE223" s="5">
        <f t="shared" si="14"/>
        <v>7.7944967369414139E-3</v>
      </c>
    </row>
    <row r="224" spans="1:31" ht="13.8">
      <c r="A224" s="13">
        <v>45771</v>
      </c>
      <c r="B224" s="7">
        <v>1471.4</v>
      </c>
      <c r="C224" s="4">
        <f t="shared" si="0"/>
        <v>-2.3758623672926141E-3</v>
      </c>
      <c r="D224" s="8">
        <v>475.05</v>
      </c>
      <c r="E224" s="4">
        <f t="shared" si="1"/>
        <v>-2.0625731186793211E-2</v>
      </c>
      <c r="F224" s="7">
        <v>2599.1999999999998</v>
      </c>
      <c r="G224" s="4">
        <f t="shared" si="2"/>
        <v>2.0876611012499876E-2</v>
      </c>
      <c r="H224" s="7">
        <v>1429.6</v>
      </c>
      <c r="I224" s="5">
        <f t="shared" si="3"/>
        <v>1.6101372094955472E-3</v>
      </c>
      <c r="J224" s="7">
        <v>1445.2</v>
      </c>
      <c r="K224" s="5">
        <f t="shared" si="4"/>
        <v>3.8824230686095255E-3</v>
      </c>
      <c r="L224" s="7">
        <v>12379</v>
      </c>
      <c r="M224" s="9">
        <f t="shared" si="5"/>
        <v>-3.4676055874380061E-3</v>
      </c>
      <c r="N224" s="7">
        <v>1429.6</v>
      </c>
      <c r="O224" s="5">
        <f t="shared" si="6"/>
        <v>1.6101372094955472E-3</v>
      </c>
      <c r="P224" s="7">
        <v>6215.5</v>
      </c>
      <c r="Q224" s="5">
        <f t="shared" si="7"/>
        <v>4.7949876974975478E-2</v>
      </c>
      <c r="R224" s="7">
        <v>1586.7</v>
      </c>
      <c r="S224" s="5">
        <f t="shared" si="8"/>
        <v>-4.5901926101164009E-3</v>
      </c>
      <c r="T224" s="7">
        <v>7251</v>
      </c>
      <c r="U224" s="5">
        <f t="shared" si="9"/>
        <v>-1.9258943949927387E-2</v>
      </c>
      <c r="V224" s="7">
        <v>2468.1</v>
      </c>
      <c r="W224" s="5">
        <f t="shared" si="10"/>
        <v>-1.5757853094194748E-2</v>
      </c>
      <c r="X224" s="7">
        <v>2773.9</v>
      </c>
      <c r="Y224" s="5">
        <f t="shared" si="11"/>
        <v>-1.1755143783979426E-2</v>
      </c>
      <c r="Z224" s="7">
        <v>8225</v>
      </c>
      <c r="AA224" s="5">
        <f t="shared" si="12"/>
        <v>3.7597714818475E-2</v>
      </c>
      <c r="AB224" s="10">
        <v>712.75</v>
      </c>
      <c r="AC224" s="5">
        <f t="shared" si="13"/>
        <v>-5.317300711299159E-3</v>
      </c>
      <c r="AD224" s="11">
        <v>13924</v>
      </c>
      <c r="AE224" s="5">
        <f t="shared" si="14"/>
        <v>1.0059640138409729E-3</v>
      </c>
    </row>
    <row r="225" spans="1:31" ht="13.8">
      <c r="A225" s="13">
        <v>45772</v>
      </c>
      <c r="B225" s="7">
        <v>1480.2</v>
      </c>
      <c r="C225" s="4">
        <f t="shared" si="0"/>
        <v>5.9628852652018546E-3</v>
      </c>
      <c r="D225" s="8">
        <v>452.55</v>
      </c>
      <c r="E225" s="4">
        <f t="shared" si="1"/>
        <v>-4.8521807379578716E-2</v>
      </c>
      <c r="F225" s="7">
        <v>2557.5</v>
      </c>
      <c r="G225" s="4">
        <f t="shared" si="2"/>
        <v>-1.6173486529108931E-2</v>
      </c>
      <c r="H225" s="7">
        <v>1413.6</v>
      </c>
      <c r="I225" s="5">
        <f t="shared" si="3"/>
        <v>-1.1255042839731652E-2</v>
      </c>
      <c r="J225" s="7">
        <v>1462</v>
      </c>
      <c r="K225" s="5">
        <f t="shared" si="4"/>
        <v>1.1557641036238603E-2</v>
      </c>
      <c r="L225" s="7">
        <v>12198</v>
      </c>
      <c r="M225" s="9">
        <f t="shared" si="5"/>
        <v>-1.4729484675408612E-2</v>
      </c>
      <c r="N225" s="7">
        <v>1413.6</v>
      </c>
      <c r="O225" s="5">
        <f t="shared" si="6"/>
        <v>-1.1255042839731652E-2</v>
      </c>
      <c r="P225" s="7">
        <v>6012.5</v>
      </c>
      <c r="Q225" s="5">
        <f t="shared" si="7"/>
        <v>-3.3205536817753553E-2</v>
      </c>
      <c r="R225" s="7">
        <v>1578.2</v>
      </c>
      <c r="S225" s="5">
        <f t="shared" si="8"/>
        <v>-5.3714306531093088E-3</v>
      </c>
      <c r="T225" s="7">
        <v>7390</v>
      </c>
      <c r="U225" s="5">
        <f t="shared" si="9"/>
        <v>1.8988344570654753E-2</v>
      </c>
      <c r="V225" s="7">
        <v>2538.6</v>
      </c>
      <c r="W225" s="5">
        <f t="shared" si="10"/>
        <v>2.8164124111082569E-2</v>
      </c>
      <c r="X225" s="7">
        <v>2737.9</v>
      </c>
      <c r="Y225" s="5">
        <f t="shared" si="11"/>
        <v>-1.3063069026402014E-2</v>
      </c>
      <c r="Z225" s="7">
        <v>8020.5</v>
      </c>
      <c r="AA225" s="5">
        <f t="shared" si="12"/>
        <v>-2.5177532576676737E-2</v>
      </c>
      <c r="AB225" s="10">
        <v>710.4</v>
      </c>
      <c r="AC225" s="5">
        <f t="shared" si="13"/>
        <v>-3.3025361148210698E-3</v>
      </c>
      <c r="AD225" s="11">
        <v>13499</v>
      </c>
      <c r="AE225" s="5">
        <f t="shared" si="14"/>
        <v>-3.0998361322502534E-2</v>
      </c>
    </row>
    <row r="226" spans="1:31" ht="13.8">
      <c r="A226" s="13">
        <v>45775</v>
      </c>
      <c r="B226" s="7">
        <v>1482.1</v>
      </c>
      <c r="C226" s="4">
        <f t="shared" si="0"/>
        <v>1.2827871995031879E-3</v>
      </c>
      <c r="D226" s="8">
        <v>461.45</v>
      </c>
      <c r="E226" s="4">
        <f t="shared" si="1"/>
        <v>1.9475451438405789E-2</v>
      </c>
      <c r="F226" s="7">
        <v>2560.4</v>
      </c>
      <c r="G226" s="4">
        <f t="shared" si="2"/>
        <v>1.1332774420668584E-3</v>
      </c>
      <c r="H226" s="7">
        <v>1486.5</v>
      </c>
      <c r="I226" s="5">
        <f t="shared" si="3"/>
        <v>5.0284721432665838E-2</v>
      </c>
      <c r="J226" s="7">
        <v>1461.5</v>
      </c>
      <c r="K226" s="5">
        <f t="shared" si="4"/>
        <v>-3.4205575842313887E-4</v>
      </c>
      <c r="L226" s="7">
        <v>12354</v>
      </c>
      <c r="M226" s="9">
        <f t="shared" si="5"/>
        <v>1.270789339944277E-2</v>
      </c>
      <c r="N226" s="7">
        <v>1486.5</v>
      </c>
      <c r="O226" s="5">
        <f t="shared" si="6"/>
        <v>5.0284721432665838E-2</v>
      </c>
      <c r="P226" s="7">
        <v>6026.5</v>
      </c>
      <c r="Q226" s="5">
        <f t="shared" si="7"/>
        <v>2.3257756143816944E-3</v>
      </c>
      <c r="R226" s="7">
        <v>1549.3</v>
      </c>
      <c r="S226" s="5">
        <f t="shared" si="8"/>
        <v>-1.848174108468854E-2</v>
      </c>
      <c r="T226" s="7">
        <v>7377.5</v>
      </c>
      <c r="U226" s="5">
        <f t="shared" si="9"/>
        <v>-1.6929071251529843E-3</v>
      </c>
      <c r="V226" s="7">
        <v>2503.4</v>
      </c>
      <c r="W226" s="5">
        <f t="shared" si="10"/>
        <v>-1.396294006015361E-2</v>
      </c>
      <c r="X226" s="7">
        <v>2793.1</v>
      </c>
      <c r="Y226" s="5">
        <f t="shared" si="11"/>
        <v>1.9960886927521578E-2</v>
      </c>
      <c r="Z226" s="7">
        <v>8126</v>
      </c>
      <c r="AA226" s="5">
        <f t="shared" si="12"/>
        <v>1.3068033490776147E-2</v>
      </c>
      <c r="AB226" s="10">
        <v>715.45</v>
      </c>
      <c r="AC226" s="5">
        <f t="shared" si="13"/>
        <v>7.0835236747836929E-3</v>
      </c>
      <c r="AD226" s="11">
        <v>13961</v>
      </c>
      <c r="AE226" s="5">
        <f t="shared" si="14"/>
        <v>3.3652119379820981E-2</v>
      </c>
    </row>
    <row r="227" spans="1:31" ht="13.8">
      <c r="A227" s="13">
        <v>45776</v>
      </c>
      <c r="B227" s="7">
        <v>1497.5</v>
      </c>
      <c r="C227" s="4">
        <f t="shared" si="0"/>
        <v>1.0337050026735134E-2</v>
      </c>
      <c r="D227" s="8">
        <v>455.6</v>
      </c>
      <c r="E227" s="4">
        <f t="shared" si="1"/>
        <v>-1.2758474138558582E-2</v>
      </c>
      <c r="F227" s="7">
        <v>2556.9</v>
      </c>
      <c r="G227" s="4">
        <f t="shared" si="2"/>
        <v>-1.367909071486655E-3</v>
      </c>
      <c r="H227" s="7">
        <v>1536.2</v>
      </c>
      <c r="I227" s="5">
        <f t="shared" si="3"/>
        <v>3.2887471126429133E-2</v>
      </c>
      <c r="J227" s="7">
        <v>1495.3</v>
      </c>
      <c r="K227" s="5">
        <f t="shared" si="4"/>
        <v>2.2863550038497413E-2</v>
      </c>
      <c r="L227" s="7">
        <v>12316</v>
      </c>
      <c r="M227" s="9">
        <f t="shared" si="5"/>
        <v>-3.0806672114534863E-3</v>
      </c>
      <c r="N227" s="7">
        <v>1536.2</v>
      </c>
      <c r="O227" s="5">
        <f t="shared" si="6"/>
        <v>3.2887471126429133E-2</v>
      </c>
      <c r="P227" s="7">
        <v>6108</v>
      </c>
      <c r="Q227" s="5">
        <f t="shared" si="7"/>
        <v>1.3432976310124776E-2</v>
      </c>
      <c r="R227" s="7">
        <v>1569</v>
      </c>
      <c r="S227" s="5">
        <f t="shared" si="8"/>
        <v>1.2635257730786461E-2</v>
      </c>
      <c r="T227" s="7">
        <v>7485</v>
      </c>
      <c r="U227" s="5">
        <f t="shared" si="9"/>
        <v>1.4466190036634232E-2</v>
      </c>
      <c r="V227" s="7">
        <v>2511.9</v>
      </c>
      <c r="W227" s="5">
        <f t="shared" si="10"/>
        <v>3.3896309845728467E-3</v>
      </c>
      <c r="X227" s="7">
        <v>2702.6</v>
      </c>
      <c r="Y227" s="5">
        <f t="shared" si="11"/>
        <v>-3.2937817495452736E-2</v>
      </c>
      <c r="Z227" s="7">
        <v>8199</v>
      </c>
      <c r="AA227" s="5">
        <f t="shared" si="12"/>
        <v>8.9433980485057081E-3</v>
      </c>
      <c r="AB227" s="10">
        <v>711.35</v>
      </c>
      <c r="AC227" s="5">
        <f t="shared" si="13"/>
        <v>-5.7471422555679594E-3</v>
      </c>
      <c r="AD227" s="11">
        <v>14391</v>
      </c>
      <c r="AE227" s="5">
        <f t="shared" si="14"/>
        <v>3.0335283181525712E-2</v>
      </c>
    </row>
    <row r="228" spans="1:31" ht="13.8">
      <c r="A228" s="13">
        <v>45777</v>
      </c>
      <c r="B228" s="7">
        <v>1500.1</v>
      </c>
      <c r="C228" s="4">
        <f t="shared" si="0"/>
        <v>1.7347215452402447E-3</v>
      </c>
      <c r="D228" s="8">
        <v>455.8</v>
      </c>
      <c r="E228" s="4">
        <f t="shared" si="1"/>
        <v>4.388852385567769E-4</v>
      </c>
      <c r="F228" s="7">
        <v>2465.3000000000002</v>
      </c>
      <c r="G228" s="4">
        <f t="shared" si="2"/>
        <v>-3.6482083270928924E-2</v>
      </c>
      <c r="H228" s="7">
        <v>1529.6</v>
      </c>
      <c r="I228" s="5">
        <f t="shared" si="3"/>
        <v>-4.3055712674447948E-3</v>
      </c>
      <c r="J228" s="7">
        <v>1503</v>
      </c>
      <c r="K228" s="5">
        <f t="shared" si="4"/>
        <v>5.1362551631764916E-3</v>
      </c>
      <c r="L228" s="7">
        <v>11973</v>
      </c>
      <c r="M228" s="9">
        <f t="shared" si="5"/>
        <v>-2.824511532754739E-2</v>
      </c>
      <c r="N228" s="7">
        <v>1529.6</v>
      </c>
      <c r="O228" s="5">
        <f t="shared" si="6"/>
        <v>-4.3055712674447948E-3</v>
      </c>
      <c r="P228" s="7">
        <v>6087</v>
      </c>
      <c r="Q228" s="5">
        <f t="shared" si="7"/>
        <v>-3.4440378445986324E-3</v>
      </c>
      <c r="R228" s="7">
        <v>1567.5</v>
      </c>
      <c r="S228" s="5">
        <f t="shared" si="8"/>
        <v>-9.5648022595682303E-4</v>
      </c>
      <c r="T228" s="7">
        <v>7305</v>
      </c>
      <c r="U228" s="5">
        <f t="shared" si="9"/>
        <v>-2.4341972668928898E-2</v>
      </c>
      <c r="V228" s="7">
        <v>2469</v>
      </c>
      <c r="W228" s="5">
        <f t="shared" si="10"/>
        <v>-1.7226228533316436E-2</v>
      </c>
      <c r="X228" s="7">
        <v>2672</v>
      </c>
      <c r="Y228" s="5">
        <f t="shared" si="11"/>
        <v>-1.1387016947449331E-2</v>
      </c>
      <c r="Z228" s="7">
        <v>8116</v>
      </c>
      <c r="AA228" s="5">
        <f t="shared" si="12"/>
        <v>-1.0174773650472386E-2</v>
      </c>
      <c r="AB228" s="10">
        <v>710.45</v>
      </c>
      <c r="AC228" s="5">
        <f t="shared" si="13"/>
        <v>-1.266001013091711E-3</v>
      </c>
      <c r="AD228" s="11">
        <v>14529</v>
      </c>
      <c r="AE228" s="5">
        <f t="shared" si="14"/>
        <v>9.5436409011651624E-3</v>
      </c>
    </row>
    <row r="229" spans="1:31" ht="13.8">
      <c r="A229" s="25">
        <v>45779</v>
      </c>
      <c r="B229" s="7">
        <v>1506.8</v>
      </c>
      <c r="C229" s="4">
        <f t="shared" si="0"/>
        <v>4.4564242830413625E-3</v>
      </c>
      <c r="D229" s="8">
        <v>455.6</v>
      </c>
      <c r="E229" s="4">
        <f t="shared" si="1"/>
        <v>-4.3888523855674621E-4</v>
      </c>
      <c r="F229" s="7">
        <v>2385.8000000000002</v>
      </c>
      <c r="G229" s="4">
        <f t="shared" si="2"/>
        <v>-3.2779006077587255E-2</v>
      </c>
      <c r="H229" s="7">
        <v>1486.8</v>
      </c>
      <c r="I229" s="5">
        <f t="shared" si="3"/>
        <v>-2.8380103874039688E-2</v>
      </c>
      <c r="J229" s="7">
        <v>1496.3</v>
      </c>
      <c r="K229" s="5">
        <f t="shared" si="4"/>
        <v>-4.4677165636008006E-3</v>
      </c>
      <c r="L229" s="7">
        <v>12014</v>
      </c>
      <c r="M229" s="9">
        <f t="shared" si="5"/>
        <v>3.4185216932632427E-3</v>
      </c>
      <c r="N229" s="7">
        <v>1486.8</v>
      </c>
      <c r="O229" s="5">
        <f t="shared" si="6"/>
        <v>-2.8380103874039688E-2</v>
      </c>
      <c r="P229" s="7">
        <v>6104</v>
      </c>
      <c r="Q229" s="5">
        <f t="shared" si="7"/>
        <v>2.7889444703684714E-3</v>
      </c>
      <c r="R229" s="7">
        <v>1576.5</v>
      </c>
      <c r="S229" s="5">
        <f t="shared" si="8"/>
        <v>5.7252064780396444E-3</v>
      </c>
      <c r="T229" s="7">
        <v>7382</v>
      </c>
      <c r="U229" s="5">
        <f t="shared" si="9"/>
        <v>1.0485559405144028E-2</v>
      </c>
      <c r="V229" s="7">
        <v>2460.6999999999998</v>
      </c>
      <c r="W229" s="5">
        <f t="shared" si="10"/>
        <v>-3.3673480507251312E-3</v>
      </c>
      <c r="X229" s="7">
        <v>2713.8</v>
      </c>
      <c r="Y229" s="5">
        <f t="shared" si="11"/>
        <v>1.5522611055316137E-2</v>
      </c>
      <c r="Z229" s="7">
        <v>8387.5</v>
      </c>
      <c r="AA229" s="5">
        <f t="shared" si="12"/>
        <v>3.2905080334231833E-2</v>
      </c>
      <c r="AB229" s="10">
        <v>697.75</v>
      </c>
      <c r="AC229" s="5">
        <f t="shared" si="13"/>
        <v>-1.803769966765285E-2</v>
      </c>
      <c r="AD229" s="11">
        <v>14702</v>
      </c>
      <c r="AE229" s="5">
        <f t="shared" si="14"/>
        <v>1.1836886862694148E-2</v>
      </c>
    </row>
    <row r="230" spans="1:31" ht="13.8">
      <c r="A230" s="25">
        <v>45782</v>
      </c>
      <c r="B230" s="7">
        <v>1508.6</v>
      </c>
      <c r="C230" s="4">
        <f t="shared" si="0"/>
        <v>1.1938716016445211E-3</v>
      </c>
      <c r="D230" s="8">
        <v>461.75</v>
      </c>
      <c r="E230" s="4">
        <f t="shared" si="1"/>
        <v>1.3408387506322247E-2</v>
      </c>
      <c r="F230" s="7">
        <v>2415.4</v>
      </c>
      <c r="G230" s="4">
        <f t="shared" si="2"/>
        <v>1.2330406993429341E-2</v>
      </c>
      <c r="H230" s="7">
        <v>1563.9</v>
      </c>
      <c r="I230" s="5">
        <f t="shared" si="3"/>
        <v>5.0556542019072892E-2</v>
      </c>
      <c r="J230" s="7">
        <v>1494.6</v>
      </c>
      <c r="K230" s="5">
        <f t="shared" si="4"/>
        <v>-1.13678169318397E-3</v>
      </c>
      <c r="L230" s="7">
        <v>11901</v>
      </c>
      <c r="M230" s="9">
        <f t="shared" si="5"/>
        <v>-9.4502062276669383E-3</v>
      </c>
      <c r="N230" s="7">
        <v>1563.9</v>
      </c>
      <c r="O230" s="5">
        <f t="shared" si="6"/>
        <v>5.0556542019072892E-2</v>
      </c>
      <c r="P230" s="7">
        <v>6124.5</v>
      </c>
      <c r="Q230" s="5">
        <f t="shared" si="7"/>
        <v>3.3528264634471892E-3</v>
      </c>
      <c r="R230" s="7">
        <v>1568.6</v>
      </c>
      <c r="S230" s="5">
        <f t="shared" si="8"/>
        <v>-5.0236982065494451E-3</v>
      </c>
      <c r="T230" s="7">
        <v>7496.5</v>
      </c>
      <c r="U230" s="5">
        <f t="shared" si="9"/>
        <v>1.5391640345013991E-2</v>
      </c>
      <c r="V230" s="7">
        <v>2456.1</v>
      </c>
      <c r="W230" s="5">
        <f t="shared" si="10"/>
        <v>-1.8711362439422514E-3</v>
      </c>
      <c r="X230" s="7">
        <v>2782.6</v>
      </c>
      <c r="Y230" s="5">
        <f t="shared" si="11"/>
        <v>2.5035875695923818E-2</v>
      </c>
      <c r="Z230" s="7">
        <v>8806.5</v>
      </c>
      <c r="AA230" s="5">
        <f t="shared" si="12"/>
        <v>4.8747582892413079E-2</v>
      </c>
      <c r="AB230" s="10">
        <v>722.65</v>
      </c>
      <c r="AC230" s="5">
        <f t="shared" si="13"/>
        <v>3.5064138478419361E-2</v>
      </c>
      <c r="AD230" s="11">
        <v>14574</v>
      </c>
      <c r="AE230" s="5">
        <f t="shared" si="14"/>
        <v>-8.7444197038054044E-3</v>
      </c>
    </row>
    <row r="231" spans="1:31" ht="13.8">
      <c r="A231" s="25">
        <v>45783</v>
      </c>
      <c r="B231" s="7">
        <v>1511.5</v>
      </c>
      <c r="C231" s="4">
        <f t="shared" si="0"/>
        <v>1.9204667999822404E-3</v>
      </c>
      <c r="D231" s="8">
        <v>448.15</v>
      </c>
      <c r="E231" s="4">
        <f t="shared" si="1"/>
        <v>-2.9895621275978751E-2</v>
      </c>
      <c r="F231" s="7">
        <v>2368.6999999999998</v>
      </c>
      <c r="G231" s="4">
        <f t="shared" si="2"/>
        <v>-1.9523623412738753E-2</v>
      </c>
      <c r="H231" s="7">
        <v>1527.7</v>
      </c>
      <c r="I231" s="5">
        <f t="shared" si="3"/>
        <v>-2.341936507049287E-2</v>
      </c>
      <c r="J231" s="7">
        <v>1496.2</v>
      </c>
      <c r="K231" s="5">
        <f t="shared" si="4"/>
        <v>1.0699479421148927E-3</v>
      </c>
      <c r="L231" s="7">
        <v>11858</v>
      </c>
      <c r="M231" s="9">
        <f t="shared" si="5"/>
        <v>-3.6196849151268642E-3</v>
      </c>
      <c r="N231" s="7">
        <v>1527.7</v>
      </c>
      <c r="O231" s="5">
        <f t="shared" si="6"/>
        <v>-2.341936507049287E-2</v>
      </c>
      <c r="P231" s="7">
        <v>6161</v>
      </c>
      <c r="Q231" s="5">
        <f t="shared" si="7"/>
        <v>5.9419815868306074E-3</v>
      </c>
      <c r="R231" s="7">
        <v>1579.1</v>
      </c>
      <c r="S231" s="5">
        <f t="shared" si="8"/>
        <v>6.6715626940314441E-3</v>
      </c>
      <c r="T231" s="7">
        <v>7426</v>
      </c>
      <c r="U231" s="5">
        <f t="shared" si="9"/>
        <v>-9.4488891979325074E-3</v>
      </c>
      <c r="V231" s="7">
        <v>2357.6999999999998</v>
      </c>
      <c r="W231" s="5">
        <f t="shared" si="10"/>
        <v>-4.0888158510273227E-2</v>
      </c>
      <c r="X231" s="7">
        <v>2773.5</v>
      </c>
      <c r="Y231" s="5">
        <f t="shared" si="11"/>
        <v>-3.2756819124871339E-3</v>
      </c>
      <c r="Z231" s="7">
        <v>8654</v>
      </c>
      <c r="AA231" s="5">
        <f t="shared" si="12"/>
        <v>-1.7468443387520238E-2</v>
      </c>
      <c r="AB231" s="10">
        <v>720.1</v>
      </c>
      <c r="AC231" s="5">
        <f t="shared" si="13"/>
        <v>-3.5349196400297615E-3</v>
      </c>
      <c r="AD231" s="11">
        <v>14413</v>
      </c>
      <c r="AE231" s="5">
        <f t="shared" si="14"/>
        <v>-1.1108542147124754E-2</v>
      </c>
    </row>
    <row r="232" spans="1:31" ht="13.8">
      <c r="A232" s="25">
        <v>45784</v>
      </c>
      <c r="B232" s="7">
        <v>1508.3</v>
      </c>
      <c r="C232" s="4">
        <f t="shared" si="0"/>
        <v>-2.1193464453061824E-3</v>
      </c>
      <c r="D232" s="8">
        <v>453.85</v>
      </c>
      <c r="E232" s="4">
        <f t="shared" si="1"/>
        <v>1.2638749169265554E-2</v>
      </c>
      <c r="F232" s="7">
        <v>2432.4</v>
      </c>
      <c r="G232" s="4">
        <f t="shared" si="2"/>
        <v>2.6537142817418615E-2</v>
      </c>
      <c r="H232" s="7">
        <v>1447.9</v>
      </c>
      <c r="I232" s="5">
        <f t="shared" si="3"/>
        <v>-5.3649105584301082E-2</v>
      </c>
      <c r="J232" s="7">
        <v>1495.2</v>
      </c>
      <c r="K232" s="5">
        <f t="shared" si="4"/>
        <v>-6.6858329695145978E-4</v>
      </c>
      <c r="L232" s="7">
        <v>11907</v>
      </c>
      <c r="M232" s="9">
        <f t="shared" si="5"/>
        <v>4.1237171838621562E-3</v>
      </c>
      <c r="N232" s="7">
        <v>1447.9</v>
      </c>
      <c r="O232" s="5">
        <f t="shared" si="6"/>
        <v>-5.3649105584301082E-2</v>
      </c>
      <c r="P232" s="7">
        <v>6148</v>
      </c>
      <c r="Q232" s="5">
        <f t="shared" si="7"/>
        <v>-2.1122763560842616E-3</v>
      </c>
      <c r="R232" s="7">
        <v>1563.3</v>
      </c>
      <c r="S232" s="5">
        <f t="shared" si="8"/>
        <v>-1.0056092889318871E-2</v>
      </c>
      <c r="T232" s="7">
        <v>7600</v>
      </c>
      <c r="U232" s="5">
        <f t="shared" si="9"/>
        <v>2.3160891537397105E-2</v>
      </c>
      <c r="V232" s="7">
        <v>2402.1999999999998</v>
      </c>
      <c r="W232" s="5">
        <f t="shared" si="10"/>
        <v>1.8698416580150985E-2</v>
      </c>
      <c r="X232" s="7">
        <v>2792.3</v>
      </c>
      <c r="Y232" s="5">
        <f t="shared" si="11"/>
        <v>6.755568471385036E-3</v>
      </c>
      <c r="Z232" s="7">
        <v>8430</v>
      </c>
      <c r="AA232" s="5">
        <f t="shared" si="12"/>
        <v>-2.6224869788928958E-2</v>
      </c>
      <c r="AB232" s="10">
        <v>736.35</v>
      </c>
      <c r="AC232" s="5">
        <f t="shared" si="13"/>
        <v>2.2315457917350019E-2</v>
      </c>
      <c r="AD232" s="11">
        <v>14680</v>
      </c>
      <c r="AE232" s="5">
        <f t="shared" si="14"/>
        <v>1.8355446085403765E-2</v>
      </c>
    </row>
    <row r="233" spans="1:31" ht="13.8">
      <c r="A233" s="25">
        <v>45785</v>
      </c>
      <c r="B233" s="7">
        <v>1511.4</v>
      </c>
      <c r="C233" s="4">
        <f t="shared" si="0"/>
        <v>2.0531848124130565E-3</v>
      </c>
      <c r="D233" s="8">
        <v>442.5</v>
      </c>
      <c r="E233" s="4">
        <f t="shared" si="1"/>
        <v>-2.5326282524652109E-2</v>
      </c>
      <c r="F233" s="7">
        <v>2439.5</v>
      </c>
      <c r="G233" s="4">
        <f t="shared" si="2"/>
        <v>2.9146760099371316E-3</v>
      </c>
      <c r="H233" s="7">
        <v>1453.8</v>
      </c>
      <c r="I233" s="5">
        <f t="shared" si="3"/>
        <v>4.0665872631590241E-3</v>
      </c>
      <c r="J233" s="7">
        <v>1502.8</v>
      </c>
      <c r="K233" s="5">
        <f t="shared" si="4"/>
        <v>5.0700575584606226E-3</v>
      </c>
      <c r="L233" s="7">
        <v>11549</v>
      </c>
      <c r="M233" s="9">
        <f t="shared" si="5"/>
        <v>-3.0527609336087655E-2</v>
      </c>
      <c r="N233" s="7">
        <v>1453.8</v>
      </c>
      <c r="O233" s="5">
        <f t="shared" si="6"/>
        <v>4.0665872631590241E-3</v>
      </c>
      <c r="P233" s="7">
        <v>5960.5</v>
      </c>
      <c r="Q233" s="5">
        <f t="shared" si="7"/>
        <v>-3.0972455500430172E-2</v>
      </c>
      <c r="R233" s="7">
        <v>1580.7</v>
      </c>
      <c r="S233" s="5">
        <f t="shared" si="8"/>
        <v>1.1068815300071224E-2</v>
      </c>
      <c r="T233" s="7">
        <v>7754.5</v>
      </c>
      <c r="U233" s="5">
        <f t="shared" si="9"/>
        <v>2.0125072725084989E-2</v>
      </c>
      <c r="V233" s="7">
        <v>2374.9</v>
      </c>
      <c r="W233" s="5">
        <f t="shared" si="10"/>
        <v>-1.1429652801257576E-2</v>
      </c>
      <c r="X233" s="7">
        <v>2695.6</v>
      </c>
      <c r="Y233" s="5">
        <f t="shared" si="11"/>
        <v>-3.524481489461237E-2</v>
      </c>
      <c r="Z233" s="7">
        <v>8251.5</v>
      </c>
      <c r="AA233" s="5">
        <f t="shared" si="12"/>
        <v>-2.1401770012278623E-2</v>
      </c>
      <c r="AB233" s="10">
        <v>719.55</v>
      </c>
      <c r="AC233" s="5">
        <f t="shared" si="13"/>
        <v>-2.3079532555988717E-2</v>
      </c>
      <c r="AD233" s="11">
        <v>14667</v>
      </c>
      <c r="AE233" s="5">
        <f t="shared" si="14"/>
        <v>-8.8595092175129935E-4</v>
      </c>
    </row>
    <row r="234" spans="1:31" ht="13.8">
      <c r="A234" s="25">
        <v>45786</v>
      </c>
      <c r="B234" s="7">
        <v>1507.6</v>
      </c>
      <c r="C234" s="4">
        <f t="shared" si="0"/>
        <v>-2.5173911936392447E-3</v>
      </c>
      <c r="D234" s="8">
        <v>440.9</v>
      </c>
      <c r="E234" s="4">
        <f t="shared" si="1"/>
        <v>-3.622372084092355E-3</v>
      </c>
      <c r="F234" s="7">
        <v>2408.1999999999998</v>
      </c>
      <c r="G234" s="4">
        <f t="shared" si="2"/>
        <v>-1.2913519797773273E-2</v>
      </c>
      <c r="H234" s="7">
        <v>1531.8</v>
      </c>
      <c r="I234" s="5">
        <f t="shared" si="3"/>
        <v>5.2262696424958122E-2</v>
      </c>
      <c r="J234" s="7">
        <v>1493.7</v>
      </c>
      <c r="K234" s="5">
        <f t="shared" si="4"/>
        <v>-6.073771383567024E-3</v>
      </c>
      <c r="L234" s="7">
        <v>11238</v>
      </c>
      <c r="M234" s="9">
        <f t="shared" si="5"/>
        <v>-2.7297960442943969E-2</v>
      </c>
      <c r="N234" s="7">
        <v>1531.8</v>
      </c>
      <c r="O234" s="5">
        <f t="shared" si="6"/>
        <v>5.2262696424958122E-2</v>
      </c>
      <c r="P234" s="7">
        <v>6025.5</v>
      </c>
      <c r="Q234" s="5">
        <f t="shared" si="7"/>
        <v>1.0846093309390384E-2</v>
      </c>
      <c r="R234" s="7">
        <v>1569.4</v>
      </c>
      <c r="S234" s="5">
        <f t="shared" si="8"/>
        <v>-7.1744061899769217E-3</v>
      </c>
      <c r="T234" s="7">
        <v>7681</v>
      </c>
      <c r="U234" s="5">
        <f t="shared" si="9"/>
        <v>-9.5235730008255779E-3</v>
      </c>
      <c r="V234" s="7">
        <v>2387.3000000000002</v>
      </c>
      <c r="W234" s="5">
        <f t="shared" si="10"/>
        <v>5.2076888933735828E-3</v>
      </c>
      <c r="X234" s="7">
        <v>2663.7</v>
      </c>
      <c r="Y234" s="5">
        <f t="shared" si="11"/>
        <v>-1.1904680365671105E-2</v>
      </c>
      <c r="Z234" s="7">
        <v>8193.5</v>
      </c>
      <c r="AA234" s="5">
        <f t="shared" si="12"/>
        <v>-7.0538449973436747E-3</v>
      </c>
      <c r="AB234" s="10">
        <v>723.3</v>
      </c>
      <c r="AC234" s="5">
        <f t="shared" si="13"/>
        <v>5.1980572390523368E-3</v>
      </c>
      <c r="AD234" s="11">
        <v>15080</v>
      </c>
      <c r="AE234" s="5">
        <f t="shared" si="14"/>
        <v>2.7769290315191798E-2</v>
      </c>
    </row>
    <row r="235" spans="1:31" ht="13.8">
      <c r="A235" s="6">
        <v>45789</v>
      </c>
      <c r="B235" s="7">
        <v>1626.9</v>
      </c>
      <c r="C235" s="4">
        <f t="shared" si="0"/>
        <v>7.6157381122144305E-2</v>
      </c>
      <c r="D235" s="8">
        <v>460.15</v>
      </c>
      <c r="E235" s="4">
        <f t="shared" si="1"/>
        <v>4.273443092097385E-2</v>
      </c>
      <c r="F235" s="7">
        <v>2500</v>
      </c>
      <c r="G235" s="4">
        <f t="shared" si="2"/>
        <v>3.7411151398173602E-2</v>
      </c>
      <c r="H235" s="7">
        <v>1569.9</v>
      </c>
      <c r="I235" s="5">
        <f t="shared" si="3"/>
        <v>2.4568408570778799E-2</v>
      </c>
      <c r="J235" s="7">
        <v>1573.1</v>
      </c>
      <c r="K235" s="5">
        <f t="shared" si="4"/>
        <v>5.1791931512212203E-2</v>
      </c>
      <c r="L235" s="7">
        <v>12094</v>
      </c>
      <c r="M235" s="9">
        <f t="shared" si="5"/>
        <v>7.3408569161014667E-2</v>
      </c>
      <c r="N235" s="7">
        <v>1569.9</v>
      </c>
      <c r="O235" s="5">
        <f t="shared" si="6"/>
        <v>2.4568408570778799E-2</v>
      </c>
      <c r="P235" s="7">
        <v>5942</v>
      </c>
      <c r="Q235" s="5">
        <f t="shared" si="7"/>
        <v>-1.3954686444893605E-2</v>
      </c>
      <c r="R235" s="7">
        <v>1670.3</v>
      </c>
      <c r="S235" s="5">
        <f t="shared" si="8"/>
        <v>6.230987030252895E-2</v>
      </c>
      <c r="T235" s="7">
        <v>8311.5</v>
      </c>
      <c r="U235" s="5">
        <f t="shared" si="9"/>
        <v>7.8890350976832113E-2</v>
      </c>
      <c r="V235" s="7">
        <v>2532.4</v>
      </c>
      <c r="W235" s="5">
        <f t="shared" si="10"/>
        <v>5.9004449457465601E-2</v>
      </c>
      <c r="X235" s="7">
        <v>2760.7</v>
      </c>
      <c r="Y235" s="5">
        <f t="shared" si="11"/>
        <v>3.5768137036286902E-2</v>
      </c>
      <c r="Z235" s="7">
        <v>8603</v>
      </c>
      <c r="AA235" s="5">
        <f t="shared" si="12"/>
        <v>4.8769822635069328E-2</v>
      </c>
      <c r="AB235" s="10">
        <v>738.1</v>
      </c>
      <c r="AC235" s="5">
        <f t="shared" si="13"/>
        <v>2.0255242920771677E-2</v>
      </c>
      <c r="AD235" s="11">
        <v>15864</v>
      </c>
      <c r="AE235" s="5">
        <f t="shared" si="14"/>
        <v>5.0683028637684889E-2</v>
      </c>
    </row>
    <row r="236" spans="1:31" ht="13.8">
      <c r="A236" s="6">
        <v>45790</v>
      </c>
      <c r="B236" s="7">
        <v>1568.6</v>
      </c>
      <c r="C236" s="4">
        <f t="shared" si="0"/>
        <v>-3.6492861736558711E-2</v>
      </c>
      <c r="D236" s="8">
        <v>477.75</v>
      </c>
      <c r="E236" s="4">
        <f t="shared" si="1"/>
        <v>3.7535059835516492E-2</v>
      </c>
      <c r="F236" s="7">
        <v>2547.3000000000002</v>
      </c>
      <c r="G236" s="4">
        <f t="shared" si="2"/>
        <v>1.8743242817135373E-2</v>
      </c>
      <c r="H236" s="7">
        <v>1746.7</v>
      </c>
      <c r="I236" s="5">
        <f t="shared" si="3"/>
        <v>0.10671637038807527</v>
      </c>
      <c r="J236" s="7">
        <v>1572.5</v>
      </c>
      <c r="K236" s="5">
        <f t="shared" si="4"/>
        <v>-3.8148525386349206E-4</v>
      </c>
      <c r="L236" s="7">
        <v>11921</v>
      </c>
      <c r="M236" s="9">
        <f t="shared" si="5"/>
        <v>-1.4407911115156597E-2</v>
      </c>
      <c r="N236" s="7">
        <v>1746.7</v>
      </c>
      <c r="O236" s="5">
        <f t="shared" si="6"/>
        <v>0.10671637038807527</v>
      </c>
      <c r="P236" s="7">
        <v>6076.5</v>
      </c>
      <c r="Q236" s="5">
        <f t="shared" si="7"/>
        <v>2.2383095288302051E-2</v>
      </c>
      <c r="R236" s="7">
        <v>1619.6</v>
      </c>
      <c r="S236" s="5">
        <f t="shared" si="8"/>
        <v>-3.0824045837895865E-2</v>
      </c>
      <c r="T236" s="7">
        <v>8266.5</v>
      </c>
      <c r="U236" s="5">
        <f t="shared" si="9"/>
        <v>-5.4288949841143639E-3</v>
      </c>
      <c r="V236" s="7">
        <v>2490.6</v>
      </c>
      <c r="W236" s="5">
        <f t="shared" si="10"/>
        <v>-1.6643824382923406E-2</v>
      </c>
      <c r="X236" s="7">
        <v>2712.4</v>
      </c>
      <c r="Y236" s="5">
        <f t="shared" si="11"/>
        <v>-1.7650418932990478E-2</v>
      </c>
      <c r="Z236" s="7">
        <v>8993.5</v>
      </c>
      <c r="AA236" s="5">
        <f t="shared" si="12"/>
        <v>4.4391114546677338E-2</v>
      </c>
      <c r="AB236" s="10">
        <v>727.6</v>
      </c>
      <c r="AC236" s="5">
        <f t="shared" si="13"/>
        <v>-1.4327870132039433E-2</v>
      </c>
      <c r="AD236" s="11">
        <v>15975</v>
      </c>
      <c r="AE236" s="5">
        <f t="shared" si="14"/>
        <v>6.9726090461036056E-3</v>
      </c>
    </row>
    <row r="237" spans="1:31" ht="13.8">
      <c r="A237" s="6">
        <v>45791</v>
      </c>
      <c r="B237" s="7">
        <v>1592.4</v>
      </c>
      <c r="C237" s="4">
        <f t="shared" si="0"/>
        <v>1.5058810347596225E-2</v>
      </c>
      <c r="D237" s="8">
        <v>492.8</v>
      </c>
      <c r="E237" s="4">
        <f t="shared" si="1"/>
        <v>3.1015829098927708E-2</v>
      </c>
      <c r="F237" s="7">
        <v>2554.6</v>
      </c>
      <c r="G237" s="4">
        <f t="shared" si="2"/>
        <v>2.8616809352489075E-3</v>
      </c>
      <c r="H237" s="7">
        <v>1766.1</v>
      </c>
      <c r="I237" s="5">
        <f t="shared" si="3"/>
        <v>1.1045432267978068E-2</v>
      </c>
      <c r="J237" s="7">
        <v>1603.2</v>
      </c>
      <c r="K237" s="5">
        <f t="shared" si="4"/>
        <v>1.9334922315950055E-2</v>
      </c>
      <c r="L237" s="7">
        <v>12020</v>
      </c>
      <c r="M237" s="9">
        <f t="shared" si="5"/>
        <v>8.2703783711970333E-3</v>
      </c>
      <c r="N237" s="7">
        <v>1766.1</v>
      </c>
      <c r="O237" s="5">
        <f t="shared" si="6"/>
        <v>1.1045432267978068E-2</v>
      </c>
      <c r="P237" s="7">
        <v>6215.5</v>
      </c>
      <c r="Q237" s="5">
        <f t="shared" si="7"/>
        <v>2.2617299920915164E-2</v>
      </c>
      <c r="R237" s="7">
        <v>1637.7</v>
      </c>
      <c r="S237" s="5">
        <f t="shared" si="8"/>
        <v>1.1113613297815616E-2</v>
      </c>
      <c r="T237" s="7">
        <v>8463.5</v>
      </c>
      <c r="U237" s="5">
        <f t="shared" si="9"/>
        <v>2.3551596637752123E-2</v>
      </c>
      <c r="V237" s="7">
        <v>2571.6</v>
      </c>
      <c r="W237" s="5">
        <f t="shared" si="10"/>
        <v>3.200462798048366E-2</v>
      </c>
      <c r="X237" s="7">
        <v>2727.3</v>
      </c>
      <c r="Y237" s="5">
        <f t="shared" si="11"/>
        <v>5.4782569862352826E-3</v>
      </c>
      <c r="Z237" s="7">
        <v>8967</v>
      </c>
      <c r="AA237" s="5">
        <f t="shared" si="12"/>
        <v>-2.9509222159778744E-3</v>
      </c>
      <c r="AB237" s="10">
        <v>722.55</v>
      </c>
      <c r="AC237" s="5">
        <f t="shared" si="13"/>
        <v>-6.9648248996278068E-3</v>
      </c>
      <c r="AD237" s="11">
        <v>16735</v>
      </c>
      <c r="AE237" s="5">
        <f t="shared" si="14"/>
        <v>4.6477334399691539E-2</v>
      </c>
    </row>
    <row r="238" spans="1:31" ht="13.8">
      <c r="A238" s="6">
        <v>45792</v>
      </c>
      <c r="B238" s="7">
        <v>1613</v>
      </c>
      <c r="C238" s="4">
        <f t="shared" si="0"/>
        <v>1.2853486999046768E-2</v>
      </c>
      <c r="D238" s="8">
        <v>502.45</v>
      </c>
      <c r="E238" s="4">
        <f t="shared" si="1"/>
        <v>1.9392720275657731E-2</v>
      </c>
      <c r="F238" s="7">
        <v>2559.9</v>
      </c>
      <c r="G238" s="4">
        <f t="shared" si="2"/>
        <v>2.0725396019723751E-3</v>
      </c>
      <c r="H238" s="7">
        <v>1806.5</v>
      </c>
      <c r="I238" s="5">
        <f t="shared" si="3"/>
        <v>2.2617545885369558E-2</v>
      </c>
      <c r="J238" s="7">
        <v>1629.1</v>
      </c>
      <c r="K238" s="5">
        <f t="shared" si="4"/>
        <v>1.6026083181577847E-2</v>
      </c>
      <c r="L238" s="7">
        <v>12630</v>
      </c>
      <c r="M238" s="9">
        <f t="shared" si="5"/>
        <v>4.9503007255338176E-2</v>
      </c>
      <c r="N238" s="7">
        <v>1806.5</v>
      </c>
      <c r="O238" s="5">
        <f t="shared" si="6"/>
        <v>2.2617545885369558E-2</v>
      </c>
      <c r="P238" s="7">
        <v>6214.5</v>
      </c>
      <c r="Q238" s="5">
        <f t="shared" si="7"/>
        <v>-1.6090104620393851E-4</v>
      </c>
      <c r="R238" s="7">
        <v>1696</v>
      </c>
      <c r="S238" s="5">
        <f t="shared" si="8"/>
        <v>3.4979718896026683E-2</v>
      </c>
      <c r="T238" s="7">
        <v>8461</v>
      </c>
      <c r="U238" s="5">
        <f t="shared" si="9"/>
        <v>-2.9542970465106519E-4</v>
      </c>
      <c r="V238" s="7">
        <v>2624.3</v>
      </c>
      <c r="W238" s="5">
        <f t="shared" si="10"/>
        <v>2.0285920529648029E-2</v>
      </c>
      <c r="X238" s="7">
        <v>2789.8</v>
      </c>
      <c r="Y238" s="5">
        <f t="shared" si="11"/>
        <v>2.2657799862212637E-2</v>
      </c>
      <c r="Z238" s="7">
        <v>9177</v>
      </c>
      <c r="AA238" s="5">
        <f t="shared" si="12"/>
        <v>2.3149181866965622E-2</v>
      </c>
      <c r="AB238" s="10">
        <v>720.6</v>
      </c>
      <c r="AC238" s="5">
        <f t="shared" si="13"/>
        <v>-2.7024234303465811E-3</v>
      </c>
      <c r="AD238" s="11">
        <v>15570</v>
      </c>
      <c r="AE238" s="5">
        <f t="shared" si="14"/>
        <v>-7.2156348817383031E-2</v>
      </c>
    </row>
    <row r="239" spans="1:31" ht="13.8">
      <c r="A239" s="6">
        <v>45793</v>
      </c>
      <c r="B239" s="7">
        <v>1589.9</v>
      </c>
      <c r="C239" s="4">
        <f t="shared" si="0"/>
        <v>-1.4424677970545452E-2</v>
      </c>
      <c r="D239" s="8">
        <v>505.6</v>
      </c>
      <c r="E239" s="4">
        <f t="shared" si="1"/>
        <v>6.2497103376799607E-3</v>
      </c>
      <c r="F239" s="7">
        <v>2572.6999999999998</v>
      </c>
      <c r="G239" s="4">
        <f t="shared" si="2"/>
        <v>4.987735859407769E-3</v>
      </c>
      <c r="H239" s="7">
        <v>1842</v>
      </c>
      <c r="I239" s="5">
        <f t="shared" si="3"/>
        <v>1.9460666227557252E-2</v>
      </c>
      <c r="J239" s="7">
        <v>1617</v>
      </c>
      <c r="K239" s="5">
        <f t="shared" si="4"/>
        <v>-7.4551344950167103E-3</v>
      </c>
      <c r="L239" s="7">
        <v>13111</v>
      </c>
      <c r="M239" s="9">
        <f t="shared" si="5"/>
        <v>3.7376636154864924E-2</v>
      </c>
      <c r="N239" s="7">
        <v>1842</v>
      </c>
      <c r="O239" s="5">
        <f t="shared" si="6"/>
        <v>1.9460666227557252E-2</v>
      </c>
      <c r="P239" s="7">
        <v>6279.5</v>
      </c>
      <c r="Q239" s="5">
        <f t="shared" si="7"/>
        <v>1.0405088272615324E-2</v>
      </c>
      <c r="R239" s="7">
        <v>1659.9</v>
      </c>
      <c r="S239" s="5">
        <f t="shared" si="8"/>
        <v>-2.1515177779674623E-2</v>
      </c>
      <c r="T239" s="7">
        <v>8426</v>
      </c>
      <c r="U239" s="5">
        <f t="shared" si="9"/>
        <v>-4.1452063855389933E-3</v>
      </c>
      <c r="V239" s="7">
        <v>2600.4</v>
      </c>
      <c r="W239" s="5">
        <f t="shared" si="10"/>
        <v>-9.1489144668659966E-3</v>
      </c>
      <c r="X239" s="7">
        <v>2841.5</v>
      </c>
      <c r="Y239" s="5">
        <f t="shared" si="11"/>
        <v>1.8362173079041203E-2</v>
      </c>
      <c r="Z239" s="7">
        <v>8718.5</v>
      </c>
      <c r="AA239" s="5">
        <f t="shared" si="12"/>
        <v>-5.1253149061464734E-2</v>
      </c>
      <c r="AB239" s="10">
        <v>724.4</v>
      </c>
      <c r="AC239" s="5">
        <f t="shared" si="13"/>
        <v>5.2595276952654493E-3</v>
      </c>
      <c r="AD239" s="11">
        <v>15803</v>
      </c>
      <c r="AE239" s="5">
        <f t="shared" si="14"/>
        <v>1.4853809581059736E-2</v>
      </c>
    </row>
    <row r="240" spans="1:31" ht="13.8">
      <c r="A240" s="6">
        <v>45796</v>
      </c>
      <c r="B240" s="7">
        <v>1559.8</v>
      </c>
      <c r="C240" s="4">
        <f t="shared" si="0"/>
        <v>-1.9113513258265828E-2</v>
      </c>
      <c r="D240" s="8">
        <v>511.7</v>
      </c>
      <c r="E240" s="4">
        <f t="shared" si="1"/>
        <v>1.1992672978398494E-2</v>
      </c>
      <c r="F240" s="7">
        <v>2564.1999999999998</v>
      </c>
      <c r="G240" s="4">
        <f t="shared" si="2"/>
        <v>-3.3093919514564866E-3</v>
      </c>
      <c r="H240" s="7">
        <v>1823.9</v>
      </c>
      <c r="I240" s="5">
        <f t="shared" si="3"/>
        <v>-9.8748722453000769E-3</v>
      </c>
      <c r="J240" s="7">
        <v>1597.8</v>
      </c>
      <c r="K240" s="5">
        <f t="shared" si="4"/>
        <v>-1.194489752916535E-2</v>
      </c>
      <c r="L240" s="7">
        <v>13973</v>
      </c>
      <c r="M240" s="9">
        <f t="shared" si="5"/>
        <v>6.3675323581046134E-2</v>
      </c>
      <c r="N240" s="7">
        <v>1823.9</v>
      </c>
      <c r="O240" s="5">
        <f t="shared" si="6"/>
        <v>-9.8748722453000769E-3</v>
      </c>
      <c r="P240" s="7">
        <v>6580</v>
      </c>
      <c r="Q240" s="5">
        <f t="shared" si="7"/>
        <v>4.6744385861181417E-2</v>
      </c>
      <c r="R240" s="7">
        <v>1649.6</v>
      </c>
      <c r="S240" s="5">
        <f t="shared" si="8"/>
        <v>-6.2245253094784297E-3</v>
      </c>
      <c r="T240" s="7">
        <v>8275.5</v>
      </c>
      <c r="U240" s="5">
        <f t="shared" si="9"/>
        <v>-1.8022821158366731E-2</v>
      </c>
      <c r="V240" s="7">
        <v>2534.5</v>
      </c>
      <c r="W240" s="5">
        <f t="shared" si="10"/>
        <v>-2.5668900417909618E-2</v>
      </c>
      <c r="X240" s="7">
        <v>2825.1</v>
      </c>
      <c r="Y240" s="5">
        <f t="shared" si="11"/>
        <v>-5.7883195530489999E-3</v>
      </c>
      <c r="Z240" s="7">
        <v>8397</v>
      </c>
      <c r="AA240" s="5">
        <f t="shared" si="12"/>
        <v>-3.7572705573985163E-2</v>
      </c>
      <c r="AB240" s="10">
        <v>716.6</v>
      </c>
      <c r="AC240" s="5">
        <f t="shared" si="13"/>
        <v>-1.0825921138404861E-2</v>
      </c>
      <c r="AD240" s="11">
        <v>15990</v>
      </c>
      <c r="AE240" s="5">
        <f t="shared" si="14"/>
        <v>1.1763731418896233E-2</v>
      </c>
    </row>
    <row r="241" spans="1:31" ht="13.8">
      <c r="A241" s="6">
        <v>45797</v>
      </c>
      <c r="B241" s="7">
        <v>1560.6</v>
      </c>
      <c r="C241" s="4">
        <f t="shared" si="0"/>
        <v>5.1275478626315032E-4</v>
      </c>
      <c r="D241" s="8">
        <v>509.2</v>
      </c>
      <c r="E241" s="4">
        <f t="shared" si="1"/>
        <v>-4.8976491277946763E-3</v>
      </c>
      <c r="F241" s="7">
        <v>2549.1999999999998</v>
      </c>
      <c r="G241" s="4">
        <f t="shared" si="2"/>
        <v>-5.8669546784612253E-3</v>
      </c>
      <c r="H241" s="7">
        <v>1797.8</v>
      </c>
      <c r="I241" s="5">
        <f t="shared" si="3"/>
        <v>-1.4413370430653133E-2</v>
      </c>
      <c r="J241" s="7">
        <v>1576</v>
      </c>
      <c r="K241" s="5">
        <f t="shared" si="4"/>
        <v>-1.3737691630117094E-2</v>
      </c>
      <c r="L241" s="7">
        <v>12932</v>
      </c>
      <c r="M241" s="9">
        <f t="shared" si="5"/>
        <v>-7.7422036235124156E-2</v>
      </c>
      <c r="N241" s="7">
        <v>1797.8</v>
      </c>
      <c r="O241" s="5">
        <f t="shared" si="6"/>
        <v>-1.4413370430653133E-2</v>
      </c>
      <c r="P241" s="7">
        <v>6452.5</v>
      </c>
      <c r="Q241" s="5">
        <f t="shared" si="7"/>
        <v>-1.9567092726593932E-2</v>
      </c>
      <c r="R241" s="7">
        <v>1638.3</v>
      </c>
      <c r="S241" s="5">
        <f t="shared" si="8"/>
        <v>-6.8737154364777236E-3</v>
      </c>
      <c r="T241" s="7">
        <v>8205.5</v>
      </c>
      <c r="U241" s="5">
        <f t="shared" si="9"/>
        <v>-8.4946812609126201E-3</v>
      </c>
      <c r="V241" s="7">
        <v>2532.4</v>
      </c>
      <c r="W241" s="5">
        <f t="shared" si="10"/>
        <v>-8.289092424325048E-4</v>
      </c>
      <c r="X241" s="7">
        <v>2751.2</v>
      </c>
      <c r="Y241" s="5">
        <f t="shared" si="11"/>
        <v>-2.6506582066070886E-2</v>
      </c>
      <c r="Z241" s="7">
        <v>8626</v>
      </c>
      <c r="AA241" s="5">
        <f t="shared" si="12"/>
        <v>2.6906399024225314E-2</v>
      </c>
      <c r="AB241" s="10">
        <v>704.05</v>
      </c>
      <c r="AC241" s="5">
        <f t="shared" si="13"/>
        <v>-1.7668428507532832E-2</v>
      </c>
      <c r="AD241" s="11">
        <v>15888</v>
      </c>
      <c r="AE241" s="5">
        <f t="shared" si="14"/>
        <v>-6.3994195430460655E-3</v>
      </c>
    </row>
    <row r="242" spans="1:31" ht="13.8">
      <c r="A242" s="6">
        <v>45798</v>
      </c>
      <c r="B242" s="7">
        <v>1568.5</v>
      </c>
      <c r="C242" s="4">
        <f t="shared" si="0"/>
        <v>5.0493859480719785E-3</v>
      </c>
      <c r="D242" s="8">
        <v>517.9</v>
      </c>
      <c r="E242" s="4">
        <f t="shared" si="1"/>
        <v>1.694130674659438E-2</v>
      </c>
      <c r="F242" s="7">
        <v>2531.4</v>
      </c>
      <c r="G242" s="4">
        <f t="shared" si="2"/>
        <v>-7.0070750817909731E-3</v>
      </c>
      <c r="H242" s="7">
        <v>1879.2</v>
      </c>
      <c r="I242" s="5">
        <f t="shared" si="3"/>
        <v>4.4282459205404072E-2</v>
      </c>
      <c r="J242" s="7">
        <v>1598.2</v>
      </c>
      <c r="K242" s="5">
        <f t="shared" si="4"/>
        <v>1.3988004522537978E-2</v>
      </c>
      <c r="L242" s="7">
        <v>13142</v>
      </c>
      <c r="M242" s="9">
        <f t="shared" si="5"/>
        <v>1.6108348612489411E-2</v>
      </c>
      <c r="N242" s="7">
        <v>1879.2</v>
      </c>
      <c r="O242" s="5">
        <f t="shared" si="6"/>
        <v>4.4282459205404072E-2</v>
      </c>
      <c r="P242" s="7">
        <v>6552</v>
      </c>
      <c r="Q242" s="5">
        <f t="shared" si="7"/>
        <v>1.5302693940136508E-2</v>
      </c>
      <c r="R242" s="7">
        <v>1652</v>
      </c>
      <c r="S242" s="5">
        <f t="shared" si="8"/>
        <v>8.3275562547057667E-3</v>
      </c>
      <c r="T242" s="7">
        <v>8266</v>
      </c>
      <c r="U242" s="5">
        <f t="shared" si="9"/>
        <v>7.3460549519950838E-3</v>
      </c>
      <c r="V242" s="7">
        <v>2557.6</v>
      </c>
      <c r="W242" s="5">
        <f t="shared" si="10"/>
        <v>9.9018490756601109E-3</v>
      </c>
      <c r="X242" s="7">
        <v>2767.3</v>
      </c>
      <c r="Y242" s="5">
        <f t="shared" si="11"/>
        <v>5.834935463981423E-3</v>
      </c>
      <c r="Z242" s="7">
        <v>8553</v>
      </c>
      <c r="AA242" s="5">
        <f t="shared" si="12"/>
        <v>-8.4987996270067916E-3</v>
      </c>
      <c r="AB242" s="10">
        <v>709.65</v>
      </c>
      <c r="AC242" s="5">
        <f t="shared" si="13"/>
        <v>7.9225143819461937E-3</v>
      </c>
      <c r="AD242" s="11">
        <v>16601</v>
      </c>
      <c r="AE242" s="5">
        <f t="shared" si="14"/>
        <v>4.3898827209122145E-2</v>
      </c>
    </row>
    <row r="243" spans="1:31" ht="13.8">
      <c r="A243" s="6">
        <v>45799</v>
      </c>
      <c r="B243" s="7">
        <v>1547.5</v>
      </c>
      <c r="C243" s="4">
        <f t="shared" si="0"/>
        <v>-1.3479023071981719E-2</v>
      </c>
      <c r="D243" s="8">
        <v>516.20000000000005</v>
      </c>
      <c r="E243" s="4">
        <f t="shared" si="1"/>
        <v>-3.2878861453321398E-3</v>
      </c>
      <c r="F243" s="7">
        <v>2439.1999999999998</v>
      </c>
      <c r="G243" s="4">
        <f t="shared" si="2"/>
        <v>-3.7102392684303105E-2</v>
      </c>
      <c r="H243" s="7">
        <v>1924.6</v>
      </c>
      <c r="I243" s="5">
        <f t="shared" si="3"/>
        <v>2.3871999577597391E-2</v>
      </c>
      <c r="J243" s="7">
        <v>1565.6</v>
      </c>
      <c r="K243" s="5">
        <f t="shared" si="4"/>
        <v>-2.0608858858496063E-2</v>
      </c>
      <c r="L243" s="7">
        <v>13198</v>
      </c>
      <c r="M243" s="9">
        <f t="shared" si="5"/>
        <v>4.2520944855538086E-3</v>
      </c>
      <c r="N243" s="7">
        <v>1924.6</v>
      </c>
      <c r="O243" s="5">
        <f t="shared" si="6"/>
        <v>2.3871999577597391E-2</v>
      </c>
      <c r="P243" s="7">
        <v>6538</v>
      </c>
      <c r="Q243" s="5">
        <f t="shared" si="7"/>
        <v>-2.1390382487494184E-3</v>
      </c>
      <c r="R243" s="7">
        <v>1633</v>
      </c>
      <c r="S243" s="5">
        <f t="shared" si="8"/>
        <v>-1.1567861110458216E-2</v>
      </c>
      <c r="T243" s="7">
        <v>8262</v>
      </c>
      <c r="U243" s="5">
        <f t="shared" si="9"/>
        <v>-4.8402711496786573E-4</v>
      </c>
      <c r="V243" s="7">
        <v>2543.6999999999998</v>
      </c>
      <c r="W243" s="5">
        <f t="shared" si="10"/>
        <v>-5.449604767564703E-3</v>
      </c>
      <c r="X243" s="7">
        <v>2802.8</v>
      </c>
      <c r="Y243" s="5">
        <f t="shared" si="11"/>
        <v>1.2746801914341126E-2</v>
      </c>
      <c r="Z243" s="7">
        <v>8324.5</v>
      </c>
      <c r="AA243" s="5">
        <f t="shared" si="12"/>
        <v>-2.7079124595874773E-2</v>
      </c>
      <c r="AB243" s="10">
        <v>698.25</v>
      </c>
      <c r="AC243" s="5">
        <f t="shared" si="13"/>
        <v>-1.6194685919980606E-2</v>
      </c>
      <c r="AD243" s="11">
        <v>17320</v>
      </c>
      <c r="AE243" s="5">
        <f t="shared" si="14"/>
        <v>4.239896862235016E-2</v>
      </c>
    </row>
    <row r="244" spans="1:31" ht="13.8">
      <c r="A244" s="6">
        <v>45800</v>
      </c>
      <c r="B244" s="7">
        <v>1564.8</v>
      </c>
      <c r="C244" s="4">
        <f t="shared" si="0"/>
        <v>1.1117294721801649E-2</v>
      </c>
      <c r="D244" s="8">
        <v>517.95000000000005</v>
      </c>
      <c r="E244" s="4">
        <f t="shared" si="1"/>
        <v>3.3844252195975944E-3</v>
      </c>
      <c r="F244" s="7">
        <v>2432.4</v>
      </c>
      <c r="G244" s="4">
        <f t="shared" si="2"/>
        <v>-2.7916924280902639E-3</v>
      </c>
      <c r="H244" s="7">
        <v>1909.1</v>
      </c>
      <c r="I244" s="5">
        <f t="shared" si="3"/>
        <v>-8.0862271216868495E-3</v>
      </c>
      <c r="J244" s="7">
        <v>1580.3</v>
      </c>
      <c r="K244" s="5">
        <f t="shared" si="4"/>
        <v>9.3455653331916862E-3</v>
      </c>
      <c r="L244" s="7">
        <v>13748</v>
      </c>
      <c r="M244" s="9">
        <f t="shared" si="5"/>
        <v>4.0828056026357633E-2</v>
      </c>
      <c r="N244" s="7">
        <v>1909.1</v>
      </c>
      <c r="O244" s="5">
        <f t="shared" si="6"/>
        <v>-8.0862271216868495E-3</v>
      </c>
      <c r="P244" s="7">
        <v>6483</v>
      </c>
      <c r="Q244" s="5">
        <f t="shared" si="7"/>
        <v>-8.4479421091602606E-3</v>
      </c>
      <c r="R244" s="7">
        <v>1648.2</v>
      </c>
      <c r="S244" s="5">
        <f t="shared" si="8"/>
        <v>9.2649693588181415E-3</v>
      </c>
      <c r="T244" s="7">
        <v>8321.5</v>
      </c>
      <c r="U244" s="5">
        <f t="shared" si="9"/>
        <v>7.1758380700714117E-3</v>
      </c>
      <c r="V244" s="7">
        <v>2541.4</v>
      </c>
      <c r="W244" s="5">
        <f t="shared" si="10"/>
        <v>-9.0460370763293947E-4</v>
      </c>
      <c r="X244" s="7">
        <v>2780.6</v>
      </c>
      <c r="Y244" s="5">
        <f t="shared" si="11"/>
        <v>-7.952185760935938E-3</v>
      </c>
      <c r="Z244" s="7">
        <v>8367</v>
      </c>
      <c r="AA244" s="5">
        <f t="shared" si="12"/>
        <v>5.0924233106917627E-3</v>
      </c>
      <c r="AB244" s="10">
        <v>700.85</v>
      </c>
      <c r="AC244" s="5">
        <f t="shared" si="13"/>
        <v>3.7166792837806063E-3</v>
      </c>
      <c r="AD244" s="11">
        <v>17156</v>
      </c>
      <c r="AE244" s="5">
        <f t="shared" si="14"/>
        <v>-9.5139364796551044E-3</v>
      </c>
    </row>
    <row r="245" spans="1:31" ht="13.8">
      <c r="A245" s="6">
        <v>45803</v>
      </c>
      <c r="B245" s="7">
        <v>1580.5</v>
      </c>
      <c r="C245" s="4">
        <f t="shared" si="0"/>
        <v>9.9832323751196331E-3</v>
      </c>
      <c r="D245" s="8">
        <v>520</v>
      </c>
      <c r="E245" s="4">
        <f t="shared" si="1"/>
        <v>3.9500990713618456E-3</v>
      </c>
      <c r="F245" s="7">
        <v>2430.3000000000002</v>
      </c>
      <c r="G245" s="4">
        <f t="shared" si="2"/>
        <v>-8.6371774139941805E-4</v>
      </c>
      <c r="H245" s="7">
        <v>1909.4</v>
      </c>
      <c r="I245" s="5">
        <f t="shared" si="3"/>
        <v>1.5712976331922848E-4</v>
      </c>
      <c r="J245" s="7">
        <v>1601.4</v>
      </c>
      <c r="K245" s="5">
        <f t="shared" si="4"/>
        <v>1.3263544223475513E-2</v>
      </c>
      <c r="L245" s="7">
        <v>13978</v>
      </c>
      <c r="M245" s="9">
        <f t="shared" si="5"/>
        <v>1.6591306067349817E-2</v>
      </c>
      <c r="N245" s="7">
        <v>1909.4</v>
      </c>
      <c r="O245" s="5">
        <f t="shared" si="6"/>
        <v>1.5712976331922848E-4</v>
      </c>
      <c r="P245" s="7">
        <v>6737</v>
      </c>
      <c r="Q245" s="5">
        <f t="shared" si="7"/>
        <v>3.8431355785664111E-2</v>
      </c>
      <c r="R245" s="7">
        <v>1673.6</v>
      </c>
      <c r="S245" s="5">
        <f t="shared" si="8"/>
        <v>1.5293211541320602E-2</v>
      </c>
      <c r="T245" s="7">
        <v>8455.5</v>
      </c>
      <c r="U245" s="5">
        <f t="shared" si="9"/>
        <v>1.5974590162958126E-2</v>
      </c>
      <c r="V245" s="7">
        <v>2546</v>
      </c>
      <c r="W245" s="5">
        <f t="shared" si="10"/>
        <v>1.808389846917853E-3</v>
      </c>
      <c r="X245" s="7">
        <v>2776.8</v>
      </c>
      <c r="Y245" s="5">
        <f t="shared" si="11"/>
        <v>-1.3675461878662866E-3</v>
      </c>
      <c r="Z245" s="7">
        <v>8277</v>
      </c>
      <c r="AA245" s="5">
        <f t="shared" si="12"/>
        <v>-1.0814813410202899E-2</v>
      </c>
      <c r="AB245" s="10">
        <v>711.35</v>
      </c>
      <c r="AC245" s="5">
        <f t="shared" si="13"/>
        <v>1.4870688988109343E-2</v>
      </c>
      <c r="AD245" s="11">
        <v>16339</v>
      </c>
      <c r="AE245" s="5">
        <f t="shared" si="14"/>
        <v>-4.879307860594758E-2</v>
      </c>
    </row>
    <row r="246" spans="1:31" ht="13.8">
      <c r="A246" s="6">
        <v>45804</v>
      </c>
      <c r="B246" s="7">
        <v>1570.1</v>
      </c>
      <c r="C246" s="4">
        <f t="shared" si="0"/>
        <v>-6.6019410741965032E-3</v>
      </c>
      <c r="D246" s="8">
        <v>528.79999999999995</v>
      </c>
      <c r="E246" s="4">
        <f t="shared" si="1"/>
        <v>1.6781476962003387E-2</v>
      </c>
      <c r="F246" s="7">
        <v>2454.8000000000002</v>
      </c>
      <c r="G246" s="4">
        <f t="shared" si="2"/>
        <v>1.0030585010386618E-2</v>
      </c>
      <c r="H246" s="7">
        <v>1960.1</v>
      </c>
      <c r="I246" s="5">
        <f t="shared" si="3"/>
        <v>2.6206435767296518E-2</v>
      </c>
      <c r="J246" s="7">
        <v>1592.4</v>
      </c>
      <c r="K246" s="5">
        <f t="shared" si="4"/>
        <v>-5.6359345123713047E-3</v>
      </c>
      <c r="L246" s="7">
        <v>13803</v>
      </c>
      <c r="M246" s="9">
        <f t="shared" si="5"/>
        <v>-1.2598705213496023E-2</v>
      </c>
      <c r="N246" s="7">
        <v>1960.1</v>
      </c>
      <c r="O246" s="5">
        <f t="shared" si="6"/>
        <v>2.6206435767296518E-2</v>
      </c>
      <c r="P246" s="7">
        <v>6698</v>
      </c>
      <c r="Q246" s="5">
        <f t="shared" si="7"/>
        <v>-5.8057476065099256E-3</v>
      </c>
      <c r="R246" s="7">
        <v>1652.1</v>
      </c>
      <c r="S246" s="5">
        <f t="shared" si="8"/>
        <v>-1.2929788934058316E-2</v>
      </c>
      <c r="T246" s="7">
        <v>8459.5</v>
      </c>
      <c r="U246" s="5">
        <f t="shared" si="9"/>
        <v>4.7295300911155555E-4</v>
      </c>
      <c r="V246" s="7">
        <v>2537.8000000000002</v>
      </c>
      <c r="W246" s="5">
        <f t="shared" si="10"/>
        <v>-3.2259361545376075E-3</v>
      </c>
      <c r="X246" s="7">
        <v>2799.7</v>
      </c>
      <c r="Y246" s="5">
        <f t="shared" si="11"/>
        <v>8.2130830183699474E-3</v>
      </c>
      <c r="Z246" s="7">
        <v>8198.5</v>
      </c>
      <c r="AA246" s="5">
        <f t="shared" si="12"/>
        <v>-9.5293731954726561E-3</v>
      </c>
      <c r="AB246" s="10">
        <v>715.65</v>
      </c>
      <c r="AC246" s="5">
        <f t="shared" si="13"/>
        <v>6.0266475330495606E-3</v>
      </c>
      <c r="AD246" s="11">
        <v>17302</v>
      </c>
      <c r="AE246" s="5">
        <f t="shared" si="14"/>
        <v>5.7267213709496036E-2</v>
      </c>
    </row>
    <row r="247" spans="1:31" ht="13.8">
      <c r="A247" s="6">
        <v>45805</v>
      </c>
      <c r="B247" s="7">
        <v>1571.8</v>
      </c>
      <c r="C247" s="4">
        <f t="shared" si="0"/>
        <v>1.0821478505985904E-3</v>
      </c>
      <c r="D247" s="8">
        <v>522.4</v>
      </c>
      <c r="E247" s="4">
        <f t="shared" si="1"/>
        <v>-1.2176710575255231E-2</v>
      </c>
      <c r="F247" s="7">
        <v>2483.8000000000002</v>
      </c>
      <c r="G247" s="4">
        <f t="shared" si="2"/>
        <v>1.1744353998990341E-2</v>
      </c>
      <c r="H247" s="7">
        <v>1917.1</v>
      </c>
      <c r="I247" s="5">
        <f t="shared" si="3"/>
        <v>-2.2181864805225701E-2</v>
      </c>
      <c r="J247" s="7">
        <v>1580.3</v>
      </c>
      <c r="K247" s="5">
        <f t="shared" si="4"/>
        <v>-7.6276097111041717E-3</v>
      </c>
      <c r="L247" s="7">
        <v>13617</v>
      </c>
      <c r="M247" s="9">
        <f t="shared" si="5"/>
        <v>-1.3566947699002959E-2</v>
      </c>
      <c r="N247" s="7">
        <v>1917.1</v>
      </c>
      <c r="O247" s="5">
        <f t="shared" si="6"/>
        <v>-2.2181864805225701E-2</v>
      </c>
      <c r="P247" s="7">
        <v>6636</v>
      </c>
      <c r="Q247" s="5">
        <f t="shared" si="7"/>
        <v>-9.2996020438148082E-3</v>
      </c>
      <c r="R247" s="7">
        <v>1657.3</v>
      </c>
      <c r="S247" s="5">
        <f t="shared" si="8"/>
        <v>3.1425661929527435E-3</v>
      </c>
      <c r="T247" s="7">
        <v>8467</v>
      </c>
      <c r="U247" s="5">
        <f t="shared" si="9"/>
        <v>8.8618444342618969E-4</v>
      </c>
      <c r="V247" s="7">
        <v>2531.5</v>
      </c>
      <c r="W247" s="5">
        <f t="shared" si="10"/>
        <v>-2.4855515528504168E-3</v>
      </c>
      <c r="X247" s="7">
        <v>2801.5</v>
      </c>
      <c r="Y247" s="5">
        <f t="shared" si="11"/>
        <v>6.4271943939272851E-4</v>
      </c>
      <c r="Z247" s="7">
        <v>8337</v>
      </c>
      <c r="AA247" s="5">
        <f t="shared" si="12"/>
        <v>1.6752228720690401E-2</v>
      </c>
      <c r="AB247" s="10">
        <v>719.3</v>
      </c>
      <c r="AC247" s="5">
        <f t="shared" si="13"/>
        <v>5.0872962430847241E-3</v>
      </c>
      <c r="AD247" s="11">
        <v>18327</v>
      </c>
      <c r="AE247" s="5">
        <f t="shared" si="14"/>
        <v>5.7553280577557028E-2</v>
      </c>
    </row>
    <row r="248" spans="1:31" ht="13.8">
      <c r="A248" s="6">
        <v>45806</v>
      </c>
      <c r="B248" s="7">
        <v>1585.6</v>
      </c>
      <c r="C248" s="4">
        <f t="shared" si="0"/>
        <v>8.7414251436490169E-3</v>
      </c>
      <c r="D248" s="8">
        <v>535.29999999999995</v>
      </c>
      <c r="E248" s="4">
        <f t="shared" si="1"/>
        <v>2.4393759437114186E-2</v>
      </c>
      <c r="F248" s="7">
        <v>2461.8000000000002</v>
      </c>
      <c r="G248" s="4">
        <f t="shared" si="2"/>
        <v>-8.8968558377367762E-3</v>
      </c>
      <c r="H248" s="7">
        <v>1973.6</v>
      </c>
      <c r="I248" s="5">
        <f t="shared" si="3"/>
        <v>2.9045658689143238E-2</v>
      </c>
      <c r="J248" s="7">
        <v>1600</v>
      </c>
      <c r="K248" s="5">
        <f t="shared" si="4"/>
        <v>1.2388926812814484E-2</v>
      </c>
      <c r="L248" s="7">
        <v>13327</v>
      </c>
      <c r="M248" s="9">
        <f t="shared" si="5"/>
        <v>-2.1526959544848314E-2</v>
      </c>
      <c r="N248" s="7">
        <v>1973.6</v>
      </c>
      <c r="O248" s="5">
        <f t="shared" si="6"/>
        <v>2.9045658689143238E-2</v>
      </c>
      <c r="P248" s="7">
        <v>6631.5</v>
      </c>
      <c r="Q248" s="5">
        <f t="shared" si="7"/>
        <v>-6.7834937592751022E-4</v>
      </c>
      <c r="R248" s="7">
        <v>1664.7</v>
      </c>
      <c r="S248" s="5">
        <f t="shared" si="8"/>
        <v>4.4551548704671396E-3</v>
      </c>
      <c r="T248" s="7">
        <v>8630.5</v>
      </c>
      <c r="U248" s="5">
        <f t="shared" si="9"/>
        <v>1.912618618446665E-2</v>
      </c>
      <c r="V248" s="7">
        <v>2566.4</v>
      </c>
      <c r="W248" s="5">
        <f t="shared" si="10"/>
        <v>1.3692126262231635E-2</v>
      </c>
      <c r="X248" s="7">
        <v>2808.6</v>
      </c>
      <c r="Y248" s="5">
        <f t="shared" si="11"/>
        <v>2.5311505287406318E-3</v>
      </c>
      <c r="Z248" s="7">
        <v>8288.5</v>
      </c>
      <c r="AA248" s="5">
        <f t="shared" si="12"/>
        <v>-5.834427545692686E-3</v>
      </c>
      <c r="AB248" s="10">
        <v>723.45</v>
      </c>
      <c r="AC248" s="5">
        <f t="shared" si="13"/>
        <v>5.7529183097802389E-3</v>
      </c>
      <c r="AD248" s="11">
        <v>18959</v>
      </c>
      <c r="AE248" s="5">
        <f t="shared" si="14"/>
        <v>3.390337048416172E-2</v>
      </c>
    </row>
    <row r="249" spans="1:31" ht="13.8">
      <c r="A249" s="6">
        <v>45807</v>
      </c>
      <c r="B249" s="7">
        <v>1562.7</v>
      </c>
      <c r="C249" s="4">
        <f t="shared" si="0"/>
        <v>-1.4547790156467965E-2</v>
      </c>
      <c r="D249" s="8">
        <v>530.54999999999995</v>
      </c>
      <c r="E249" s="4">
        <f t="shared" si="1"/>
        <v>-8.9131330797362698E-3</v>
      </c>
      <c r="F249" s="7">
        <v>2467.6999999999998</v>
      </c>
      <c r="G249" s="4">
        <f t="shared" si="2"/>
        <v>2.3937530448424871E-3</v>
      </c>
      <c r="H249" s="7">
        <v>2015.5</v>
      </c>
      <c r="I249" s="5">
        <f t="shared" si="3"/>
        <v>2.1008017342073668E-2</v>
      </c>
      <c r="J249" s="7">
        <v>1573.9</v>
      </c>
      <c r="K249" s="5">
        <f t="shared" si="4"/>
        <v>-1.6447013670317305E-2</v>
      </c>
      <c r="L249" s="7">
        <v>13414</v>
      </c>
      <c r="M249" s="9">
        <f t="shared" si="5"/>
        <v>6.5068850799555938E-3</v>
      </c>
      <c r="N249" s="7">
        <v>2015.5</v>
      </c>
      <c r="O249" s="5">
        <f t="shared" si="6"/>
        <v>2.1008017342073668E-2</v>
      </c>
      <c r="P249" s="7">
        <v>6612</v>
      </c>
      <c r="Q249" s="5">
        <f t="shared" si="7"/>
        <v>-2.9448429934928384E-3</v>
      </c>
      <c r="R249" s="7">
        <v>1636.6</v>
      </c>
      <c r="S249" s="5">
        <f t="shared" si="8"/>
        <v>-1.7024007906684024E-2</v>
      </c>
      <c r="T249" s="7">
        <v>8550.5</v>
      </c>
      <c r="U249" s="5">
        <f t="shared" si="9"/>
        <v>-9.3126800736355007E-3</v>
      </c>
      <c r="V249" s="7">
        <v>2558.8000000000002</v>
      </c>
      <c r="W249" s="5">
        <f t="shared" si="10"/>
        <v>-2.9657400962127462E-3</v>
      </c>
      <c r="X249" s="7">
        <v>2780.8</v>
      </c>
      <c r="Y249" s="5">
        <f t="shared" si="11"/>
        <v>-9.9474824630068938E-3</v>
      </c>
      <c r="Z249" s="7">
        <v>8702.5</v>
      </c>
      <c r="AA249" s="5">
        <f t="shared" si="12"/>
        <v>4.8741328820673335E-2</v>
      </c>
      <c r="AB249" s="10">
        <v>716.45</v>
      </c>
      <c r="AC249" s="5">
        <f t="shared" si="13"/>
        <v>-9.722974020478687E-3</v>
      </c>
      <c r="AD249" s="11">
        <v>19298</v>
      </c>
      <c r="AE249" s="5">
        <f t="shared" si="14"/>
        <v>1.7722710778290789E-2</v>
      </c>
    </row>
    <row r="250" spans="1:31" ht="13.8">
      <c r="A250" s="23"/>
      <c r="B250" s="23"/>
      <c r="D250" s="23"/>
      <c r="F250" s="23"/>
      <c r="H250" s="23"/>
      <c r="J250" s="23"/>
      <c r="L250" s="23"/>
      <c r="M250" s="23"/>
      <c r="N250" s="23"/>
      <c r="P250" s="23"/>
      <c r="R250" s="23"/>
      <c r="T250" s="23"/>
      <c r="V250" s="23"/>
      <c r="X250" s="23"/>
      <c r="Z250" s="23"/>
      <c r="AB250" s="26"/>
      <c r="AD250" s="26"/>
    </row>
    <row r="251" spans="1:31" ht="13.8">
      <c r="A251" s="23"/>
      <c r="B251" s="23"/>
      <c r="C251" s="5">
        <f>AVERAGE(C2:C249)</f>
        <v>4.2520806492343235E-4</v>
      </c>
      <c r="D251" s="23"/>
      <c r="E251" s="5">
        <f>AVERAGE(E2:E249)</f>
        <v>9.6047495704481428E-4</v>
      </c>
      <c r="F251" s="23"/>
      <c r="G251" s="5">
        <f>AVERAGE(G2:G249)</f>
        <v>5.7731798768954749E-4</v>
      </c>
      <c r="H251" s="23"/>
      <c r="I251" s="5">
        <f>AVERAGE(I2:I249)</f>
        <v>1.0440552417803188E-3</v>
      </c>
      <c r="J251" s="23"/>
      <c r="K251" s="5">
        <f>AVERAGE(K2:K249)</f>
        <v>1.0032526456084658E-3</v>
      </c>
      <c r="L251" s="23"/>
      <c r="M251" s="27">
        <f>AVERAGE(M2:M249)</f>
        <v>2.1161920140945071E-3</v>
      </c>
      <c r="N251" s="23"/>
      <c r="O251" s="5">
        <f>AVERAGE(O2:O249)</f>
        <v>1.0440552417803188E-3</v>
      </c>
      <c r="P251" s="23"/>
      <c r="Q251" s="5">
        <f>AVERAGE(Q2:Q249)</f>
        <v>1.7352151373706875E-3</v>
      </c>
      <c r="R251" s="23"/>
      <c r="S251" s="5">
        <f>AVERAGE(S2:S249)</f>
        <v>8.5784589371485915E-4</v>
      </c>
      <c r="T251" s="23"/>
      <c r="U251" s="5">
        <f>AVERAGE(U2:U249)</f>
        <v>2.1958248326252434E-3</v>
      </c>
      <c r="V251" s="23"/>
      <c r="W251" s="5">
        <f>AVERAGE(W2:W249)</f>
        <v>4.5978269198945857E-4</v>
      </c>
      <c r="X251" s="23"/>
      <c r="Y251" s="5">
        <f>AVERAGE(Y2:Y249)</f>
        <v>9.8687398858051767E-4</v>
      </c>
      <c r="Z251" s="23"/>
      <c r="AA251" s="5">
        <f>AVERAGE(AA2:AA249)</f>
        <v>3.2681542363192395E-3</v>
      </c>
      <c r="AC251" s="5">
        <f>AVERAGE(AC2:AC249)</f>
        <v>7.4827171188543028E-4</v>
      </c>
      <c r="AD251" s="11"/>
      <c r="AE251" s="5">
        <f>AVERAGE(AE2:AE249)</f>
        <v>2.3623547830138591E-3</v>
      </c>
    </row>
    <row r="252" spans="1:31" ht="13.8">
      <c r="A252" s="23"/>
      <c r="B252" s="23"/>
      <c r="D252" s="23"/>
      <c r="F252" s="23"/>
      <c r="H252" s="23"/>
      <c r="J252" s="23"/>
      <c r="L252" s="23"/>
      <c r="M252" s="23"/>
      <c r="N252" s="23"/>
      <c r="P252" s="23"/>
      <c r="R252" s="23"/>
      <c r="T252" s="23"/>
      <c r="V252" s="23"/>
      <c r="X252" s="23"/>
      <c r="Z252" s="23"/>
      <c r="AD252" s="11"/>
    </row>
    <row r="253" spans="1:31" ht="13.8">
      <c r="A253" s="23"/>
      <c r="B253" s="23"/>
      <c r="C253" s="5">
        <f>((1+C251)^252)-1</f>
        <v>0.11307856441621311</v>
      </c>
      <c r="D253" s="23"/>
      <c r="E253" s="5">
        <f>((1+E251)^252)-1</f>
        <v>0.27369678570277323</v>
      </c>
      <c r="F253" s="23"/>
      <c r="G253" s="5">
        <f>((1+G251)^252)-1</f>
        <v>0.15655083051917207</v>
      </c>
      <c r="H253" s="23"/>
      <c r="I253" s="5">
        <f>((1+I251)^252)-1</f>
        <v>0.30078076153243183</v>
      </c>
      <c r="J253" s="23"/>
      <c r="K253" s="5">
        <f>((1+K251)^252)-1</f>
        <v>0.2874878678113022</v>
      </c>
      <c r="L253" s="23"/>
      <c r="M253" s="23">
        <f>((1+M251)^252)-1</f>
        <v>0.70355444878533313</v>
      </c>
      <c r="N253" s="23"/>
      <c r="O253" s="5">
        <f>((1+O251)^252)-1</f>
        <v>0.30078076153243183</v>
      </c>
      <c r="P253" s="23"/>
      <c r="Q253" s="5">
        <f>((1+Q251)^252)-1</f>
        <v>0.54789395841034727</v>
      </c>
      <c r="R253" s="23"/>
      <c r="S253" s="5">
        <f>((1+S251)^252)-1</f>
        <v>0.24120725020730727</v>
      </c>
      <c r="T253" s="23"/>
      <c r="U253" s="5">
        <f>((1+U251)^252)-1</f>
        <v>0.73801076065510673</v>
      </c>
      <c r="V253" s="23"/>
      <c r="W253" s="5">
        <f>((1+W251)^252)-1</f>
        <v>0.12281464659707364</v>
      </c>
      <c r="X253" s="23"/>
      <c r="Y253" s="5">
        <f>((1+Y251)^252)-1</f>
        <v>0.28219007487838388</v>
      </c>
      <c r="Z253" s="23"/>
      <c r="AA253" s="5">
        <f>((1+AA251)^252)-1</f>
        <v>1.2755732705010892</v>
      </c>
      <c r="AC253" s="5">
        <f>((1+AC251)^252)-1</f>
        <v>0.20742978747885998</v>
      </c>
      <c r="AD253" s="11"/>
      <c r="AE253" s="5">
        <f>((1+AE251)^252)-1</f>
        <v>0.81232642936420452</v>
      </c>
    </row>
    <row r="254" spans="1:31" ht="13.8">
      <c r="A254" s="23"/>
      <c r="B254" s="23"/>
      <c r="D254" s="23"/>
      <c r="F254" s="23"/>
      <c r="H254" s="23"/>
      <c r="J254" s="23"/>
      <c r="L254" s="23"/>
      <c r="M254" s="23"/>
      <c r="N254" s="23"/>
      <c r="P254" s="23"/>
      <c r="R254" s="23"/>
      <c r="T254" s="23"/>
      <c r="V254" s="23"/>
      <c r="X254" s="23"/>
      <c r="Z254" s="23"/>
      <c r="AD254" s="11"/>
    </row>
    <row r="255" spans="1:31" ht="13.8">
      <c r="A255" s="23"/>
      <c r="B255" s="23"/>
      <c r="D255" s="23"/>
      <c r="F255" s="23"/>
      <c r="H255" s="23"/>
      <c r="J255" s="23"/>
      <c r="L255" s="23"/>
      <c r="M255" s="23"/>
      <c r="N255" s="23"/>
      <c r="P255" s="23"/>
      <c r="R255" s="23"/>
      <c r="T255" s="23"/>
      <c r="V255" s="23"/>
      <c r="X255" s="23"/>
      <c r="Z255" s="23"/>
      <c r="AD255" s="11"/>
    </row>
    <row r="256" spans="1:31" ht="13.8">
      <c r="A256" s="23"/>
      <c r="B256" s="23"/>
      <c r="D256" s="23"/>
      <c r="F256" s="23"/>
      <c r="H256" s="23"/>
      <c r="J256" s="23"/>
      <c r="L256" s="23"/>
      <c r="M256" s="23"/>
      <c r="N256" s="23"/>
      <c r="P256" s="23"/>
      <c r="R256" s="23"/>
      <c r="T256" s="23"/>
      <c r="V256" s="23"/>
      <c r="X256" s="23"/>
      <c r="Z256" s="23"/>
      <c r="AD256" s="11"/>
    </row>
    <row r="257" spans="1:30" ht="13.8">
      <c r="A257" s="23"/>
      <c r="B257" s="23"/>
      <c r="D257" s="23"/>
      <c r="F257" s="23"/>
      <c r="H257" s="23"/>
      <c r="J257" s="23"/>
      <c r="L257" s="23"/>
      <c r="M257" s="23"/>
      <c r="N257" s="23"/>
      <c r="P257" s="23"/>
      <c r="R257" s="23"/>
      <c r="T257" s="23"/>
      <c r="V257" s="23"/>
      <c r="X257" s="23"/>
      <c r="Z257" s="23"/>
      <c r="AD257" s="11"/>
    </row>
    <row r="258" spans="1:30" ht="13.8">
      <c r="A258" s="23"/>
      <c r="B258" s="23"/>
      <c r="D258" s="23"/>
      <c r="F258" s="23"/>
      <c r="H258" s="23"/>
      <c r="J258" s="23"/>
      <c r="L258" s="23"/>
      <c r="M258" s="23"/>
      <c r="N258" s="23"/>
      <c r="P258" s="23"/>
      <c r="R258" s="23"/>
      <c r="T258" s="23"/>
      <c r="V258" s="23"/>
      <c r="X258" s="23"/>
      <c r="Z258" s="23"/>
      <c r="AD258" s="11"/>
    </row>
    <row r="259" spans="1:30" ht="13.8">
      <c r="A259" s="23"/>
      <c r="B259" s="23"/>
      <c r="D259" s="23"/>
      <c r="F259" s="23"/>
      <c r="H259" s="23"/>
      <c r="J259" s="23"/>
      <c r="L259" s="23"/>
      <c r="M259" s="23"/>
      <c r="N259" s="23"/>
      <c r="P259" s="23"/>
      <c r="R259" s="23"/>
      <c r="T259" s="23"/>
      <c r="V259" s="23"/>
      <c r="X259" s="23"/>
      <c r="Z259" s="23"/>
      <c r="AD259" s="11"/>
    </row>
    <row r="260" spans="1:30" ht="13.8">
      <c r="A260" s="23"/>
      <c r="B260" s="23"/>
      <c r="D260" s="23"/>
      <c r="F260" s="23"/>
      <c r="H260" s="23"/>
      <c r="J260" s="23"/>
      <c r="L260" s="23"/>
      <c r="M260" s="23"/>
      <c r="N260" s="23"/>
      <c r="P260" s="23"/>
      <c r="R260" s="23"/>
      <c r="T260" s="23"/>
      <c r="V260" s="23"/>
      <c r="X260" s="23"/>
      <c r="Z260" s="23"/>
      <c r="AD260" s="11"/>
    </row>
    <row r="261" spans="1:30" ht="13.8">
      <c r="A261" s="23"/>
      <c r="B261" s="23"/>
      <c r="D261" s="23"/>
      <c r="F261" s="23"/>
      <c r="H261" s="23"/>
      <c r="J261" s="23"/>
      <c r="L261" s="23"/>
      <c r="M261" s="23"/>
      <c r="N261" s="23"/>
      <c r="P261" s="23"/>
      <c r="R261" s="23"/>
      <c r="T261" s="23"/>
      <c r="V261" s="23"/>
      <c r="X261" s="23"/>
      <c r="Z261" s="23"/>
      <c r="AD261" s="11"/>
    </row>
    <row r="262" spans="1:30" ht="13.8">
      <c r="A262" s="23"/>
      <c r="B262" s="23"/>
      <c r="D262" s="23"/>
      <c r="F262" s="23"/>
      <c r="H262" s="23"/>
      <c r="J262" s="23"/>
      <c r="L262" s="23"/>
      <c r="M262" s="23"/>
      <c r="N262" s="23"/>
      <c r="P262" s="23"/>
      <c r="R262" s="23"/>
      <c r="T262" s="23"/>
      <c r="V262" s="23"/>
      <c r="X262" s="23"/>
      <c r="Z262" s="23"/>
      <c r="AD262" s="11"/>
    </row>
    <row r="263" spans="1:30" ht="13.8">
      <c r="A263" s="23"/>
      <c r="B263" s="23"/>
      <c r="D263" s="23"/>
      <c r="F263" s="23"/>
      <c r="H263" s="23"/>
      <c r="J263" s="23"/>
      <c r="L263" s="23"/>
      <c r="M263" s="23"/>
      <c r="N263" s="23"/>
      <c r="P263" s="23"/>
      <c r="R263" s="23"/>
      <c r="T263" s="23"/>
      <c r="V263" s="23"/>
      <c r="X263" s="23"/>
      <c r="Z263" s="23"/>
      <c r="AD263" s="11"/>
    </row>
    <row r="264" spans="1:30" ht="13.8">
      <c r="A264" s="23"/>
      <c r="B264" s="23"/>
      <c r="D264" s="23"/>
      <c r="F264" s="23"/>
      <c r="H264" s="23"/>
      <c r="J264" s="23"/>
      <c r="L264" s="23"/>
      <c r="M264" s="23"/>
      <c r="N264" s="23"/>
      <c r="P264" s="23"/>
      <c r="R264" s="23"/>
      <c r="T264" s="23"/>
      <c r="V264" s="23"/>
      <c r="X264" s="23"/>
      <c r="Z264" s="23"/>
      <c r="AD264" s="11"/>
    </row>
    <row r="265" spans="1:30" ht="13.8">
      <c r="A265" s="23"/>
      <c r="B265" s="23"/>
      <c r="D265" s="23"/>
      <c r="F265" s="23"/>
      <c r="H265" s="23"/>
      <c r="J265" s="23"/>
      <c r="L265" s="23"/>
      <c r="M265" s="23"/>
      <c r="N265" s="23"/>
      <c r="P265" s="23"/>
      <c r="R265" s="23"/>
      <c r="T265" s="23"/>
      <c r="V265" s="23"/>
      <c r="X265" s="23"/>
      <c r="Z265" s="23"/>
      <c r="AD265" s="11"/>
    </row>
    <row r="266" spans="1:30" ht="13.8">
      <c r="A266" s="23"/>
      <c r="B266" s="23"/>
      <c r="D266" s="23"/>
      <c r="F266" s="23"/>
      <c r="H266" s="23"/>
      <c r="J266" s="23"/>
      <c r="L266" s="23"/>
      <c r="M266" s="23"/>
      <c r="N266" s="23"/>
      <c r="P266" s="23"/>
      <c r="R266" s="23"/>
      <c r="T266" s="23"/>
      <c r="V266" s="23"/>
      <c r="X266" s="23"/>
      <c r="Z266" s="23"/>
      <c r="AD266" s="11"/>
    </row>
    <row r="267" spans="1:30" ht="13.8">
      <c r="A267" s="23"/>
      <c r="B267" s="23"/>
      <c r="D267" s="23"/>
      <c r="F267" s="23"/>
      <c r="H267" s="23"/>
      <c r="J267" s="23"/>
      <c r="L267" s="23"/>
      <c r="M267" s="23"/>
      <c r="N267" s="23"/>
      <c r="P267" s="23"/>
      <c r="R267" s="23"/>
      <c r="T267" s="23"/>
      <c r="V267" s="23"/>
      <c r="X267" s="23"/>
      <c r="Z267" s="23"/>
      <c r="AD267" s="11"/>
    </row>
    <row r="268" spans="1:30" ht="13.8">
      <c r="A268" s="23"/>
      <c r="B268" s="23"/>
      <c r="D268" s="23"/>
      <c r="F268" s="23"/>
      <c r="H268" s="23"/>
      <c r="J268" s="23"/>
      <c r="L268" s="23"/>
      <c r="M268" s="23"/>
      <c r="N268" s="23"/>
      <c r="P268" s="23"/>
      <c r="R268" s="23"/>
      <c r="T268" s="23"/>
      <c r="V268" s="23"/>
      <c r="X268" s="23"/>
      <c r="Z268" s="23"/>
      <c r="AD268" s="11"/>
    </row>
    <row r="269" spans="1:30" ht="13.8">
      <c r="A269" s="23"/>
      <c r="B269" s="23"/>
      <c r="D269" s="23"/>
      <c r="F269" s="23"/>
      <c r="H269" s="23"/>
      <c r="J269" s="23"/>
      <c r="L269" s="23"/>
      <c r="M269" s="23"/>
      <c r="N269" s="23"/>
      <c r="P269" s="23"/>
      <c r="R269" s="23"/>
      <c r="T269" s="23"/>
      <c r="V269" s="23"/>
      <c r="X269" s="23"/>
      <c r="Z269" s="23"/>
      <c r="AD269" s="11"/>
    </row>
    <row r="270" spans="1:30" ht="13.8">
      <c r="A270" s="23"/>
      <c r="B270" s="23"/>
      <c r="D270" s="23"/>
      <c r="F270" s="23"/>
      <c r="H270" s="23"/>
      <c r="J270" s="23"/>
      <c r="L270" s="23"/>
      <c r="M270" s="23"/>
      <c r="N270" s="23"/>
      <c r="P270" s="23"/>
      <c r="R270" s="23"/>
      <c r="T270" s="23"/>
      <c r="V270" s="23"/>
      <c r="X270" s="23"/>
      <c r="Z270" s="23"/>
      <c r="AD270" s="11"/>
    </row>
    <row r="271" spans="1:30" ht="13.8">
      <c r="A271" s="23"/>
      <c r="B271" s="23"/>
      <c r="D271" s="23"/>
      <c r="F271" s="23"/>
      <c r="H271" s="23"/>
      <c r="J271" s="23"/>
      <c r="L271" s="23"/>
      <c r="M271" s="23"/>
      <c r="N271" s="23"/>
      <c r="P271" s="23"/>
      <c r="R271" s="23"/>
      <c r="T271" s="23"/>
      <c r="V271" s="23"/>
      <c r="X271" s="23"/>
      <c r="Z271" s="23"/>
      <c r="AD271" s="11"/>
    </row>
    <row r="272" spans="1:30" ht="13.8">
      <c r="A272" s="23"/>
      <c r="B272" s="23"/>
      <c r="D272" s="23"/>
      <c r="F272" s="23"/>
      <c r="H272" s="23"/>
      <c r="J272" s="23"/>
      <c r="L272" s="23"/>
      <c r="M272" s="23"/>
      <c r="N272" s="23"/>
      <c r="P272" s="23"/>
      <c r="R272" s="23"/>
      <c r="T272" s="23"/>
      <c r="V272" s="23"/>
      <c r="X272" s="23"/>
      <c r="Z272" s="23"/>
      <c r="AD272" s="11"/>
    </row>
    <row r="273" spans="1:30" ht="13.8">
      <c r="A273" s="23"/>
      <c r="B273" s="23"/>
      <c r="D273" s="23"/>
      <c r="F273" s="23"/>
      <c r="H273" s="23"/>
      <c r="J273" s="23"/>
      <c r="L273" s="23"/>
      <c r="M273" s="23"/>
      <c r="N273" s="23"/>
      <c r="P273" s="23"/>
      <c r="R273" s="23"/>
      <c r="T273" s="23"/>
      <c r="V273" s="23"/>
      <c r="X273" s="23"/>
      <c r="Z273" s="23"/>
      <c r="AD273" s="11"/>
    </row>
    <row r="274" spans="1:30" ht="13.8">
      <c r="A274" s="23"/>
      <c r="B274" s="23"/>
      <c r="D274" s="23"/>
      <c r="F274" s="23"/>
      <c r="H274" s="23"/>
      <c r="J274" s="23"/>
      <c r="L274" s="23"/>
      <c r="M274" s="23"/>
      <c r="N274" s="23"/>
      <c r="P274" s="23"/>
      <c r="R274" s="23"/>
      <c r="T274" s="23"/>
      <c r="V274" s="23"/>
      <c r="X274" s="23"/>
      <c r="Z274" s="23"/>
      <c r="AD274" s="11"/>
    </row>
    <row r="275" spans="1:30" ht="13.8">
      <c r="A275" s="23"/>
      <c r="B275" s="23"/>
      <c r="D275" s="23"/>
      <c r="F275" s="23"/>
      <c r="H275" s="23"/>
      <c r="J275" s="23"/>
      <c r="L275" s="23"/>
      <c r="M275" s="23"/>
      <c r="N275" s="23"/>
      <c r="P275" s="23"/>
      <c r="R275" s="23"/>
      <c r="T275" s="23"/>
      <c r="V275" s="23"/>
      <c r="X275" s="23"/>
      <c r="Z275" s="23"/>
      <c r="AD275" s="11"/>
    </row>
    <row r="276" spans="1:30" ht="13.8">
      <c r="A276" s="23"/>
      <c r="B276" s="23"/>
      <c r="D276" s="23"/>
      <c r="F276" s="23"/>
      <c r="H276" s="23"/>
      <c r="J276" s="23"/>
      <c r="L276" s="23"/>
      <c r="M276" s="23"/>
      <c r="N276" s="23"/>
      <c r="P276" s="23"/>
      <c r="R276" s="23"/>
      <c r="T276" s="23"/>
      <c r="V276" s="23"/>
      <c r="X276" s="23"/>
      <c r="Z276" s="23"/>
      <c r="AD276" s="11"/>
    </row>
    <row r="277" spans="1:30" ht="13.8">
      <c r="A277" s="23"/>
      <c r="B277" s="23"/>
      <c r="D277" s="23"/>
      <c r="F277" s="23"/>
      <c r="H277" s="23"/>
      <c r="J277" s="23"/>
      <c r="L277" s="23"/>
      <c r="M277" s="23"/>
      <c r="N277" s="23"/>
      <c r="P277" s="23"/>
      <c r="R277" s="23"/>
      <c r="T277" s="23"/>
      <c r="V277" s="23"/>
      <c r="X277" s="23"/>
      <c r="Z277" s="23"/>
      <c r="AD277" s="11"/>
    </row>
    <row r="278" spans="1:30" ht="13.8">
      <c r="A278" s="23"/>
      <c r="B278" s="23"/>
      <c r="D278" s="23"/>
      <c r="F278" s="23"/>
      <c r="H278" s="23"/>
      <c r="J278" s="23"/>
      <c r="L278" s="23"/>
      <c r="M278" s="23"/>
      <c r="N278" s="23"/>
      <c r="P278" s="23"/>
      <c r="R278" s="23"/>
      <c r="T278" s="23"/>
      <c r="V278" s="23"/>
      <c r="X278" s="23"/>
      <c r="Z278" s="23"/>
      <c r="AD278" s="11"/>
    </row>
    <row r="279" spans="1:30" ht="13.8">
      <c r="A279" s="23"/>
      <c r="B279" s="23"/>
      <c r="D279" s="23"/>
      <c r="F279" s="23"/>
      <c r="H279" s="23"/>
      <c r="J279" s="23"/>
      <c r="L279" s="23"/>
      <c r="M279" s="23"/>
      <c r="N279" s="23"/>
      <c r="P279" s="23"/>
      <c r="R279" s="23"/>
      <c r="T279" s="23"/>
      <c r="V279" s="23"/>
      <c r="X279" s="23"/>
      <c r="Z279" s="23"/>
      <c r="AD279" s="11"/>
    </row>
    <row r="280" spans="1:30" ht="13.8">
      <c r="A280" s="23"/>
      <c r="B280" s="23"/>
      <c r="D280" s="23"/>
      <c r="F280" s="23"/>
      <c r="H280" s="23"/>
      <c r="J280" s="23"/>
      <c r="L280" s="23"/>
      <c r="M280" s="23"/>
      <c r="N280" s="23"/>
      <c r="P280" s="23"/>
      <c r="R280" s="23"/>
      <c r="T280" s="23"/>
      <c r="V280" s="23"/>
      <c r="X280" s="23"/>
      <c r="Z280" s="23"/>
      <c r="AD280" s="11"/>
    </row>
    <row r="281" spans="1:30" ht="13.8">
      <c r="A281" s="23"/>
      <c r="B281" s="23"/>
      <c r="D281" s="23"/>
      <c r="F281" s="23"/>
      <c r="H281" s="23"/>
      <c r="J281" s="23"/>
      <c r="L281" s="23"/>
      <c r="M281" s="23"/>
      <c r="N281" s="23"/>
      <c r="P281" s="23"/>
      <c r="R281" s="23"/>
      <c r="T281" s="23"/>
      <c r="V281" s="23"/>
      <c r="X281" s="23"/>
      <c r="Z281" s="23"/>
      <c r="AD281" s="11"/>
    </row>
    <row r="282" spans="1:30" ht="13.8">
      <c r="A282" s="23"/>
      <c r="B282" s="23"/>
      <c r="D282" s="23"/>
      <c r="F282" s="23"/>
      <c r="H282" s="23"/>
      <c r="J282" s="23"/>
      <c r="L282" s="23"/>
      <c r="M282" s="23"/>
      <c r="N282" s="23"/>
      <c r="P282" s="23"/>
      <c r="R282" s="23"/>
      <c r="T282" s="23"/>
      <c r="V282" s="23"/>
      <c r="X282" s="23"/>
      <c r="Z282" s="23"/>
      <c r="AD282" s="11"/>
    </row>
    <row r="283" spans="1:30" ht="13.8">
      <c r="A283" s="23"/>
      <c r="B283" s="23"/>
      <c r="D283" s="23"/>
      <c r="F283" s="23"/>
      <c r="H283" s="23"/>
      <c r="J283" s="23"/>
      <c r="L283" s="23"/>
      <c r="M283" s="23"/>
      <c r="N283" s="23"/>
      <c r="P283" s="23"/>
      <c r="R283" s="23"/>
      <c r="T283" s="23"/>
      <c r="V283" s="23"/>
      <c r="X283" s="23"/>
      <c r="Z283" s="23"/>
      <c r="AD283" s="11"/>
    </row>
    <row r="284" spans="1:30" ht="13.8">
      <c r="A284" s="23"/>
      <c r="B284" s="23"/>
      <c r="D284" s="23"/>
      <c r="F284" s="23"/>
      <c r="H284" s="23"/>
      <c r="J284" s="23"/>
      <c r="L284" s="23"/>
      <c r="M284" s="23"/>
      <c r="N284" s="23"/>
      <c r="P284" s="23"/>
      <c r="R284" s="23"/>
      <c r="T284" s="23"/>
      <c r="V284" s="23"/>
      <c r="X284" s="23"/>
      <c r="Z284" s="23"/>
      <c r="AD284" s="11"/>
    </row>
    <row r="285" spans="1:30" ht="13.8">
      <c r="A285" s="23"/>
      <c r="B285" s="23"/>
      <c r="D285" s="23"/>
      <c r="F285" s="23"/>
      <c r="H285" s="23"/>
      <c r="J285" s="23"/>
      <c r="L285" s="23"/>
      <c r="M285" s="23"/>
      <c r="N285" s="23"/>
      <c r="P285" s="23"/>
      <c r="R285" s="23"/>
      <c r="T285" s="23"/>
      <c r="V285" s="23"/>
      <c r="X285" s="23"/>
      <c r="Z285" s="23"/>
      <c r="AD285" s="11"/>
    </row>
    <row r="286" spans="1:30" ht="13.8">
      <c r="A286" s="23"/>
      <c r="B286" s="23"/>
      <c r="D286" s="23"/>
      <c r="F286" s="23"/>
      <c r="H286" s="23"/>
      <c r="J286" s="23"/>
      <c r="L286" s="23"/>
      <c r="M286" s="23"/>
      <c r="N286" s="23"/>
      <c r="P286" s="23"/>
      <c r="R286" s="23"/>
      <c r="T286" s="23"/>
      <c r="V286" s="23"/>
      <c r="X286" s="23"/>
      <c r="Z286" s="23"/>
      <c r="AD286" s="11"/>
    </row>
    <row r="287" spans="1:30" ht="13.8">
      <c r="A287" s="23"/>
      <c r="B287" s="23"/>
      <c r="D287" s="23"/>
      <c r="F287" s="23"/>
      <c r="H287" s="23"/>
      <c r="J287" s="23"/>
      <c r="L287" s="23"/>
      <c r="M287" s="23"/>
      <c r="N287" s="23"/>
      <c r="P287" s="23"/>
      <c r="R287" s="23"/>
      <c r="T287" s="23"/>
      <c r="V287" s="23"/>
      <c r="X287" s="23"/>
      <c r="Z287" s="23"/>
      <c r="AD287" s="11"/>
    </row>
    <row r="288" spans="1:30" ht="13.8">
      <c r="A288" s="23"/>
      <c r="B288" s="23"/>
      <c r="D288" s="23"/>
      <c r="F288" s="23"/>
      <c r="H288" s="23"/>
      <c r="J288" s="23"/>
      <c r="L288" s="23"/>
      <c r="M288" s="23"/>
      <c r="N288" s="23"/>
      <c r="P288" s="23"/>
      <c r="R288" s="23"/>
      <c r="T288" s="23"/>
      <c r="V288" s="23"/>
      <c r="X288" s="23"/>
      <c r="Z288" s="23"/>
      <c r="AD288" s="11"/>
    </row>
    <row r="289" spans="1:30" ht="13.8">
      <c r="A289" s="23"/>
      <c r="B289" s="23"/>
      <c r="D289" s="23"/>
      <c r="F289" s="23"/>
      <c r="H289" s="23"/>
      <c r="J289" s="23"/>
      <c r="L289" s="23"/>
      <c r="M289" s="23"/>
      <c r="N289" s="23"/>
      <c r="P289" s="23"/>
      <c r="R289" s="23"/>
      <c r="T289" s="23"/>
      <c r="V289" s="23"/>
      <c r="X289" s="23"/>
      <c r="Z289" s="23"/>
      <c r="AD289" s="11"/>
    </row>
    <row r="290" spans="1:30" ht="13.8">
      <c r="A290" s="23"/>
      <c r="B290" s="23"/>
      <c r="D290" s="23"/>
      <c r="F290" s="23"/>
      <c r="H290" s="23"/>
      <c r="J290" s="23"/>
      <c r="L290" s="23"/>
      <c r="M290" s="23"/>
      <c r="N290" s="23"/>
      <c r="P290" s="23"/>
      <c r="R290" s="23"/>
      <c r="T290" s="23"/>
      <c r="V290" s="23"/>
      <c r="X290" s="23"/>
      <c r="Z290" s="23"/>
      <c r="AD290" s="11"/>
    </row>
    <row r="291" spans="1:30" ht="13.8">
      <c r="A291" s="23"/>
      <c r="B291" s="23"/>
      <c r="D291" s="23"/>
      <c r="F291" s="23"/>
      <c r="H291" s="23"/>
      <c r="J291" s="23"/>
      <c r="L291" s="23"/>
      <c r="M291" s="23"/>
      <c r="N291" s="23"/>
      <c r="P291" s="23"/>
      <c r="R291" s="23"/>
      <c r="T291" s="23"/>
      <c r="V291" s="23"/>
      <c r="X291" s="23"/>
      <c r="Z291" s="23"/>
      <c r="AD291" s="11"/>
    </row>
    <row r="292" spans="1:30" ht="13.8">
      <c r="A292" s="23"/>
      <c r="B292" s="23"/>
      <c r="D292" s="23"/>
      <c r="F292" s="23"/>
      <c r="H292" s="23"/>
      <c r="J292" s="23"/>
      <c r="L292" s="23"/>
      <c r="M292" s="23"/>
      <c r="N292" s="23"/>
      <c r="P292" s="23"/>
      <c r="R292" s="23"/>
      <c r="T292" s="23"/>
      <c r="V292" s="23"/>
      <c r="X292" s="23"/>
      <c r="Z292" s="23"/>
      <c r="AD292" s="11"/>
    </row>
    <row r="293" spans="1:30" ht="13.8">
      <c r="A293" s="23"/>
      <c r="B293" s="23"/>
      <c r="D293" s="23"/>
      <c r="F293" s="23"/>
      <c r="H293" s="23"/>
      <c r="J293" s="23"/>
      <c r="L293" s="23"/>
      <c r="M293" s="23"/>
      <c r="N293" s="23"/>
      <c r="P293" s="23"/>
      <c r="R293" s="23"/>
      <c r="T293" s="23"/>
      <c r="V293" s="23"/>
      <c r="X293" s="23"/>
      <c r="Z293" s="23"/>
      <c r="AD293" s="11"/>
    </row>
    <row r="294" spans="1:30" ht="13.8">
      <c r="A294" s="23"/>
      <c r="B294" s="23"/>
      <c r="D294" s="23"/>
      <c r="F294" s="23"/>
      <c r="H294" s="23"/>
      <c r="J294" s="23"/>
      <c r="L294" s="23"/>
      <c r="M294" s="23"/>
      <c r="N294" s="23"/>
      <c r="P294" s="23"/>
      <c r="R294" s="23"/>
      <c r="T294" s="23"/>
      <c r="V294" s="23"/>
      <c r="X294" s="23"/>
      <c r="Z294" s="23"/>
      <c r="AD294" s="11"/>
    </row>
    <row r="295" spans="1:30" ht="13.8">
      <c r="A295" s="23"/>
      <c r="B295" s="23"/>
      <c r="D295" s="23"/>
      <c r="F295" s="23"/>
      <c r="H295" s="23"/>
      <c r="J295" s="23"/>
      <c r="L295" s="23"/>
      <c r="M295" s="23"/>
      <c r="N295" s="23"/>
      <c r="P295" s="23"/>
      <c r="R295" s="23"/>
      <c r="T295" s="23"/>
      <c r="V295" s="23"/>
      <c r="X295" s="23"/>
      <c r="Z295" s="23"/>
      <c r="AD295" s="11"/>
    </row>
    <row r="296" spans="1:30" ht="13.8">
      <c r="A296" s="23"/>
      <c r="B296" s="23"/>
      <c r="D296" s="23"/>
      <c r="F296" s="23"/>
      <c r="H296" s="23"/>
      <c r="J296" s="23"/>
      <c r="L296" s="23"/>
      <c r="M296" s="23"/>
      <c r="N296" s="23"/>
      <c r="P296" s="23"/>
      <c r="R296" s="23"/>
      <c r="T296" s="23"/>
      <c r="V296" s="23"/>
      <c r="X296" s="23"/>
      <c r="Z296" s="23"/>
      <c r="AD296" s="11"/>
    </row>
    <row r="297" spans="1:30" ht="13.8">
      <c r="A297" s="23"/>
      <c r="B297" s="23"/>
      <c r="D297" s="23"/>
      <c r="F297" s="23"/>
      <c r="H297" s="23"/>
      <c r="J297" s="23"/>
      <c r="L297" s="23"/>
      <c r="M297" s="23"/>
      <c r="N297" s="23"/>
      <c r="P297" s="23"/>
      <c r="R297" s="23"/>
      <c r="T297" s="23"/>
      <c r="V297" s="23"/>
      <c r="X297" s="23"/>
      <c r="Z297" s="23"/>
      <c r="AD297" s="11"/>
    </row>
    <row r="298" spans="1:30" ht="13.8">
      <c r="A298" s="23"/>
      <c r="B298" s="23"/>
      <c r="D298" s="23"/>
      <c r="F298" s="23"/>
      <c r="H298" s="23"/>
      <c r="J298" s="23"/>
      <c r="L298" s="23"/>
      <c r="M298" s="23"/>
      <c r="N298" s="23"/>
      <c r="P298" s="23"/>
      <c r="R298" s="23"/>
      <c r="T298" s="23"/>
      <c r="V298" s="23"/>
      <c r="X298" s="23"/>
      <c r="Z298" s="23"/>
      <c r="AD298" s="11"/>
    </row>
    <row r="299" spans="1:30" ht="13.8">
      <c r="A299" s="23"/>
      <c r="B299" s="23"/>
      <c r="D299" s="23"/>
      <c r="F299" s="23"/>
      <c r="H299" s="23"/>
      <c r="J299" s="23"/>
      <c r="L299" s="23"/>
      <c r="M299" s="23"/>
      <c r="N299" s="23"/>
      <c r="P299" s="23"/>
      <c r="R299" s="23"/>
      <c r="T299" s="23"/>
      <c r="V299" s="23"/>
      <c r="X299" s="23"/>
      <c r="Z299" s="23"/>
      <c r="AD299" s="11"/>
    </row>
    <row r="300" spans="1:30" ht="13.8">
      <c r="A300" s="23"/>
      <c r="B300" s="23"/>
      <c r="D300" s="23"/>
      <c r="F300" s="23"/>
      <c r="H300" s="23"/>
      <c r="J300" s="23"/>
      <c r="L300" s="23"/>
      <c r="M300" s="23"/>
      <c r="N300" s="23"/>
      <c r="P300" s="23"/>
      <c r="R300" s="23"/>
      <c r="T300" s="23"/>
      <c r="V300" s="23"/>
      <c r="X300" s="23"/>
      <c r="Z300" s="23"/>
      <c r="AD300" s="11"/>
    </row>
    <row r="301" spans="1:30" ht="13.8">
      <c r="A301" s="23"/>
      <c r="B301" s="23"/>
      <c r="D301" s="23"/>
      <c r="F301" s="23"/>
      <c r="H301" s="23"/>
      <c r="J301" s="23"/>
      <c r="L301" s="23"/>
      <c r="M301" s="23"/>
      <c r="N301" s="23"/>
      <c r="P301" s="23"/>
      <c r="R301" s="23"/>
      <c r="T301" s="23"/>
      <c r="V301" s="23"/>
      <c r="X301" s="23"/>
      <c r="Z301" s="23"/>
      <c r="AD301" s="11"/>
    </row>
    <row r="302" spans="1:30" ht="13.8">
      <c r="A302" s="23"/>
      <c r="B302" s="23"/>
      <c r="D302" s="23"/>
      <c r="F302" s="23"/>
      <c r="H302" s="23"/>
      <c r="J302" s="23"/>
      <c r="L302" s="23"/>
      <c r="M302" s="23"/>
      <c r="N302" s="23"/>
      <c r="P302" s="23"/>
      <c r="R302" s="23"/>
      <c r="T302" s="23"/>
      <c r="V302" s="23"/>
      <c r="X302" s="23"/>
      <c r="Z302" s="23"/>
      <c r="AD302" s="11"/>
    </row>
    <row r="303" spans="1:30" ht="13.8">
      <c r="A303" s="23"/>
      <c r="B303" s="23"/>
      <c r="D303" s="23"/>
      <c r="F303" s="23"/>
      <c r="H303" s="23"/>
      <c r="J303" s="23"/>
      <c r="L303" s="23"/>
      <c r="M303" s="23"/>
      <c r="N303" s="23"/>
      <c r="P303" s="23"/>
      <c r="R303" s="23"/>
      <c r="T303" s="23"/>
      <c r="V303" s="23"/>
      <c r="X303" s="23"/>
      <c r="Z303" s="23"/>
      <c r="AD303" s="11"/>
    </row>
    <row r="304" spans="1:30" ht="13.8">
      <c r="A304" s="23"/>
      <c r="B304" s="23"/>
      <c r="D304" s="23"/>
      <c r="F304" s="23"/>
      <c r="H304" s="23"/>
      <c r="J304" s="23"/>
      <c r="L304" s="23"/>
      <c r="M304" s="23"/>
      <c r="N304" s="23"/>
      <c r="P304" s="23"/>
      <c r="R304" s="23"/>
      <c r="T304" s="23"/>
      <c r="V304" s="23"/>
      <c r="X304" s="23"/>
      <c r="Z304" s="23"/>
      <c r="AD304" s="11"/>
    </row>
    <row r="305" spans="1:30" ht="13.8">
      <c r="A305" s="23"/>
      <c r="B305" s="23"/>
      <c r="D305" s="23"/>
      <c r="F305" s="23"/>
      <c r="H305" s="23"/>
      <c r="J305" s="23"/>
      <c r="L305" s="23"/>
      <c r="M305" s="23"/>
      <c r="N305" s="23"/>
      <c r="P305" s="23"/>
      <c r="R305" s="23"/>
      <c r="T305" s="23"/>
      <c r="V305" s="23"/>
      <c r="X305" s="23"/>
      <c r="Z305" s="23"/>
      <c r="AD305" s="11"/>
    </row>
    <row r="306" spans="1:30" ht="13.8">
      <c r="A306" s="23"/>
      <c r="B306" s="23"/>
      <c r="D306" s="23"/>
      <c r="F306" s="23"/>
      <c r="H306" s="23"/>
      <c r="J306" s="23"/>
      <c r="L306" s="23"/>
      <c r="M306" s="23"/>
      <c r="N306" s="23"/>
      <c r="P306" s="23"/>
      <c r="R306" s="23"/>
      <c r="T306" s="23"/>
      <c r="V306" s="23"/>
      <c r="X306" s="23"/>
      <c r="Z306" s="23"/>
      <c r="AD306" s="11"/>
    </row>
    <row r="307" spans="1:30" ht="13.8">
      <c r="A307" s="23"/>
      <c r="B307" s="23"/>
      <c r="D307" s="23"/>
      <c r="F307" s="23"/>
      <c r="H307" s="23"/>
      <c r="J307" s="23"/>
      <c r="L307" s="23"/>
      <c r="M307" s="23"/>
      <c r="N307" s="23"/>
      <c r="P307" s="23"/>
      <c r="R307" s="23"/>
      <c r="T307" s="23"/>
      <c r="V307" s="23"/>
      <c r="X307" s="23"/>
      <c r="Z307" s="23"/>
      <c r="AD307" s="11"/>
    </row>
    <row r="308" spans="1:30" ht="13.8">
      <c r="A308" s="23"/>
      <c r="B308" s="23"/>
      <c r="D308" s="23"/>
      <c r="F308" s="23"/>
      <c r="H308" s="23"/>
      <c r="J308" s="23"/>
      <c r="L308" s="23"/>
      <c r="M308" s="23"/>
      <c r="N308" s="23"/>
      <c r="P308" s="23"/>
      <c r="R308" s="23"/>
      <c r="T308" s="23"/>
      <c r="V308" s="23"/>
      <c r="X308" s="23"/>
      <c r="Z308" s="23"/>
      <c r="AD308" s="11"/>
    </row>
    <row r="309" spans="1:30" ht="13.8">
      <c r="A309" s="23"/>
      <c r="B309" s="23"/>
      <c r="D309" s="23"/>
      <c r="F309" s="23"/>
      <c r="H309" s="23"/>
      <c r="J309" s="23"/>
      <c r="L309" s="23"/>
      <c r="M309" s="23"/>
      <c r="N309" s="23"/>
      <c r="P309" s="23"/>
      <c r="R309" s="23"/>
      <c r="T309" s="23"/>
      <c r="V309" s="23"/>
      <c r="X309" s="23"/>
      <c r="Z309" s="23"/>
      <c r="AD309" s="11"/>
    </row>
    <row r="310" spans="1:30" ht="13.8">
      <c r="A310" s="23"/>
      <c r="B310" s="23"/>
      <c r="D310" s="23"/>
      <c r="F310" s="23"/>
      <c r="H310" s="23"/>
      <c r="J310" s="23"/>
      <c r="L310" s="23"/>
      <c r="M310" s="23"/>
      <c r="N310" s="23"/>
      <c r="P310" s="23"/>
      <c r="R310" s="23"/>
      <c r="T310" s="23"/>
      <c r="V310" s="23"/>
      <c r="X310" s="23"/>
      <c r="Z310" s="23"/>
      <c r="AD310" s="11"/>
    </row>
    <row r="311" spans="1:30" ht="13.8">
      <c r="A311" s="23"/>
      <c r="B311" s="23"/>
      <c r="D311" s="23"/>
      <c r="F311" s="23"/>
      <c r="H311" s="23"/>
      <c r="J311" s="23"/>
      <c r="L311" s="23"/>
      <c r="M311" s="23"/>
      <c r="N311" s="23"/>
      <c r="P311" s="23"/>
      <c r="R311" s="23"/>
      <c r="T311" s="23"/>
      <c r="V311" s="23"/>
      <c r="X311" s="23"/>
      <c r="Z311" s="23"/>
      <c r="AD311" s="11"/>
    </row>
    <row r="312" spans="1:30" ht="13.8">
      <c r="A312" s="23"/>
      <c r="B312" s="23"/>
      <c r="D312" s="23"/>
      <c r="F312" s="23"/>
      <c r="H312" s="23"/>
      <c r="J312" s="23"/>
      <c r="L312" s="23"/>
      <c r="M312" s="23"/>
      <c r="N312" s="23"/>
      <c r="P312" s="23"/>
      <c r="R312" s="23"/>
      <c r="T312" s="23"/>
      <c r="V312" s="23"/>
      <c r="X312" s="23"/>
      <c r="Z312" s="23"/>
      <c r="AD312" s="11"/>
    </row>
    <row r="313" spans="1:30" ht="13.8">
      <c r="A313" s="23"/>
      <c r="B313" s="23"/>
      <c r="D313" s="23"/>
      <c r="F313" s="23"/>
      <c r="H313" s="23"/>
      <c r="J313" s="23"/>
      <c r="L313" s="23"/>
      <c r="M313" s="23"/>
      <c r="N313" s="23"/>
      <c r="P313" s="23"/>
      <c r="R313" s="23"/>
      <c r="T313" s="23"/>
      <c r="V313" s="23"/>
      <c r="X313" s="23"/>
      <c r="Z313" s="23"/>
      <c r="AD313" s="11"/>
    </row>
    <row r="314" spans="1:30" ht="13.8">
      <c r="A314" s="23"/>
      <c r="B314" s="23"/>
      <c r="D314" s="23"/>
      <c r="F314" s="23"/>
      <c r="H314" s="23"/>
      <c r="J314" s="23"/>
      <c r="L314" s="23"/>
      <c r="M314" s="23"/>
      <c r="N314" s="23"/>
      <c r="P314" s="23"/>
      <c r="R314" s="23"/>
      <c r="T314" s="23"/>
      <c r="V314" s="23"/>
      <c r="X314" s="23"/>
      <c r="Z314" s="23"/>
      <c r="AD314" s="11"/>
    </row>
    <row r="315" spans="1:30" ht="13.8">
      <c r="A315" s="23"/>
      <c r="B315" s="23"/>
      <c r="D315" s="23"/>
      <c r="F315" s="23"/>
      <c r="H315" s="23"/>
      <c r="J315" s="23"/>
      <c r="L315" s="23"/>
      <c r="M315" s="23"/>
      <c r="N315" s="23"/>
      <c r="P315" s="23"/>
      <c r="R315" s="23"/>
      <c r="T315" s="23"/>
      <c r="V315" s="23"/>
      <c r="X315" s="23"/>
      <c r="Z315" s="23"/>
      <c r="AD315" s="11"/>
    </row>
    <row r="316" spans="1:30" ht="13.8">
      <c r="A316" s="23"/>
      <c r="B316" s="23"/>
      <c r="D316" s="23"/>
      <c r="F316" s="23"/>
      <c r="H316" s="23"/>
      <c r="J316" s="23"/>
      <c r="L316" s="23"/>
      <c r="M316" s="23"/>
      <c r="N316" s="23"/>
      <c r="P316" s="23"/>
      <c r="R316" s="23"/>
      <c r="T316" s="23"/>
      <c r="V316" s="23"/>
      <c r="X316" s="23"/>
      <c r="Z316" s="23"/>
      <c r="AD316" s="11"/>
    </row>
    <row r="317" spans="1:30" ht="13.8">
      <c r="A317" s="23"/>
      <c r="B317" s="23"/>
      <c r="D317" s="23"/>
      <c r="F317" s="23"/>
      <c r="H317" s="23"/>
      <c r="J317" s="23"/>
      <c r="L317" s="23"/>
      <c r="M317" s="23"/>
      <c r="N317" s="23"/>
      <c r="P317" s="23"/>
      <c r="R317" s="23"/>
      <c r="T317" s="23"/>
      <c r="V317" s="23"/>
      <c r="X317" s="23"/>
      <c r="Z317" s="23"/>
      <c r="AD317" s="11"/>
    </row>
    <row r="318" spans="1:30" ht="13.8">
      <c r="A318" s="23"/>
      <c r="B318" s="23"/>
      <c r="D318" s="23"/>
      <c r="F318" s="23"/>
      <c r="H318" s="23"/>
      <c r="J318" s="23"/>
      <c r="L318" s="23"/>
      <c r="M318" s="23"/>
      <c r="N318" s="23"/>
      <c r="P318" s="23"/>
      <c r="R318" s="23"/>
      <c r="T318" s="23"/>
      <c r="V318" s="23"/>
      <c r="X318" s="23"/>
      <c r="Z318" s="23"/>
      <c r="AD318" s="11"/>
    </row>
    <row r="319" spans="1:30" ht="13.8">
      <c r="A319" s="23"/>
      <c r="B319" s="23"/>
      <c r="D319" s="23"/>
      <c r="F319" s="23"/>
      <c r="H319" s="23"/>
      <c r="J319" s="23"/>
      <c r="L319" s="23"/>
      <c r="M319" s="23"/>
      <c r="N319" s="23"/>
      <c r="P319" s="23"/>
      <c r="R319" s="23"/>
      <c r="T319" s="23"/>
      <c r="V319" s="23"/>
      <c r="X319" s="23"/>
      <c r="Z319" s="23"/>
      <c r="AD319" s="11"/>
    </row>
    <row r="320" spans="1:30" ht="13.8">
      <c r="A320" s="23"/>
      <c r="B320" s="23"/>
      <c r="D320" s="23"/>
      <c r="F320" s="23"/>
      <c r="H320" s="23"/>
      <c r="J320" s="23"/>
      <c r="L320" s="23"/>
      <c r="M320" s="23"/>
      <c r="N320" s="23"/>
      <c r="P320" s="23"/>
      <c r="R320" s="23"/>
      <c r="T320" s="23"/>
      <c r="V320" s="23"/>
      <c r="X320" s="23"/>
      <c r="Z320" s="23"/>
      <c r="AD320" s="11"/>
    </row>
    <row r="321" spans="1:30" ht="13.8">
      <c r="A321" s="23"/>
      <c r="B321" s="23"/>
      <c r="D321" s="23"/>
      <c r="F321" s="23"/>
      <c r="H321" s="23"/>
      <c r="J321" s="23"/>
      <c r="L321" s="23"/>
      <c r="M321" s="23"/>
      <c r="N321" s="23"/>
      <c r="P321" s="23"/>
      <c r="R321" s="23"/>
      <c r="T321" s="23"/>
      <c r="V321" s="23"/>
      <c r="X321" s="23"/>
      <c r="Z321" s="23"/>
      <c r="AD321" s="11"/>
    </row>
    <row r="322" spans="1:30" ht="13.8">
      <c r="A322" s="23"/>
      <c r="B322" s="23"/>
      <c r="D322" s="23"/>
      <c r="F322" s="23"/>
      <c r="H322" s="23"/>
      <c r="J322" s="23"/>
      <c r="L322" s="23"/>
      <c r="M322" s="23"/>
      <c r="N322" s="23"/>
      <c r="P322" s="23"/>
      <c r="R322" s="23"/>
      <c r="T322" s="23"/>
      <c r="V322" s="23"/>
      <c r="X322" s="23"/>
      <c r="Z322" s="23"/>
      <c r="AD322" s="11"/>
    </row>
    <row r="323" spans="1:30" ht="13.8">
      <c r="A323" s="23"/>
      <c r="B323" s="23"/>
      <c r="D323" s="23"/>
      <c r="F323" s="23"/>
      <c r="H323" s="23"/>
      <c r="J323" s="23"/>
      <c r="L323" s="23"/>
      <c r="M323" s="23"/>
      <c r="N323" s="23"/>
      <c r="P323" s="23"/>
      <c r="R323" s="23"/>
      <c r="T323" s="23"/>
      <c r="V323" s="23"/>
      <c r="X323" s="23"/>
      <c r="Z323" s="23"/>
      <c r="AD323" s="11"/>
    </row>
    <row r="324" spans="1:30" ht="13.8">
      <c r="A324" s="23"/>
      <c r="B324" s="23"/>
      <c r="D324" s="23"/>
      <c r="F324" s="23"/>
      <c r="H324" s="23"/>
      <c r="J324" s="23"/>
      <c r="L324" s="23"/>
      <c r="M324" s="23"/>
      <c r="N324" s="23"/>
      <c r="P324" s="23"/>
      <c r="R324" s="23"/>
      <c r="T324" s="23"/>
      <c r="V324" s="23"/>
      <c r="X324" s="23"/>
      <c r="Z324" s="23"/>
      <c r="AD324" s="11"/>
    </row>
    <row r="325" spans="1:30" ht="13.8">
      <c r="A325" s="23"/>
      <c r="B325" s="23"/>
      <c r="D325" s="23"/>
      <c r="F325" s="23"/>
      <c r="H325" s="23"/>
      <c r="J325" s="23"/>
      <c r="L325" s="23"/>
      <c r="M325" s="23"/>
      <c r="N325" s="23"/>
      <c r="P325" s="23"/>
      <c r="R325" s="23"/>
      <c r="T325" s="23"/>
      <c r="V325" s="23"/>
      <c r="X325" s="23"/>
      <c r="Z325" s="23"/>
      <c r="AD325" s="11"/>
    </row>
    <row r="326" spans="1:30" ht="13.8">
      <c r="A326" s="23"/>
      <c r="B326" s="23"/>
      <c r="D326" s="23"/>
      <c r="F326" s="23"/>
      <c r="H326" s="23"/>
      <c r="J326" s="23"/>
      <c r="L326" s="23"/>
      <c r="M326" s="23"/>
      <c r="N326" s="23"/>
      <c r="P326" s="23"/>
      <c r="R326" s="23"/>
      <c r="T326" s="23"/>
      <c r="V326" s="23"/>
      <c r="X326" s="23"/>
      <c r="Z326" s="23"/>
      <c r="AD326" s="11"/>
    </row>
    <row r="327" spans="1:30" ht="13.8">
      <c r="A327" s="23"/>
      <c r="B327" s="23"/>
      <c r="D327" s="23"/>
      <c r="F327" s="23"/>
      <c r="H327" s="23"/>
      <c r="J327" s="23"/>
      <c r="L327" s="23"/>
      <c r="M327" s="23"/>
      <c r="N327" s="23"/>
      <c r="P327" s="23"/>
      <c r="R327" s="23"/>
      <c r="T327" s="23"/>
      <c r="V327" s="23"/>
      <c r="X327" s="23"/>
      <c r="Z327" s="23"/>
      <c r="AD327" s="10"/>
    </row>
    <row r="328" spans="1:30" ht="13.8">
      <c r="A328" s="23"/>
      <c r="B328" s="23"/>
      <c r="D328" s="23"/>
      <c r="F328" s="23"/>
      <c r="H328" s="23"/>
      <c r="J328" s="23"/>
      <c r="L328" s="23"/>
      <c r="M328" s="23"/>
      <c r="N328" s="23"/>
      <c r="P328" s="23"/>
      <c r="R328" s="23"/>
      <c r="T328" s="23"/>
      <c r="V328" s="23"/>
      <c r="X328" s="23"/>
      <c r="Z328" s="23"/>
      <c r="AD328" s="10"/>
    </row>
    <row r="329" spans="1:30" ht="13.8">
      <c r="A329" s="23"/>
      <c r="B329" s="23"/>
      <c r="D329" s="23"/>
      <c r="F329" s="23"/>
      <c r="H329" s="23"/>
      <c r="J329" s="23"/>
      <c r="L329" s="23"/>
      <c r="M329" s="23"/>
      <c r="N329" s="23"/>
      <c r="P329" s="23"/>
      <c r="R329" s="23"/>
      <c r="T329" s="23"/>
      <c r="V329" s="23"/>
      <c r="X329" s="23"/>
      <c r="Z329" s="23"/>
      <c r="AD329" s="10"/>
    </row>
    <row r="330" spans="1:30" ht="13.8">
      <c r="A330" s="23"/>
      <c r="B330" s="23"/>
      <c r="D330" s="23"/>
      <c r="F330" s="23"/>
      <c r="H330" s="23"/>
      <c r="J330" s="23"/>
      <c r="L330" s="23"/>
      <c r="M330" s="23"/>
      <c r="N330" s="23"/>
      <c r="P330" s="23"/>
      <c r="R330" s="23"/>
      <c r="T330" s="23"/>
      <c r="V330" s="23"/>
      <c r="X330" s="23"/>
      <c r="Z330" s="23"/>
      <c r="AD330" s="10"/>
    </row>
    <row r="331" spans="1:30" ht="13.8">
      <c r="A331" s="23"/>
      <c r="B331" s="23"/>
      <c r="D331" s="23"/>
      <c r="F331" s="23"/>
      <c r="H331" s="23"/>
      <c r="J331" s="23"/>
      <c r="L331" s="23"/>
      <c r="M331" s="23"/>
      <c r="N331" s="23"/>
      <c r="P331" s="23"/>
      <c r="R331" s="23"/>
      <c r="T331" s="23"/>
      <c r="V331" s="23"/>
      <c r="X331" s="23"/>
      <c r="Z331" s="23"/>
      <c r="AD331" s="10"/>
    </row>
    <row r="332" spans="1:30" ht="13.8">
      <c r="A332" s="23"/>
      <c r="B332" s="23"/>
      <c r="D332" s="23"/>
      <c r="F332" s="23"/>
      <c r="H332" s="23"/>
      <c r="J332" s="23"/>
      <c r="L332" s="23"/>
      <c r="M332" s="23"/>
      <c r="N332" s="23"/>
      <c r="P332" s="23"/>
      <c r="R332" s="23"/>
      <c r="T332" s="23"/>
      <c r="V332" s="23"/>
      <c r="X332" s="23"/>
      <c r="Z332" s="23"/>
      <c r="AD332" s="10"/>
    </row>
    <row r="333" spans="1:30" ht="13.8">
      <c r="A333" s="23"/>
      <c r="B333" s="23"/>
      <c r="D333" s="23"/>
      <c r="F333" s="23"/>
      <c r="H333" s="23"/>
      <c r="J333" s="23"/>
      <c r="L333" s="23"/>
      <c r="M333" s="23"/>
      <c r="N333" s="23"/>
      <c r="P333" s="23"/>
      <c r="R333" s="23"/>
      <c r="T333" s="23"/>
      <c r="V333" s="23"/>
      <c r="X333" s="23"/>
      <c r="Z333" s="23"/>
      <c r="AD333" s="10"/>
    </row>
    <row r="334" spans="1:30" ht="13.8">
      <c r="A334" s="23"/>
      <c r="B334" s="23"/>
      <c r="D334" s="23"/>
      <c r="F334" s="23"/>
      <c r="H334" s="23"/>
      <c r="J334" s="23"/>
      <c r="L334" s="23"/>
      <c r="M334" s="23"/>
      <c r="N334" s="23"/>
      <c r="P334" s="23"/>
      <c r="R334" s="23"/>
      <c r="T334" s="23"/>
      <c r="V334" s="23"/>
      <c r="X334" s="23"/>
      <c r="Z334" s="23"/>
      <c r="AD334" s="10"/>
    </row>
    <row r="335" spans="1:30" ht="13.8">
      <c r="A335" s="23"/>
      <c r="B335" s="23"/>
      <c r="D335" s="23"/>
      <c r="F335" s="23"/>
      <c r="H335" s="23"/>
      <c r="J335" s="23"/>
      <c r="L335" s="23"/>
      <c r="M335" s="23"/>
      <c r="N335" s="23"/>
      <c r="P335" s="23"/>
      <c r="R335" s="23"/>
      <c r="T335" s="23"/>
      <c r="V335" s="23"/>
      <c r="X335" s="23"/>
      <c r="Z335" s="23"/>
      <c r="AD335" s="10"/>
    </row>
    <row r="336" spans="1:30" ht="13.8">
      <c r="A336" s="23"/>
      <c r="B336" s="23"/>
      <c r="D336" s="23"/>
      <c r="F336" s="23"/>
      <c r="H336" s="23"/>
      <c r="J336" s="23"/>
      <c r="L336" s="23"/>
      <c r="M336" s="23"/>
      <c r="N336" s="23"/>
      <c r="P336" s="23"/>
      <c r="R336" s="23"/>
      <c r="T336" s="23"/>
      <c r="V336" s="23"/>
      <c r="X336" s="23"/>
      <c r="Z336" s="23"/>
      <c r="AD336" s="10"/>
    </row>
    <row r="337" spans="1:30" ht="13.8">
      <c r="A337" s="23"/>
      <c r="B337" s="23"/>
      <c r="D337" s="23"/>
      <c r="F337" s="23"/>
      <c r="H337" s="23"/>
      <c r="J337" s="23"/>
      <c r="L337" s="23"/>
      <c r="M337" s="23"/>
      <c r="N337" s="23"/>
      <c r="P337" s="23"/>
      <c r="R337" s="23"/>
      <c r="T337" s="23"/>
      <c r="V337" s="23"/>
      <c r="X337" s="23"/>
      <c r="Z337" s="23"/>
      <c r="AD337" s="10"/>
    </row>
    <row r="338" spans="1:30" ht="13.8">
      <c r="A338" s="23"/>
      <c r="B338" s="23"/>
      <c r="D338" s="23"/>
      <c r="F338" s="23"/>
      <c r="H338" s="23"/>
      <c r="J338" s="23"/>
      <c r="L338" s="23"/>
      <c r="M338" s="23"/>
      <c r="N338" s="23"/>
      <c r="P338" s="23"/>
      <c r="R338" s="23"/>
      <c r="T338" s="23"/>
      <c r="V338" s="23"/>
      <c r="X338" s="23"/>
      <c r="Z338" s="23"/>
      <c r="AD338" s="10"/>
    </row>
    <row r="339" spans="1:30" ht="13.8">
      <c r="A339" s="23"/>
      <c r="B339" s="23"/>
      <c r="D339" s="23"/>
      <c r="F339" s="23"/>
      <c r="H339" s="23"/>
      <c r="J339" s="23"/>
      <c r="L339" s="23"/>
      <c r="M339" s="23"/>
      <c r="N339" s="23"/>
      <c r="P339" s="23"/>
      <c r="R339" s="23"/>
      <c r="T339" s="23"/>
      <c r="V339" s="23"/>
      <c r="X339" s="23"/>
      <c r="Z339" s="23"/>
      <c r="AD339" s="10"/>
    </row>
    <row r="340" spans="1:30" ht="13.8">
      <c r="A340" s="23"/>
      <c r="B340" s="23"/>
      <c r="D340" s="23"/>
      <c r="F340" s="23"/>
      <c r="H340" s="23"/>
      <c r="J340" s="23"/>
      <c r="L340" s="23"/>
      <c r="M340" s="23"/>
      <c r="N340" s="23"/>
      <c r="P340" s="23"/>
      <c r="R340" s="23"/>
      <c r="T340" s="23"/>
      <c r="V340" s="23"/>
      <c r="X340" s="23"/>
      <c r="Z340" s="23"/>
      <c r="AD340" s="10"/>
    </row>
    <row r="341" spans="1:30" ht="13.8">
      <c r="A341" s="23"/>
      <c r="B341" s="23"/>
      <c r="D341" s="23"/>
      <c r="F341" s="23"/>
      <c r="H341" s="23"/>
      <c r="J341" s="23"/>
      <c r="L341" s="23"/>
      <c r="M341" s="23"/>
      <c r="N341" s="23"/>
      <c r="P341" s="23"/>
      <c r="R341" s="23"/>
      <c r="T341" s="23"/>
      <c r="V341" s="23"/>
      <c r="X341" s="23"/>
      <c r="Z341" s="23"/>
      <c r="AD341" s="10"/>
    </row>
    <row r="342" spans="1:30" ht="13.2">
      <c r="A342" s="23"/>
      <c r="B342" s="23"/>
      <c r="D342" s="23"/>
      <c r="F342" s="23"/>
      <c r="H342" s="23"/>
      <c r="J342" s="23"/>
      <c r="L342" s="23"/>
      <c r="M342" s="23"/>
      <c r="N342" s="23"/>
      <c r="P342" s="23"/>
      <c r="R342" s="23"/>
      <c r="T342" s="23"/>
      <c r="V342" s="23"/>
      <c r="X342" s="23"/>
      <c r="Z342" s="23"/>
    </row>
    <row r="343" spans="1:30" ht="13.2">
      <c r="A343" s="23"/>
      <c r="B343" s="23"/>
      <c r="D343" s="23"/>
      <c r="F343" s="23"/>
      <c r="H343" s="23"/>
      <c r="J343" s="23"/>
      <c r="L343" s="23"/>
      <c r="M343" s="23"/>
      <c r="N343" s="23"/>
      <c r="P343" s="23"/>
      <c r="R343" s="23"/>
      <c r="T343" s="23"/>
      <c r="V343" s="23"/>
      <c r="X343" s="23"/>
      <c r="Z343" s="23"/>
    </row>
    <row r="344" spans="1:30" ht="13.2">
      <c r="A344" s="23"/>
      <c r="B344" s="23"/>
      <c r="D344" s="23"/>
      <c r="F344" s="23"/>
      <c r="H344" s="23"/>
      <c r="J344" s="23"/>
      <c r="L344" s="23"/>
      <c r="M344" s="23"/>
      <c r="N344" s="23"/>
      <c r="P344" s="23"/>
      <c r="R344" s="23"/>
      <c r="T344" s="23"/>
      <c r="V344" s="23"/>
      <c r="X344" s="23"/>
      <c r="Z344" s="23"/>
    </row>
    <row r="345" spans="1:30" ht="13.2">
      <c r="A345" s="23"/>
      <c r="B345" s="23"/>
      <c r="D345" s="23"/>
      <c r="F345" s="23"/>
      <c r="H345" s="23"/>
      <c r="J345" s="23"/>
      <c r="L345" s="23"/>
      <c r="M345" s="23"/>
      <c r="N345" s="23"/>
      <c r="P345" s="23"/>
      <c r="R345" s="23"/>
      <c r="T345" s="23"/>
      <c r="V345" s="23"/>
      <c r="X345" s="23"/>
      <c r="Z345" s="23"/>
    </row>
    <row r="346" spans="1:30" ht="13.2">
      <c r="A346" s="23"/>
      <c r="B346" s="23"/>
      <c r="D346" s="23"/>
      <c r="F346" s="23"/>
      <c r="H346" s="23"/>
      <c r="J346" s="23"/>
      <c r="L346" s="23"/>
      <c r="M346" s="23"/>
      <c r="N346" s="23"/>
      <c r="P346" s="23"/>
      <c r="R346" s="23"/>
      <c r="T346" s="23"/>
      <c r="V346" s="23"/>
      <c r="X346" s="23"/>
      <c r="Z346" s="23"/>
    </row>
    <row r="347" spans="1:30" ht="13.2">
      <c r="A347" s="23"/>
      <c r="B347" s="23"/>
      <c r="D347" s="23"/>
      <c r="F347" s="23"/>
      <c r="H347" s="23"/>
      <c r="J347" s="23"/>
      <c r="L347" s="23"/>
      <c r="M347" s="23"/>
      <c r="N347" s="23"/>
      <c r="P347" s="23"/>
      <c r="R347" s="23"/>
      <c r="T347" s="23"/>
      <c r="V347" s="23"/>
      <c r="X347" s="23"/>
      <c r="Z347" s="23"/>
    </row>
    <row r="348" spans="1:30" ht="13.2">
      <c r="A348" s="23"/>
      <c r="B348" s="23"/>
      <c r="D348" s="23"/>
      <c r="F348" s="23"/>
      <c r="H348" s="23"/>
      <c r="J348" s="23"/>
      <c r="L348" s="23"/>
      <c r="M348" s="23"/>
      <c r="N348" s="23"/>
      <c r="P348" s="23"/>
      <c r="R348" s="23"/>
      <c r="T348" s="23"/>
      <c r="V348" s="23"/>
      <c r="X348" s="23"/>
      <c r="Z348" s="23"/>
    </row>
    <row r="349" spans="1:30" ht="13.2">
      <c r="A349" s="23"/>
      <c r="B349" s="23"/>
      <c r="D349" s="23"/>
      <c r="F349" s="23"/>
      <c r="H349" s="23"/>
      <c r="J349" s="23"/>
      <c r="L349" s="23"/>
      <c r="M349" s="23"/>
      <c r="N349" s="23"/>
      <c r="P349" s="23"/>
      <c r="R349" s="23"/>
      <c r="T349" s="23"/>
      <c r="V349" s="23"/>
      <c r="X349" s="23"/>
      <c r="Z349" s="23"/>
    </row>
    <row r="350" spans="1:30" ht="13.2">
      <c r="A350" s="23"/>
      <c r="B350" s="23"/>
      <c r="D350" s="23"/>
      <c r="F350" s="23"/>
      <c r="H350" s="23"/>
      <c r="J350" s="23"/>
      <c r="L350" s="23"/>
      <c r="M350" s="23"/>
      <c r="N350" s="23"/>
      <c r="P350" s="23"/>
      <c r="R350" s="23"/>
      <c r="T350" s="23"/>
      <c r="V350" s="23"/>
      <c r="X350" s="23"/>
      <c r="Z350" s="23"/>
    </row>
    <row r="351" spans="1:30" ht="13.2">
      <c r="A351" s="23"/>
      <c r="B351" s="23"/>
      <c r="D351" s="23"/>
      <c r="F351" s="23"/>
      <c r="H351" s="23"/>
      <c r="J351" s="23"/>
      <c r="L351" s="23"/>
      <c r="M351" s="23"/>
      <c r="N351" s="23"/>
      <c r="P351" s="23"/>
      <c r="R351" s="23"/>
      <c r="T351" s="23"/>
      <c r="V351" s="23"/>
      <c r="X351" s="23"/>
      <c r="Z351" s="23"/>
    </row>
    <row r="352" spans="1:30" ht="13.2">
      <c r="A352" s="23"/>
      <c r="B352" s="23"/>
      <c r="D352" s="23"/>
      <c r="F352" s="23"/>
      <c r="H352" s="23"/>
      <c r="J352" s="23"/>
      <c r="L352" s="23"/>
      <c r="M352" s="23"/>
      <c r="N352" s="23"/>
      <c r="P352" s="23"/>
      <c r="R352" s="23"/>
      <c r="T352" s="23"/>
      <c r="V352" s="23"/>
      <c r="X352" s="23"/>
      <c r="Z352" s="23"/>
    </row>
    <row r="353" spans="1:26" ht="13.2">
      <c r="A353" s="23"/>
      <c r="B353" s="23"/>
      <c r="D353" s="23"/>
      <c r="F353" s="23"/>
      <c r="H353" s="23"/>
      <c r="J353" s="23"/>
      <c r="L353" s="23"/>
      <c r="M353" s="23"/>
      <c r="N353" s="23"/>
      <c r="P353" s="23"/>
      <c r="R353" s="23"/>
      <c r="T353" s="23"/>
      <c r="V353" s="23"/>
      <c r="X353" s="23"/>
      <c r="Z353" s="23"/>
    </row>
    <row r="354" spans="1:26" ht="13.2">
      <c r="A354" s="23"/>
      <c r="B354" s="23"/>
      <c r="D354" s="23"/>
      <c r="F354" s="23"/>
      <c r="H354" s="23"/>
      <c r="J354" s="23"/>
      <c r="L354" s="23"/>
      <c r="M354" s="23"/>
      <c r="N354" s="23"/>
      <c r="P354" s="23"/>
      <c r="R354" s="23"/>
      <c r="T354" s="23"/>
      <c r="V354" s="23"/>
      <c r="X354" s="23"/>
      <c r="Z354" s="23"/>
    </row>
    <row r="355" spans="1:26" ht="13.2">
      <c r="A355" s="23"/>
      <c r="B355" s="23"/>
      <c r="D355" s="23"/>
      <c r="F355" s="23"/>
      <c r="H355" s="23"/>
      <c r="J355" s="23"/>
      <c r="L355" s="23"/>
      <c r="M355" s="23"/>
      <c r="N355" s="23"/>
      <c r="P355" s="23"/>
      <c r="R355" s="23"/>
      <c r="T355" s="23"/>
      <c r="V355" s="23"/>
      <c r="X355" s="23"/>
      <c r="Z355" s="23"/>
    </row>
    <row r="356" spans="1:26" ht="13.2">
      <c r="A356" s="23"/>
      <c r="B356" s="23"/>
      <c r="D356" s="23"/>
      <c r="F356" s="23"/>
      <c r="H356" s="23"/>
      <c r="J356" s="23"/>
      <c r="L356" s="23"/>
      <c r="M356" s="23"/>
      <c r="N356" s="23"/>
      <c r="P356" s="23"/>
      <c r="R356" s="23"/>
      <c r="T356" s="23"/>
      <c r="V356" s="23"/>
      <c r="X356" s="23"/>
      <c r="Z356" s="23"/>
    </row>
    <row r="357" spans="1:26" ht="13.2">
      <c r="A357" s="23"/>
      <c r="B357" s="23"/>
      <c r="D357" s="23"/>
      <c r="F357" s="23"/>
      <c r="H357" s="23"/>
      <c r="J357" s="23"/>
      <c r="L357" s="23"/>
      <c r="M357" s="23"/>
      <c r="N357" s="23"/>
      <c r="P357" s="23"/>
      <c r="R357" s="23"/>
      <c r="T357" s="23"/>
      <c r="V357" s="23"/>
      <c r="X357" s="23"/>
      <c r="Z357" s="23"/>
    </row>
    <row r="358" spans="1:26" ht="13.2">
      <c r="A358" s="23"/>
      <c r="B358" s="23"/>
      <c r="D358" s="23"/>
      <c r="F358" s="23"/>
      <c r="H358" s="23"/>
      <c r="J358" s="23"/>
      <c r="L358" s="23"/>
      <c r="M358" s="23"/>
      <c r="N358" s="23"/>
      <c r="P358" s="23"/>
      <c r="R358" s="23"/>
      <c r="T358" s="23"/>
      <c r="V358" s="23"/>
      <c r="X358" s="23"/>
      <c r="Z358" s="23"/>
    </row>
    <row r="359" spans="1:26" ht="13.2">
      <c r="A359" s="23"/>
      <c r="B359" s="23"/>
      <c r="D359" s="23"/>
      <c r="F359" s="23"/>
      <c r="H359" s="23"/>
      <c r="J359" s="23"/>
      <c r="L359" s="23"/>
      <c r="M359" s="23"/>
      <c r="N359" s="23"/>
      <c r="P359" s="23"/>
      <c r="R359" s="23"/>
      <c r="T359" s="23"/>
      <c r="V359" s="23"/>
      <c r="X359" s="23"/>
      <c r="Z359" s="23"/>
    </row>
    <row r="360" spans="1:26" ht="13.2">
      <c r="A360" s="23"/>
      <c r="B360" s="23"/>
      <c r="D360" s="23"/>
      <c r="F360" s="23"/>
      <c r="H360" s="23"/>
      <c r="J360" s="23"/>
      <c r="L360" s="23"/>
      <c r="M360" s="23"/>
      <c r="N360" s="23"/>
      <c r="P360" s="23"/>
      <c r="R360" s="23"/>
      <c r="T360" s="23"/>
      <c r="V360" s="23"/>
      <c r="X360" s="23"/>
      <c r="Z360" s="23"/>
    </row>
    <row r="361" spans="1:26" ht="13.2">
      <c r="A361" s="23"/>
      <c r="B361" s="23"/>
      <c r="D361" s="23"/>
      <c r="F361" s="23"/>
      <c r="H361" s="23"/>
      <c r="J361" s="23"/>
      <c r="L361" s="23"/>
      <c r="M361" s="23"/>
      <c r="N361" s="23"/>
      <c r="P361" s="23"/>
      <c r="R361" s="23"/>
      <c r="T361" s="23"/>
      <c r="V361" s="23"/>
      <c r="X361" s="23"/>
      <c r="Z361" s="23"/>
    </row>
    <row r="362" spans="1:26" ht="13.2">
      <c r="A362" s="23"/>
      <c r="B362" s="23"/>
      <c r="D362" s="23"/>
      <c r="F362" s="23"/>
      <c r="H362" s="23"/>
      <c r="J362" s="23"/>
      <c r="L362" s="23"/>
      <c r="M362" s="23"/>
      <c r="N362" s="23"/>
      <c r="P362" s="23"/>
      <c r="R362" s="23"/>
      <c r="T362" s="23"/>
      <c r="V362" s="23"/>
      <c r="X362" s="23"/>
      <c r="Z362" s="23"/>
    </row>
    <row r="363" spans="1:26" ht="13.2">
      <c r="A363" s="23"/>
      <c r="B363" s="23"/>
      <c r="D363" s="23"/>
      <c r="F363" s="23"/>
      <c r="H363" s="23"/>
      <c r="J363" s="23"/>
      <c r="L363" s="23"/>
      <c r="M363" s="23"/>
      <c r="N363" s="23"/>
      <c r="P363" s="23"/>
      <c r="R363" s="23"/>
      <c r="T363" s="23"/>
      <c r="V363" s="23"/>
      <c r="X363" s="23"/>
      <c r="Z363" s="23"/>
    </row>
    <row r="364" spans="1:26" ht="13.2">
      <c r="A364" s="23"/>
      <c r="B364" s="23"/>
      <c r="D364" s="23"/>
      <c r="F364" s="23"/>
      <c r="H364" s="23"/>
      <c r="J364" s="23"/>
      <c r="L364" s="23"/>
      <c r="M364" s="23"/>
      <c r="N364" s="23"/>
      <c r="P364" s="23"/>
      <c r="R364" s="23"/>
      <c r="T364" s="23"/>
      <c r="V364" s="23"/>
      <c r="X364" s="23"/>
      <c r="Z364" s="23"/>
    </row>
    <row r="365" spans="1:26" ht="13.2">
      <c r="A365" s="23"/>
      <c r="B365" s="23"/>
      <c r="D365" s="23"/>
      <c r="F365" s="23"/>
      <c r="H365" s="23"/>
      <c r="J365" s="23"/>
      <c r="L365" s="23"/>
      <c r="M365" s="23"/>
      <c r="N365" s="23"/>
      <c r="P365" s="23"/>
      <c r="R365" s="23"/>
      <c r="T365" s="23"/>
      <c r="V365" s="23"/>
      <c r="X365" s="23"/>
      <c r="Z365" s="23"/>
    </row>
    <row r="366" spans="1:26" ht="13.2">
      <c r="A366" s="23"/>
      <c r="B366" s="23"/>
      <c r="D366" s="23"/>
      <c r="F366" s="23"/>
      <c r="H366" s="23"/>
      <c r="J366" s="23"/>
      <c r="L366" s="23"/>
      <c r="M366" s="23"/>
      <c r="N366" s="23"/>
      <c r="P366" s="23"/>
      <c r="R366" s="23"/>
      <c r="T366" s="23"/>
      <c r="V366" s="23"/>
      <c r="X366" s="23"/>
      <c r="Z366" s="23"/>
    </row>
    <row r="367" spans="1:26" ht="13.2">
      <c r="A367" s="23"/>
      <c r="B367" s="23"/>
      <c r="D367" s="23"/>
      <c r="F367" s="23"/>
      <c r="H367" s="23"/>
      <c r="J367" s="23"/>
      <c r="L367" s="23"/>
      <c r="M367" s="23"/>
      <c r="N367" s="23"/>
      <c r="P367" s="23"/>
      <c r="R367" s="23"/>
      <c r="T367" s="23"/>
      <c r="V367" s="23"/>
      <c r="X367" s="23"/>
      <c r="Z367" s="23"/>
    </row>
    <row r="368" spans="1:26" ht="13.2">
      <c r="A368" s="23"/>
      <c r="B368" s="23"/>
      <c r="D368" s="23"/>
      <c r="F368" s="23"/>
      <c r="H368" s="23"/>
      <c r="J368" s="23"/>
      <c r="L368" s="23"/>
      <c r="M368" s="23"/>
      <c r="N368" s="23"/>
      <c r="P368" s="23"/>
      <c r="R368" s="23"/>
      <c r="T368" s="23"/>
      <c r="V368" s="23"/>
      <c r="X368" s="23"/>
      <c r="Z368" s="23"/>
    </row>
    <row r="369" spans="1:26" ht="13.2">
      <c r="A369" s="23"/>
      <c r="B369" s="23"/>
      <c r="D369" s="23"/>
      <c r="F369" s="23"/>
      <c r="H369" s="23"/>
      <c r="J369" s="23"/>
      <c r="L369" s="23"/>
      <c r="M369" s="23"/>
      <c r="N369" s="23"/>
      <c r="P369" s="23"/>
      <c r="R369" s="23"/>
      <c r="T369" s="23"/>
      <c r="V369" s="23"/>
      <c r="X369" s="23"/>
      <c r="Z369" s="23"/>
    </row>
    <row r="370" spans="1:26" ht="13.2">
      <c r="A370" s="23"/>
      <c r="B370" s="23"/>
      <c r="D370" s="23"/>
      <c r="F370" s="23"/>
      <c r="H370" s="23"/>
      <c r="J370" s="23"/>
      <c r="L370" s="23"/>
      <c r="M370" s="23"/>
      <c r="N370" s="23"/>
      <c r="P370" s="23"/>
      <c r="R370" s="23"/>
      <c r="T370" s="23"/>
      <c r="V370" s="23"/>
      <c r="X370" s="23"/>
      <c r="Z370" s="23"/>
    </row>
    <row r="371" spans="1:26" ht="13.2">
      <c r="A371" s="23"/>
      <c r="B371" s="23"/>
      <c r="D371" s="23"/>
      <c r="F371" s="23"/>
      <c r="H371" s="23"/>
      <c r="J371" s="23"/>
      <c r="L371" s="23"/>
      <c r="M371" s="23"/>
      <c r="N371" s="23"/>
      <c r="P371" s="23"/>
      <c r="R371" s="23"/>
      <c r="T371" s="23"/>
      <c r="V371" s="23"/>
      <c r="X371" s="23"/>
      <c r="Z371" s="23"/>
    </row>
    <row r="372" spans="1:26" ht="13.2">
      <c r="A372" s="23"/>
      <c r="B372" s="23"/>
      <c r="D372" s="23"/>
      <c r="F372" s="23"/>
      <c r="H372" s="23"/>
      <c r="J372" s="23"/>
      <c r="L372" s="23"/>
      <c r="M372" s="23"/>
      <c r="N372" s="23"/>
      <c r="P372" s="23"/>
      <c r="R372" s="23"/>
      <c r="T372" s="23"/>
      <c r="V372" s="23"/>
      <c r="X372" s="23"/>
      <c r="Z372" s="23"/>
    </row>
    <row r="373" spans="1:26" ht="13.2">
      <c r="A373" s="23"/>
      <c r="B373" s="23"/>
      <c r="D373" s="23"/>
      <c r="F373" s="23"/>
      <c r="H373" s="23"/>
      <c r="J373" s="23"/>
      <c r="L373" s="23"/>
      <c r="M373" s="23"/>
      <c r="N373" s="23"/>
      <c r="P373" s="23"/>
      <c r="R373" s="23"/>
      <c r="T373" s="23"/>
      <c r="V373" s="23"/>
      <c r="X373" s="23"/>
      <c r="Z373" s="23"/>
    </row>
    <row r="374" spans="1:26" ht="13.2">
      <c r="A374" s="23"/>
      <c r="B374" s="23"/>
      <c r="D374" s="23"/>
      <c r="F374" s="23"/>
      <c r="H374" s="23"/>
      <c r="J374" s="23"/>
      <c r="L374" s="23"/>
      <c r="M374" s="23"/>
      <c r="N374" s="23"/>
      <c r="P374" s="23"/>
      <c r="R374" s="23"/>
      <c r="T374" s="23"/>
      <c r="V374" s="23"/>
      <c r="X374" s="23"/>
      <c r="Z374" s="23"/>
    </row>
    <row r="375" spans="1:26" ht="13.2">
      <c r="A375" s="23"/>
      <c r="B375" s="23"/>
      <c r="D375" s="23"/>
      <c r="F375" s="23"/>
      <c r="H375" s="23"/>
      <c r="J375" s="23"/>
      <c r="L375" s="23"/>
      <c r="M375" s="23"/>
      <c r="N375" s="23"/>
      <c r="P375" s="23"/>
      <c r="R375" s="23"/>
      <c r="T375" s="23"/>
      <c r="V375" s="23"/>
      <c r="X375" s="23"/>
      <c r="Z375" s="23"/>
    </row>
    <row r="376" spans="1:26" ht="13.2">
      <c r="A376" s="23"/>
      <c r="B376" s="23"/>
      <c r="D376" s="23"/>
      <c r="F376" s="23"/>
      <c r="H376" s="23"/>
      <c r="J376" s="23"/>
      <c r="L376" s="23"/>
      <c r="M376" s="23"/>
      <c r="N376" s="23"/>
      <c r="P376" s="23"/>
      <c r="R376" s="23"/>
      <c r="T376" s="23"/>
      <c r="V376" s="23"/>
      <c r="X376" s="23"/>
      <c r="Z376" s="23"/>
    </row>
    <row r="377" spans="1:26" ht="13.2">
      <c r="A377" s="23"/>
      <c r="B377" s="23"/>
      <c r="D377" s="23"/>
      <c r="F377" s="23"/>
      <c r="H377" s="23"/>
      <c r="J377" s="23"/>
      <c r="L377" s="23"/>
      <c r="M377" s="23"/>
      <c r="N377" s="23"/>
      <c r="P377" s="23"/>
      <c r="R377" s="23"/>
      <c r="T377" s="23"/>
      <c r="V377" s="23"/>
      <c r="X377" s="23"/>
      <c r="Z377" s="23"/>
    </row>
    <row r="378" spans="1:26" ht="13.2">
      <c r="A378" s="23"/>
      <c r="B378" s="23"/>
      <c r="D378" s="23"/>
      <c r="F378" s="23"/>
      <c r="H378" s="23"/>
      <c r="J378" s="23"/>
      <c r="L378" s="23"/>
      <c r="M378" s="23"/>
      <c r="N378" s="23"/>
      <c r="P378" s="23"/>
      <c r="R378" s="23"/>
      <c r="T378" s="23"/>
      <c r="V378" s="23"/>
      <c r="X378" s="23"/>
      <c r="Z378" s="23"/>
    </row>
    <row r="379" spans="1:26" ht="13.2">
      <c r="A379" s="23"/>
      <c r="B379" s="23"/>
      <c r="D379" s="23"/>
      <c r="F379" s="23"/>
      <c r="H379" s="23"/>
      <c r="J379" s="23"/>
      <c r="L379" s="23"/>
      <c r="M379" s="23"/>
      <c r="N379" s="23"/>
      <c r="P379" s="23"/>
      <c r="R379" s="23"/>
      <c r="T379" s="23"/>
      <c r="V379" s="23"/>
      <c r="X379" s="23"/>
      <c r="Z379" s="23"/>
    </row>
    <row r="380" spans="1:26" ht="13.2">
      <c r="A380" s="23"/>
      <c r="B380" s="23"/>
      <c r="D380" s="23"/>
      <c r="F380" s="23"/>
      <c r="H380" s="23"/>
      <c r="J380" s="23"/>
      <c r="L380" s="23"/>
      <c r="M380" s="23"/>
      <c r="N380" s="23"/>
      <c r="P380" s="23"/>
      <c r="R380" s="23"/>
      <c r="T380" s="23"/>
      <c r="V380" s="23"/>
      <c r="X380" s="23"/>
      <c r="Z380" s="23"/>
    </row>
    <row r="381" spans="1:26" ht="13.2">
      <c r="A381" s="23"/>
      <c r="B381" s="23"/>
      <c r="D381" s="23"/>
      <c r="F381" s="23"/>
      <c r="H381" s="23"/>
      <c r="J381" s="23"/>
      <c r="L381" s="23"/>
      <c r="M381" s="23"/>
      <c r="N381" s="23"/>
      <c r="P381" s="23"/>
      <c r="R381" s="23"/>
      <c r="T381" s="23"/>
      <c r="V381" s="23"/>
      <c r="X381" s="23"/>
      <c r="Z381" s="23"/>
    </row>
    <row r="382" spans="1:26" ht="13.2">
      <c r="A382" s="23"/>
      <c r="B382" s="23"/>
      <c r="D382" s="23"/>
      <c r="F382" s="23"/>
      <c r="H382" s="23"/>
      <c r="J382" s="23"/>
      <c r="L382" s="23"/>
      <c r="M382" s="23"/>
      <c r="N382" s="23"/>
      <c r="P382" s="23"/>
      <c r="R382" s="23"/>
      <c r="T382" s="23"/>
      <c r="V382" s="23"/>
      <c r="X382" s="23"/>
      <c r="Z382" s="23"/>
    </row>
    <row r="383" spans="1:26" ht="13.2">
      <c r="A383" s="23"/>
      <c r="B383" s="23"/>
      <c r="D383" s="23"/>
      <c r="F383" s="23"/>
      <c r="H383" s="23"/>
      <c r="J383" s="23"/>
      <c r="L383" s="23"/>
      <c r="M383" s="23"/>
      <c r="N383" s="23"/>
      <c r="P383" s="23"/>
      <c r="R383" s="23"/>
      <c r="T383" s="23"/>
      <c r="V383" s="23"/>
      <c r="X383" s="23"/>
      <c r="Z383" s="23"/>
    </row>
    <row r="384" spans="1:26" ht="13.2">
      <c r="A384" s="23"/>
      <c r="B384" s="23"/>
      <c r="D384" s="23"/>
      <c r="F384" s="23"/>
      <c r="H384" s="23"/>
      <c r="J384" s="23"/>
      <c r="L384" s="23"/>
      <c r="M384" s="23"/>
      <c r="N384" s="23"/>
      <c r="P384" s="23"/>
      <c r="R384" s="23"/>
      <c r="T384" s="23"/>
      <c r="V384" s="23"/>
      <c r="X384" s="23"/>
      <c r="Z384" s="23"/>
    </row>
    <row r="385" spans="1:26" ht="13.2">
      <c r="A385" s="23"/>
      <c r="B385" s="23"/>
      <c r="D385" s="23"/>
      <c r="F385" s="23"/>
      <c r="H385" s="23"/>
      <c r="J385" s="23"/>
      <c r="L385" s="23"/>
      <c r="M385" s="23"/>
      <c r="N385" s="23"/>
      <c r="P385" s="23"/>
      <c r="R385" s="23"/>
      <c r="T385" s="23"/>
      <c r="V385" s="23"/>
      <c r="X385" s="23"/>
      <c r="Z385" s="23"/>
    </row>
    <row r="386" spans="1:26" ht="13.2">
      <c r="A386" s="23"/>
      <c r="B386" s="23"/>
      <c r="D386" s="23"/>
      <c r="F386" s="23"/>
      <c r="H386" s="23"/>
      <c r="J386" s="23"/>
      <c r="L386" s="23"/>
      <c r="M386" s="23"/>
      <c r="N386" s="23"/>
      <c r="P386" s="23"/>
      <c r="R386" s="23"/>
      <c r="T386" s="23"/>
      <c r="V386" s="23"/>
      <c r="X386" s="23"/>
      <c r="Z386" s="23"/>
    </row>
    <row r="387" spans="1:26" ht="13.2">
      <c r="A387" s="23"/>
      <c r="B387" s="23"/>
      <c r="D387" s="23"/>
      <c r="F387" s="23"/>
      <c r="H387" s="23"/>
      <c r="J387" s="23"/>
      <c r="L387" s="23"/>
      <c r="M387" s="23"/>
      <c r="N387" s="23"/>
      <c r="P387" s="23"/>
      <c r="R387" s="23"/>
      <c r="T387" s="23"/>
      <c r="V387" s="23"/>
      <c r="X387" s="23"/>
      <c r="Z387" s="23"/>
    </row>
    <row r="388" spans="1:26" ht="13.2">
      <c r="A388" s="23"/>
      <c r="B388" s="23"/>
      <c r="D388" s="23"/>
      <c r="F388" s="23"/>
      <c r="H388" s="23"/>
      <c r="J388" s="23"/>
      <c r="L388" s="23"/>
      <c r="M388" s="23"/>
      <c r="N388" s="23"/>
      <c r="P388" s="23"/>
      <c r="R388" s="23"/>
      <c r="T388" s="23"/>
      <c r="V388" s="23"/>
      <c r="X388" s="23"/>
      <c r="Z388" s="23"/>
    </row>
    <row r="389" spans="1:26" ht="13.2">
      <c r="A389" s="23"/>
      <c r="B389" s="23"/>
      <c r="D389" s="23"/>
      <c r="F389" s="23"/>
      <c r="H389" s="23"/>
      <c r="J389" s="23"/>
      <c r="L389" s="23"/>
      <c r="M389" s="23"/>
      <c r="N389" s="23"/>
      <c r="P389" s="23"/>
      <c r="R389" s="23"/>
      <c r="T389" s="23"/>
      <c r="V389" s="23"/>
      <c r="X389" s="23"/>
      <c r="Z389" s="23"/>
    </row>
    <row r="390" spans="1:26" ht="13.2">
      <c r="A390" s="23"/>
      <c r="B390" s="23"/>
      <c r="D390" s="23"/>
      <c r="F390" s="23"/>
      <c r="H390" s="23"/>
      <c r="J390" s="23"/>
      <c r="L390" s="23"/>
      <c r="M390" s="23"/>
      <c r="N390" s="23"/>
      <c r="P390" s="23"/>
      <c r="R390" s="23"/>
      <c r="T390" s="23"/>
      <c r="V390" s="23"/>
      <c r="X390" s="23"/>
      <c r="Z390" s="23"/>
    </row>
    <row r="391" spans="1:26" ht="13.2">
      <c r="A391" s="23"/>
      <c r="B391" s="23"/>
      <c r="D391" s="23"/>
      <c r="F391" s="23"/>
      <c r="H391" s="23"/>
      <c r="J391" s="23"/>
      <c r="L391" s="23"/>
      <c r="M391" s="23"/>
      <c r="N391" s="23"/>
      <c r="P391" s="23"/>
      <c r="R391" s="23"/>
      <c r="T391" s="23"/>
      <c r="V391" s="23"/>
      <c r="X391" s="23"/>
      <c r="Z391" s="23"/>
    </row>
    <row r="392" spans="1:26" ht="13.2">
      <c r="A392" s="23"/>
      <c r="B392" s="23"/>
      <c r="D392" s="23"/>
      <c r="F392" s="23"/>
      <c r="H392" s="23"/>
      <c r="J392" s="23"/>
      <c r="L392" s="23"/>
      <c r="M392" s="23"/>
      <c r="N392" s="23"/>
      <c r="P392" s="23"/>
      <c r="R392" s="23"/>
      <c r="T392" s="23"/>
      <c r="V392" s="23"/>
      <c r="X392" s="23"/>
      <c r="Z392" s="23"/>
    </row>
    <row r="393" spans="1:26" ht="13.2">
      <c r="A393" s="23"/>
      <c r="B393" s="23"/>
      <c r="D393" s="23"/>
      <c r="F393" s="23"/>
      <c r="H393" s="23"/>
      <c r="J393" s="23"/>
      <c r="L393" s="23"/>
      <c r="M393" s="23"/>
      <c r="N393" s="23"/>
      <c r="P393" s="23"/>
      <c r="R393" s="23"/>
      <c r="T393" s="23"/>
      <c r="V393" s="23"/>
      <c r="X393" s="23"/>
      <c r="Z393" s="23"/>
    </row>
    <row r="394" spans="1:26" ht="13.2">
      <c r="A394" s="23"/>
      <c r="B394" s="23"/>
      <c r="D394" s="23"/>
      <c r="F394" s="23"/>
      <c r="H394" s="23"/>
      <c r="J394" s="23"/>
      <c r="L394" s="23"/>
      <c r="M394" s="23"/>
      <c r="N394" s="23"/>
      <c r="P394" s="23"/>
      <c r="R394" s="23"/>
      <c r="T394" s="23"/>
      <c r="V394" s="23"/>
      <c r="X394" s="23"/>
      <c r="Z394" s="23"/>
    </row>
    <row r="395" spans="1:26" ht="13.2">
      <c r="A395" s="23"/>
      <c r="B395" s="23"/>
      <c r="D395" s="23"/>
      <c r="F395" s="23"/>
      <c r="H395" s="23"/>
      <c r="J395" s="23"/>
      <c r="L395" s="23"/>
      <c r="M395" s="23"/>
      <c r="N395" s="23"/>
      <c r="P395" s="23"/>
      <c r="R395" s="23"/>
      <c r="T395" s="23"/>
      <c r="V395" s="23"/>
      <c r="X395" s="23"/>
      <c r="Z395" s="23"/>
    </row>
    <row r="396" spans="1:26" ht="13.2">
      <c r="A396" s="23"/>
      <c r="B396" s="23"/>
      <c r="D396" s="23"/>
      <c r="F396" s="23"/>
      <c r="H396" s="23"/>
      <c r="J396" s="23"/>
      <c r="L396" s="23"/>
      <c r="M396" s="23"/>
      <c r="N396" s="23"/>
      <c r="P396" s="23"/>
      <c r="R396" s="23"/>
      <c r="T396" s="23"/>
      <c r="V396" s="23"/>
      <c r="X396" s="23"/>
      <c r="Z396" s="23"/>
    </row>
    <row r="397" spans="1:26" ht="13.2">
      <c r="A397" s="23"/>
      <c r="B397" s="23"/>
      <c r="D397" s="23"/>
      <c r="F397" s="23"/>
      <c r="H397" s="23"/>
      <c r="J397" s="23"/>
      <c r="L397" s="23"/>
      <c r="M397" s="23"/>
      <c r="N397" s="23"/>
      <c r="P397" s="23"/>
      <c r="R397" s="23"/>
      <c r="T397" s="23"/>
      <c r="V397" s="23"/>
      <c r="X397" s="23"/>
      <c r="Z397" s="23"/>
    </row>
    <row r="398" spans="1:26" ht="13.2">
      <c r="A398" s="23"/>
      <c r="B398" s="23"/>
      <c r="D398" s="23"/>
      <c r="F398" s="23"/>
      <c r="H398" s="23"/>
      <c r="J398" s="23"/>
      <c r="L398" s="23"/>
      <c r="M398" s="23"/>
      <c r="N398" s="23"/>
      <c r="P398" s="23"/>
      <c r="R398" s="23"/>
      <c r="T398" s="23"/>
      <c r="V398" s="23"/>
      <c r="X398" s="23"/>
      <c r="Z398" s="23"/>
    </row>
    <row r="399" spans="1:26" ht="13.2">
      <c r="A399" s="23"/>
      <c r="B399" s="23"/>
      <c r="D399" s="23"/>
      <c r="F399" s="23"/>
      <c r="H399" s="23"/>
      <c r="J399" s="23"/>
      <c r="L399" s="23"/>
      <c r="M399" s="23"/>
      <c r="N399" s="23"/>
      <c r="P399" s="23"/>
      <c r="R399" s="23"/>
      <c r="T399" s="23"/>
      <c r="V399" s="23"/>
      <c r="X399" s="23"/>
      <c r="Z399" s="23"/>
    </row>
    <row r="400" spans="1:26" ht="13.2">
      <c r="A400" s="23"/>
      <c r="B400" s="23"/>
      <c r="D400" s="23"/>
      <c r="F400" s="23"/>
      <c r="H400" s="23"/>
      <c r="J400" s="23"/>
      <c r="L400" s="23"/>
      <c r="M400" s="23"/>
      <c r="N400" s="23"/>
      <c r="P400" s="23"/>
      <c r="R400" s="23"/>
      <c r="T400" s="23"/>
      <c r="V400" s="23"/>
      <c r="X400" s="23"/>
      <c r="Z400" s="23"/>
    </row>
    <row r="401" spans="1:26" ht="13.2">
      <c r="A401" s="23"/>
      <c r="B401" s="23"/>
      <c r="D401" s="23"/>
      <c r="F401" s="23"/>
      <c r="H401" s="23"/>
      <c r="J401" s="23"/>
      <c r="L401" s="23"/>
      <c r="M401" s="23"/>
      <c r="N401" s="23"/>
      <c r="P401" s="23"/>
      <c r="R401" s="23"/>
      <c r="T401" s="23"/>
      <c r="V401" s="23"/>
      <c r="X401" s="23"/>
      <c r="Z401" s="23"/>
    </row>
    <row r="402" spans="1:26" ht="13.2">
      <c r="A402" s="23"/>
      <c r="B402" s="23"/>
      <c r="D402" s="23"/>
      <c r="F402" s="23"/>
      <c r="H402" s="23"/>
      <c r="J402" s="23"/>
      <c r="L402" s="23"/>
      <c r="M402" s="23"/>
      <c r="N402" s="23"/>
      <c r="P402" s="23"/>
      <c r="R402" s="23"/>
      <c r="T402" s="23"/>
      <c r="V402" s="23"/>
      <c r="X402" s="23"/>
      <c r="Z402" s="23"/>
    </row>
    <row r="403" spans="1:26" ht="13.2">
      <c r="A403" s="23"/>
      <c r="B403" s="23"/>
      <c r="D403" s="23"/>
      <c r="F403" s="23"/>
      <c r="H403" s="23"/>
      <c r="J403" s="23"/>
      <c r="L403" s="23"/>
      <c r="M403" s="23"/>
      <c r="N403" s="23"/>
      <c r="P403" s="23"/>
      <c r="R403" s="23"/>
      <c r="T403" s="23"/>
      <c r="V403" s="23"/>
      <c r="X403" s="23"/>
      <c r="Z403" s="23"/>
    </row>
    <row r="404" spans="1:26" ht="13.2">
      <c r="A404" s="23"/>
      <c r="B404" s="23"/>
      <c r="D404" s="23"/>
      <c r="F404" s="23"/>
      <c r="H404" s="23"/>
      <c r="J404" s="23"/>
      <c r="L404" s="23"/>
      <c r="M404" s="23"/>
      <c r="N404" s="23"/>
      <c r="P404" s="23"/>
      <c r="R404" s="23"/>
      <c r="T404" s="23"/>
      <c r="V404" s="23"/>
      <c r="X404" s="23"/>
      <c r="Z404" s="23"/>
    </row>
    <row r="405" spans="1:26" ht="13.2">
      <c r="A405" s="23"/>
      <c r="B405" s="23"/>
      <c r="D405" s="23"/>
      <c r="F405" s="23"/>
      <c r="H405" s="23"/>
      <c r="J405" s="23"/>
      <c r="L405" s="23"/>
      <c r="M405" s="23"/>
      <c r="N405" s="23"/>
      <c r="P405" s="23"/>
      <c r="R405" s="23"/>
      <c r="T405" s="23"/>
      <c r="V405" s="23"/>
      <c r="X405" s="23"/>
      <c r="Z405" s="23"/>
    </row>
    <row r="406" spans="1:26" ht="13.2">
      <c r="A406" s="23"/>
      <c r="B406" s="23"/>
      <c r="D406" s="23"/>
      <c r="F406" s="23"/>
      <c r="H406" s="23"/>
      <c r="J406" s="23"/>
      <c r="L406" s="23"/>
      <c r="M406" s="23"/>
      <c r="N406" s="23"/>
      <c r="P406" s="23"/>
      <c r="R406" s="23"/>
      <c r="T406" s="23"/>
      <c r="V406" s="23"/>
      <c r="X406" s="23"/>
      <c r="Z406" s="23"/>
    </row>
    <row r="407" spans="1:26" ht="13.2">
      <c r="A407" s="23"/>
      <c r="B407" s="23"/>
      <c r="D407" s="23"/>
      <c r="F407" s="23"/>
      <c r="H407" s="23"/>
      <c r="J407" s="23"/>
      <c r="L407" s="23"/>
      <c r="M407" s="23"/>
      <c r="N407" s="23"/>
      <c r="P407" s="23"/>
      <c r="R407" s="23"/>
      <c r="T407" s="23"/>
      <c r="V407" s="23"/>
      <c r="X407" s="23"/>
      <c r="Z407" s="23"/>
    </row>
    <row r="408" spans="1:26" ht="13.2">
      <c r="A408" s="23"/>
      <c r="B408" s="23"/>
      <c r="D408" s="23"/>
      <c r="F408" s="23"/>
      <c r="H408" s="23"/>
      <c r="J408" s="23"/>
      <c r="L408" s="23"/>
      <c r="M408" s="23"/>
      <c r="N408" s="23"/>
      <c r="P408" s="23"/>
      <c r="R408" s="23"/>
      <c r="T408" s="23"/>
      <c r="V408" s="23"/>
      <c r="X408" s="23"/>
      <c r="Z408" s="23"/>
    </row>
    <row r="409" spans="1:26" ht="13.2">
      <c r="A409" s="23"/>
      <c r="B409" s="23"/>
      <c r="D409" s="23"/>
      <c r="F409" s="23"/>
      <c r="H409" s="23"/>
      <c r="J409" s="23"/>
      <c r="L409" s="23"/>
      <c r="M409" s="23"/>
      <c r="N409" s="23"/>
      <c r="P409" s="23"/>
      <c r="R409" s="23"/>
      <c r="T409" s="23"/>
      <c r="V409" s="23"/>
      <c r="X409" s="23"/>
      <c r="Z409" s="23"/>
    </row>
    <row r="410" spans="1:26" ht="13.2">
      <c r="A410" s="23"/>
      <c r="B410" s="23"/>
      <c r="D410" s="23"/>
      <c r="F410" s="23"/>
      <c r="H410" s="23"/>
      <c r="J410" s="23"/>
      <c r="L410" s="23"/>
      <c r="M410" s="23"/>
      <c r="N410" s="23"/>
      <c r="P410" s="23"/>
      <c r="R410" s="23"/>
      <c r="T410" s="23"/>
      <c r="V410" s="23"/>
      <c r="X410" s="23"/>
      <c r="Z410" s="23"/>
    </row>
    <row r="411" spans="1:26" ht="13.2">
      <c r="A411" s="23"/>
      <c r="B411" s="23"/>
      <c r="D411" s="23"/>
      <c r="F411" s="23"/>
      <c r="H411" s="23"/>
      <c r="J411" s="23"/>
      <c r="L411" s="23"/>
      <c r="M411" s="23"/>
      <c r="N411" s="23"/>
      <c r="P411" s="23"/>
      <c r="R411" s="23"/>
      <c r="T411" s="23"/>
      <c r="V411" s="23"/>
      <c r="X411" s="23"/>
      <c r="Z411" s="23"/>
    </row>
    <row r="412" spans="1:26" ht="13.2">
      <c r="A412" s="23"/>
      <c r="B412" s="23"/>
      <c r="D412" s="23"/>
      <c r="F412" s="23"/>
      <c r="H412" s="23"/>
      <c r="J412" s="23"/>
      <c r="L412" s="23"/>
      <c r="M412" s="23"/>
      <c r="N412" s="23"/>
      <c r="P412" s="23"/>
      <c r="R412" s="23"/>
      <c r="T412" s="23"/>
      <c r="V412" s="23"/>
      <c r="X412" s="23"/>
      <c r="Z412" s="23"/>
    </row>
    <row r="413" spans="1:26" ht="13.2">
      <c r="A413" s="23"/>
      <c r="B413" s="23"/>
      <c r="D413" s="23"/>
      <c r="F413" s="23"/>
      <c r="H413" s="23"/>
      <c r="J413" s="23"/>
      <c r="L413" s="23"/>
      <c r="M413" s="23"/>
      <c r="N413" s="23"/>
      <c r="P413" s="23"/>
      <c r="R413" s="23"/>
      <c r="T413" s="23"/>
      <c r="V413" s="23"/>
      <c r="X413" s="23"/>
      <c r="Z413" s="23"/>
    </row>
    <row r="414" spans="1:26" ht="13.2">
      <c r="A414" s="23"/>
      <c r="B414" s="23"/>
      <c r="D414" s="23"/>
      <c r="F414" s="23"/>
      <c r="H414" s="23"/>
      <c r="J414" s="23"/>
      <c r="L414" s="23"/>
      <c r="M414" s="23"/>
      <c r="N414" s="23"/>
      <c r="P414" s="23"/>
      <c r="R414" s="23"/>
      <c r="T414" s="23"/>
      <c r="V414" s="23"/>
      <c r="X414" s="23"/>
      <c r="Z414" s="23"/>
    </row>
    <row r="415" spans="1:26" ht="13.2">
      <c r="A415" s="23"/>
      <c r="B415" s="23"/>
      <c r="D415" s="23"/>
      <c r="F415" s="23"/>
      <c r="H415" s="23"/>
      <c r="J415" s="23"/>
      <c r="L415" s="23"/>
      <c r="M415" s="23"/>
      <c r="N415" s="23"/>
      <c r="P415" s="23"/>
      <c r="R415" s="23"/>
      <c r="T415" s="23"/>
      <c r="V415" s="23"/>
      <c r="X415" s="23"/>
      <c r="Z415" s="23"/>
    </row>
    <row r="416" spans="1:26" ht="13.2">
      <c r="A416" s="23"/>
      <c r="B416" s="23"/>
      <c r="D416" s="23"/>
      <c r="F416" s="23"/>
      <c r="H416" s="23"/>
      <c r="J416" s="23"/>
      <c r="L416" s="23"/>
      <c r="M416" s="23"/>
      <c r="N416" s="23"/>
      <c r="P416" s="23"/>
      <c r="R416" s="23"/>
      <c r="T416" s="23"/>
      <c r="V416" s="23"/>
      <c r="X416" s="23"/>
      <c r="Z416" s="23"/>
    </row>
    <row r="417" spans="1:26" ht="13.2">
      <c r="A417" s="23"/>
      <c r="B417" s="23"/>
      <c r="D417" s="23"/>
      <c r="F417" s="23"/>
      <c r="H417" s="23"/>
      <c r="J417" s="23"/>
      <c r="L417" s="23"/>
      <c r="M417" s="23"/>
      <c r="N417" s="23"/>
      <c r="P417" s="23"/>
      <c r="R417" s="23"/>
      <c r="T417" s="23"/>
      <c r="V417" s="23"/>
      <c r="X417" s="23"/>
      <c r="Z417" s="23"/>
    </row>
    <row r="418" spans="1:26" ht="13.2">
      <c r="A418" s="23"/>
      <c r="B418" s="23"/>
      <c r="D418" s="23"/>
      <c r="F418" s="23"/>
      <c r="H418" s="23"/>
      <c r="J418" s="23"/>
      <c r="L418" s="23"/>
      <c r="M418" s="23"/>
      <c r="N418" s="23"/>
      <c r="P418" s="23"/>
      <c r="R418" s="23"/>
      <c r="T418" s="23"/>
      <c r="V418" s="23"/>
      <c r="X418" s="23"/>
      <c r="Z418" s="23"/>
    </row>
    <row r="419" spans="1:26" ht="13.2">
      <c r="A419" s="23"/>
      <c r="B419" s="23"/>
      <c r="D419" s="23"/>
      <c r="F419" s="23"/>
      <c r="H419" s="23"/>
      <c r="J419" s="23"/>
      <c r="L419" s="23"/>
      <c r="M419" s="23"/>
      <c r="N419" s="23"/>
      <c r="P419" s="23"/>
      <c r="R419" s="23"/>
      <c r="T419" s="23"/>
      <c r="V419" s="23"/>
      <c r="X419" s="23"/>
      <c r="Z419" s="23"/>
    </row>
    <row r="420" spans="1:26" ht="13.2">
      <c r="A420" s="23"/>
      <c r="B420" s="23"/>
      <c r="D420" s="23"/>
      <c r="F420" s="23"/>
      <c r="H420" s="23"/>
      <c r="J420" s="23"/>
      <c r="L420" s="23"/>
      <c r="M420" s="23"/>
      <c r="N420" s="23"/>
      <c r="P420" s="23"/>
      <c r="R420" s="23"/>
      <c r="T420" s="23"/>
      <c r="V420" s="23"/>
      <c r="X420" s="23"/>
      <c r="Z420" s="23"/>
    </row>
    <row r="421" spans="1:26" ht="13.2">
      <c r="A421" s="23"/>
      <c r="B421" s="23"/>
      <c r="D421" s="23"/>
      <c r="F421" s="23"/>
      <c r="H421" s="23"/>
      <c r="J421" s="23"/>
      <c r="L421" s="23"/>
      <c r="M421" s="23"/>
      <c r="N421" s="23"/>
      <c r="P421" s="23"/>
      <c r="R421" s="23"/>
      <c r="T421" s="23"/>
      <c r="V421" s="23"/>
      <c r="X421" s="23"/>
      <c r="Z421" s="23"/>
    </row>
    <row r="422" spans="1:26" ht="13.2">
      <c r="A422" s="23"/>
      <c r="B422" s="23"/>
      <c r="D422" s="23"/>
      <c r="F422" s="23"/>
      <c r="H422" s="23"/>
      <c r="J422" s="23"/>
      <c r="L422" s="23"/>
      <c r="M422" s="23"/>
      <c r="N422" s="23"/>
      <c r="P422" s="23"/>
      <c r="R422" s="23"/>
      <c r="T422" s="23"/>
      <c r="V422" s="23"/>
      <c r="X422" s="23"/>
      <c r="Z422" s="23"/>
    </row>
    <row r="423" spans="1:26" ht="13.2">
      <c r="A423" s="23"/>
      <c r="B423" s="23"/>
      <c r="D423" s="23"/>
      <c r="F423" s="23"/>
      <c r="H423" s="23"/>
      <c r="J423" s="23"/>
      <c r="L423" s="23"/>
      <c r="M423" s="23"/>
      <c r="N423" s="23"/>
      <c r="P423" s="23"/>
      <c r="R423" s="23"/>
      <c r="T423" s="23"/>
      <c r="V423" s="23"/>
      <c r="X423" s="23"/>
      <c r="Z423" s="23"/>
    </row>
    <row r="424" spans="1:26" ht="13.2">
      <c r="A424" s="23"/>
      <c r="B424" s="23"/>
      <c r="D424" s="23"/>
      <c r="F424" s="23"/>
      <c r="H424" s="23"/>
      <c r="J424" s="23"/>
      <c r="L424" s="23"/>
      <c r="M424" s="23"/>
      <c r="N424" s="23"/>
      <c r="P424" s="23"/>
      <c r="R424" s="23"/>
      <c r="T424" s="23"/>
      <c r="V424" s="23"/>
      <c r="X424" s="23"/>
      <c r="Z424" s="23"/>
    </row>
    <row r="425" spans="1:26" ht="13.2">
      <c r="A425" s="23"/>
      <c r="B425" s="23"/>
      <c r="D425" s="23"/>
      <c r="F425" s="23"/>
      <c r="H425" s="23"/>
      <c r="J425" s="23"/>
      <c r="L425" s="23"/>
      <c r="M425" s="23"/>
      <c r="N425" s="23"/>
      <c r="P425" s="23"/>
      <c r="R425" s="23"/>
      <c r="T425" s="23"/>
      <c r="V425" s="23"/>
      <c r="X425" s="23"/>
      <c r="Z425" s="23"/>
    </row>
    <row r="426" spans="1:26" ht="13.2">
      <c r="A426" s="23"/>
      <c r="B426" s="23"/>
      <c r="D426" s="23"/>
      <c r="F426" s="23"/>
      <c r="H426" s="23"/>
      <c r="J426" s="23"/>
      <c r="L426" s="23"/>
      <c r="M426" s="23"/>
      <c r="N426" s="23"/>
      <c r="P426" s="23"/>
      <c r="R426" s="23"/>
      <c r="T426" s="23"/>
      <c r="V426" s="23"/>
      <c r="X426" s="23"/>
      <c r="Z426" s="23"/>
    </row>
    <row r="427" spans="1:26" ht="13.2">
      <c r="A427" s="23"/>
      <c r="B427" s="23"/>
      <c r="D427" s="23"/>
      <c r="F427" s="23"/>
      <c r="H427" s="23"/>
      <c r="J427" s="23"/>
      <c r="L427" s="23"/>
      <c r="M427" s="23"/>
      <c r="N427" s="23"/>
      <c r="P427" s="23"/>
      <c r="R427" s="23"/>
      <c r="T427" s="23"/>
      <c r="V427" s="23"/>
      <c r="X427" s="23"/>
      <c r="Z427" s="23"/>
    </row>
    <row r="428" spans="1:26" ht="13.2">
      <c r="A428" s="23"/>
      <c r="B428" s="23"/>
      <c r="D428" s="23"/>
      <c r="F428" s="23"/>
      <c r="H428" s="23"/>
      <c r="J428" s="23"/>
      <c r="L428" s="23"/>
      <c r="M428" s="23"/>
      <c r="N428" s="23"/>
      <c r="P428" s="23"/>
      <c r="R428" s="23"/>
      <c r="T428" s="23"/>
      <c r="V428" s="23"/>
      <c r="X428" s="23"/>
      <c r="Z428" s="23"/>
    </row>
    <row r="429" spans="1:26" ht="13.2">
      <c r="A429" s="23"/>
      <c r="B429" s="23"/>
      <c r="D429" s="23"/>
      <c r="F429" s="23"/>
      <c r="H429" s="23"/>
      <c r="J429" s="23"/>
      <c r="L429" s="23"/>
      <c r="M429" s="23"/>
      <c r="N429" s="23"/>
      <c r="P429" s="23"/>
      <c r="R429" s="23"/>
      <c r="T429" s="23"/>
      <c r="V429" s="23"/>
      <c r="X429" s="23"/>
      <c r="Z429" s="23"/>
    </row>
    <row r="430" spans="1:26" ht="13.2">
      <c r="A430" s="23"/>
      <c r="B430" s="23"/>
      <c r="D430" s="23"/>
      <c r="F430" s="23"/>
      <c r="H430" s="23"/>
      <c r="J430" s="23"/>
      <c r="L430" s="23"/>
      <c r="M430" s="23"/>
      <c r="N430" s="23"/>
      <c r="P430" s="23"/>
      <c r="R430" s="23"/>
      <c r="T430" s="23"/>
      <c r="V430" s="23"/>
      <c r="X430" s="23"/>
      <c r="Z430" s="23"/>
    </row>
    <row r="431" spans="1:26" ht="13.2">
      <c r="A431" s="23"/>
      <c r="B431" s="23"/>
      <c r="D431" s="23"/>
      <c r="F431" s="23"/>
      <c r="H431" s="23"/>
      <c r="J431" s="23"/>
      <c r="L431" s="23"/>
      <c r="M431" s="23"/>
      <c r="N431" s="23"/>
      <c r="P431" s="23"/>
      <c r="R431" s="23"/>
      <c r="T431" s="23"/>
      <c r="V431" s="23"/>
      <c r="X431" s="23"/>
      <c r="Z431" s="23"/>
    </row>
    <row r="432" spans="1:26" ht="13.2">
      <c r="A432" s="23"/>
      <c r="B432" s="23"/>
      <c r="D432" s="23"/>
      <c r="F432" s="23"/>
      <c r="H432" s="23"/>
      <c r="J432" s="23"/>
      <c r="L432" s="23"/>
      <c r="M432" s="23"/>
      <c r="N432" s="23"/>
      <c r="P432" s="23"/>
      <c r="R432" s="23"/>
      <c r="T432" s="23"/>
      <c r="V432" s="23"/>
      <c r="X432" s="23"/>
      <c r="Z432" s="23"/>
    </row>
    <row r="433" spans="1:26" ht="13.2">
      <c r="A433" s="23"/>
      <c r="B433" s="23"/>
      <c r="D433" s="23"/>
      <c r="F433" s="23"/>
      <c r="H433" s="23"/>
      <c r="J433" s="23"/>
      <c r="L433" s="23"/>
      <c r="M433" s="23"/>
      <c r="N433" s="23"/>
      <c r="P433" s="23"/>
      <c r="R433" s="23"/>
      <c r="T433" s="23"/>
      <c r="V433" s="23"/>
      <c r="X433" s="23"/>
      <c r="Z433" s="23"/>
    </row>
    <row r="434" spans="1:26" ht="13.2">
      <c r="A434" s="23"/>
      <c r="B434" s="23"/>
      <c r="D434" s="23"/>
      <c r="F434" s="23"/>
      <c r="H434" s="23"/>
      <c r="J434" s="23"/>
      <c r="L434" s="23"/>
      <c r="M434" s="23"/>
      <c r="N434" s="23"/>
      <c r="P434" s="23"/>
      <c r="R434" s="23"/>
      <c r="T434" s="23"/>
      <c r="V434" s="23"/>
      <c r="X434" s="23"/>
      <c r="Z434" s="23"/>
    </row>
    <row r="435" spans="1:26" ht="13.2">
      <c r="A435" s="23"/>
      <c r="B435" s="23"/>
      <c r="D435" s="23"/>
      <c r="F435" s="23"/>
      <c r="H435" s="23"/>
      <c r="J435" s="23"/>
      <c r="L435" s="23"/>
      <c r="M435" s="23"/>
      <c r="N435" s="23"/>
      <c r="P435" s="23"/>
      <c r="R435" s="23"/>
      <c r="T435" s="23"/>
      <c r="V435" s="23"/>
      <c r="X435" s="23"/>
      <c r="Z435" s="23"/>
    </row>
    <row r="436" spans="1:26" ht="13.2">
      <c r="A436" s="23"/>
      <c r="B436" s="23"/>
      <c r="D436" s="23"/>
      <c r="F436" s="23"/>
      <c r="H436" s="23"/>
      <c r="J436" s="23"/>
      <c r="L436" s="23"/>
      <c r="M436" s="23"/>
      <c r="N436" s="23"/>
      <c r="P436" s="23"/>
      <c r="R436" s="23"/>
      <c r="T436" s="23"/>
      <c r="V436" s="23"/>
      <c r="X436" s="23"/>
      <c r="Z436" s="23"/>
    </row>
    <row r="437" spans="1:26" ht="13.2">
      <c r="A437" s="23"/>
      <c r="B437" s="23"/>
      <c r="D437" s="23"/>
      <c r="F437" s="23"/>
      <c r="H437" s="23"/>
      <c r="J437" s="23"/>
      <c r="L437" s="23"/>
      <c r="M437" s="23"/>
      <c r="N437" s="23"/>
      <c r="P437" s="23"/>
      <c r="R437" s="23"/>
      <c r="T437" s="23"/>
      <c r="V437" s="23"/>
      <c r="X437" s="23"/>
      <c r="Z437" s="23"/>
    </row>
    <row r="438" spans="1:26" ht="13.2">
      <c r="A438" s="23"/>
      <c r="B438" s="23"/>
      <c r="D438" s="23"/>
      <c r="F438" s="23"/>
      <c r="H438" s="23"/>
      <c r="J438" s="23"/>
      <c r="L438" s="23"/>
      <c r="M438" s="23"/>
      <c r="N438" s="23"/>
      <c r="P438" s="23"/>
      <c r="R438" s="23"/>
      <c r="T438" s="23"/>
      <c r="V438" s="23"/>
      <c r="X438" s="23"/>
      <c r="Z438" s="23"/>
    </row>
    <row r="439" spans="1:26" ht="13.2">
      <c r="A439" s="23"/>
      <c r="B439" s="23"/>
      <c r="D439" s="23"/>
      <c r="F439" s="23"/>
      <c r="H439" s="23"/>
      <c r="J439" s="23"/>
      <c r="L439" s="23"/>
      <c r="M439" s="23"/>
      <c r="N439" s="23"/>
      <c r="P439" s="23"/>
      <c r="R439" s="23"/>
      <c r="T439" s="23"/>
      <c r="V439" s="23"/>
      <c r="X439" s="23"/>
      <c r="Z439" s="23"/>
    </row>
    <row r="440" spans="1:26" ht="13.2">
      <c r="A440" s="23"/>
      <c r="B440" s="23"/>
      <c r="D440" s="23"/>
      <c r="F440" s="23"/>
      <c r="H440" s="23"/>
      <c r="J440" s="23"/>
      <c r="L440" s="23"/>
      <c r="M440" s="23"/>
      <c r="N440" s="23"/>
      <c r="P440" s="23"/>
      <c r="R440" s="23"/>
      <c r="T440" s="23"/>
      <c r="V440" s="23"/>
      <c r="X440" s="23"/>
      <c r="Z440" s="23"/>
    </row>
    <row r="441" spans="1:26" ht="13.2">
      <c r="A441" s="23"/>
      <c r="B441" s="23"/>
      <c r="D441" s="23"/>
      <c r="F441" s="23"/>
      <c r="H441" s="23"/>
      <c r="J441" s="23"/>
      <c r="L441" s="23"/>
      <c r="M441" s="23"/>
      <c r="N441" s="23"/>
      <c r="P441" s="23"/>
      <c r="R441" s="23"/>
      <c r="T441" s="23"/>
      <c r="V441" s="23"/>
      <c r="X441" s="23"/>
      <c r="Z441" s="23"/>
    </row>
    <row r="442" spans="1:26" ht="13.2">
      <c r="A442" s="23"/>
      <c r="B442" s="23"/>
      <c r="D442" s="23"/>
      <c r="F442" s="23"/>
      <c r="H442" s="23"/>
      <c r="J442" s="23"/>
      <c r="L442" s="23"/>
      <c r="M442" s="23"/>
      <c r="N442" s="23"/>
      <c r="P442" s="23"/>
      <c r="R442" s="23"/>
      <c r="T442" s="23"/>
      <c r="V442" s="23"/>
      <c r="X442" s="23"/>
      <c r="Z442" s="23"/>
    </row>
    <row r="443" spans="1:26" ht="13.2">
      <c r="A443" s="23"/>
      <c r="B443" s="23"/>
      <c r="D443" s="23"/>
      <c r="F443" s="23"/>
      <c r="H443" s="23"/>
      <c r="J443" s="23"/>
      <c r="L443" s="23"/>
      <c r="M443" s="23"/>
      <c r="N443" s="23"/>
      <c r="P443" s="23"/>
      <c r="R443" s="23"/>
      <c r="T443" s="23"/>
      <c r="V443" s="23"/>
      <c r="X443" s="23"/>
      <c r="Z443" s="23"/>
    </row>
    <row r="444" spans="1:26" ht="13.2">
      <c r="A444" s="23"/>
      <c r="B444" s="23"/>
      <c r="D444" s="23"/>
      <c r="F444" s="23"/>
      <c r="H444" s="23"/>
      <c r="J444" s="23"/>
      <c r="L444" s="23"/>
      <c r="M444" s="23"/>
      <c r="N444" s="23"/>
      <c r="P444" s="23"/>
      <c r="R444" s="23"/>
      <c r="T444" s="23"/>
      <c r="V444" s="23"/>
      <c r="X444" s="23"/>
      <c r="Z444" s="23"/>
    </row>
    <row r="445" spans="1:26" ht="13.2">
      <c r="A445" s="23"/>
      <c r="B445" s="23"/>
      <c r="D445" s="23"/>
      <c r="F445" s="23"/>
      <c r="H445" s="23"/>
      <c r="J445" s="23"/>
      <c r="L445" s="23"/>
      <c r="M445" s="23"/>
      <c r="N445" s="23"/>
      <c r="P445" s="23"/>
      <c r="R445" s="23"/>
      <c r="T445" s="23"/>
      <c r="V445" s="23"/>
      <c r="X445" s="23"/>
      <c r="Z445" s="23"/>
    </row>
    <row r="446" spans="1:26" ht="13.2">
      <c r="A446" s="23"/>
      <c r="B446" s="23"/>
      <c r="D446" s="23"/>
      <c r="F446" s="23"/>
      <c r="H446" s="23"/>
      <c r="J446" s="23"/>
      <c r="L446" s="23"/>
      <c r="M446" s="23"/>
      <c r="N446" s="23"/>
      <c r="P446" s="23"/>
      <c r="R446" s="23"/>
      <c r="T446" s="23"/>
      <c r="V446" s="23"/>
      <c r="X446" s="23"/>
      <c r="Z446" s="23"/>
    </row>
    <row r="447" spans="1:26" ht="13.2">
      <c r="A447" s="23"/>
      <c r="B447" s="23"/>
      <c r="D447" s="23"/>
      <c r="F447" s="23"/>
      <c r="H447" s="23"/>
      <c r="J447" s="23"/>
      <c r="L447" s="23"/>
      <c r="M447" s="23"/>
      <c r="N447" s="23"/>
      <c r="P447" s="23"/>
      <c r="R447" s="23"/>
      <c r="T447" s="23"/>
      <c r="V447" s="23"/>
      <c r="X447" s="23"/>
      <c r="Z447" s="23"/>
    </row>
    <row r="448" spans="1:26" ht="13.2">
      <c r="A448" s="23"/>
      <c r="B448" s="23"/>
      <c r="D448" s="23"/>
      <c r="F448" s="23"/>
      <c r="H448" s="23"/>
      <c r="J448" s="23"/>
      <c r="L448" s="23"/>
      <c r="M448" s="23"/>
      <c r="N448" s="23"/>
      <c r="P448" s="23"/>
      <c r="R448" s="23"/>
      <c r="T448" s="23"/>
      <c r="V448" s="23"/>
      <c r="X448" s="23"/>
      <c r="Z448" s="23"/>
    </row>
    <row r="449" spans="1:26" ht="13.2">
      <c r="A449" s="23"/>
      <c r="B449" s="23"/>
      <c r="D449" s="23"/>
      <c r="F449" s="23"/>
      <c r="H449" s="23"/>
      <c r="J449" s="23"/>
      <c r="L449" s="23"/>
      <c r="M449" s="23"/>
      <c r="N449" s="23"/>
      <c r="P449" s="23"/>
      <c r="R449" s="23"/>
      <c r="T449" s="23"/>
      <c r="V449" s="23"/>
      <c r="X449" s="23"/>
      <c r="Z449" s="23"/>
    </row>
    <row r="450" spans="1:26" ht="13.2">
      <c r="A450" s="23"/>
      <c r="B450" s="23"/>
      <c r="D450" s="23"/>
      <c r="F450" s="23"/>
      <c r="H450" s="23"/>
      <c r="J450" s="23"/>
      <c r="L450" s="23"/>
      <c r="M450" s="23"/>
      <c r="N450" s="23"/>
      <c r="P450" s="23"/>
      <c r="R450" s="23"/>
      <c r="T450" s="23"/>
      <c r="V450" s="23"/>
      <c r="X450" s="23"/>
      <c r="Z450" s="23"/>
    </row>
    <row r="451" spans="1:26" ht="13.2">
      <c r="A451" s="23"/>
      <c r="B451" s="23"/>
      <c r="D451" s="23"/>
      <c r="F451" s="23"/>
      <c r="H451" s="23"/>
      <c r="J451" s="23"/>
      <c r="L451" s="23"/>
      <c r="M451" s="23"/>
      <c r="N451" s="23"/>
      <c r="P451" s="23"/>
      <c r="R451" s="23"/>
      <c r="T451" s="23"/>
      <c r="V451" s="23"/>
      <c r="X451" s="23"/>
      <c r="Z451" s="23"/>
    </row>
    <row r="452" spans="1:26" ht="13.2">
      <c r="A452" s="23"/>
      <c r="B452" s="23"/>
      <c r="D452" s="23"/>
      <c r="F452" s="23"/>
      <c r="H452" s="23"/>
      <c r="J452" s="23"/>
      <c r="L452" s="23"/>
      <c r="M452" s="23"/>
      <c r="N452" s="23"/>
      <c r="P452" s="23"/>
      <c r="R452" s="23"/>
      <c r="T452" s="23"/>
      <c r="V452" s="23"/>
      <c r="X452" s="23"/>
      <c r="Z452" s="23"/>
    </row>
    <row r="453" spans="1:26" ht="13.2">
      <c r="A453" s="23"/>
      <c r="B453" s="23"/>
      <c r="D453" s="23"/>
      <c r="F453" s="23"/>
      <c r="H453" s="23"/>
      <c r="J453" s="23"/>
      <c r="L453" s="23"/>
      <c r="M453" s="23"/>
      <c r="N453" s="23"/>
      <c r="P453" s="23"/>
      <c r="R453" s="23"/>
      <c r="T453" s="23"/>
      <c r="V453" s="23"/>
      <c r="X453" s="23"/>
      <c r="Z453" s="23"/>
    </row>
    <row r="454" spans="1:26" ht="13.2">
      <c r="A454" s="23"/>
      <c r="B454" s="23"/>
      <c r="D454" s="23"/>
      <c r="F454" s="23"/>
      <c r="H454" s="23"/>
      <c r="J454" s="23"/>
      <c r="L454" s="23"/>
      <c r="M454" s="23"/>
      <c r="N454" s="23"/>
      <c r="P454" s="23"/>
      <c r="R454" s="23"/>
      <c r="T454" s="23"/>
      <c r="V454" s="23"/>
      <c r="X454" s="23"/>
      <c r="Z454" s="23"/>
    </row>
    <row r="455" spans="1:26" ht="13.2">
      <c r="A455" s="23"/>
      <c r="B455" s="23"/>
      <c r="D455" s="23"/>
      <c r="F455" s="23"/>
      <c r="H455" s="23"/>
      <c r="J455" s="23"/>
      <c r="L455" s="23"/>
      <c r="M455" s="23"/>
      <c r="N455" s="23"/>
      <c r="P455" s="23"/>
      <c r="R455" s="23"/>
      <c r="T455" s="23"/>
      <c r="V455" s="23"/>
      <c r="X455" s="23"/>
      <c r="Z455" s="23"/>
    </row>
    <row r="456" spans="1:26" ht="13.2">
      <c r="A456" s="23"/>
      <c r="B456" s="23"/>
      <c r="D456" s="23"/>
      <c r="F456" s="23"/>
      <c r="H456" s="23"/>
      <c r="J456" s="23"/>
      <c r="L456" s="23"/>
      <c r="M456" s="23"/>
      <c r="N456" s="23"/>
      <c r="P456" s="23"/>
      <c r="R456" s="23"/>
      <c r="T456" s="23"/>
      <c r="V456" s="23"/>
      <c r="X456" s="23"/>
      <c r="Z456" s="23"/>
    </row>
    <row r="457" spans="1:26" ht="13.2">
      <c r="A457" s="23"/>
      <c r="B457" s="23"/>
      <c r="D457" s="23"/>
      <c r="F457" s="23"/>
      <c r="H457" s="23"/>
      <c r="J457" s="23"/>
      <c r="L457" s="23"/>
      <c r="M457" s="23"/>
      <c r="N457" s="23"/>
      <c r="P457" s="23"/>
      <c r="R457" s="23"/>
      <c r="T457" s="23"/>
      <c r="V457" s="23"/>
      <c r="X457" s="23"/>
      <c r="Z457" s="23"/>
    </row>
    <row r="458" spans="1:26" ht="13.2">
      <c r="A458" s="23"/>
      <c r="B458" s="23"/>
      <c r="D458" s="23"/>
      <c r="F458" s="23"/>
      <c r="H458" s="23"/>
      <c r="J458" s="23"/>
      <c r="L458" s="23"/>
      <c r="M458" s="23"/>
      <c r="N458" s="23"/>
      <c r="P458" s="23"/>
      <c r="R458" s="23"/>
      <c r="T458" s="23"/>
      <c r="V458" s="23"/>
      <c r="X458" s="23"/>
      <c r="Z458" s="23"/>
    </row>
    <row r="459" spans="1:26" ht="13.2">
      <c r="A459" s="23"/>
      <c r="B459" s="23"/>
      <c r="D459" s="23"/>
      <c r="F459" s="23"/>
      <c r="H459" s="23"/>
      <c r="J459" s="23"/>
      <c r="L459" s="23"/>
      <c r="M459" s="23"/>
      <c r="N459" s="23"/>
      <c r="P459" s="23"/>
      <c r="R459" s="23"/>
      <c r="T459" s="23"/>
      <c r="V459" s="23"/>
      <c r="X459" s="23"/>
      <c r="Z459" s="23"/>
    </row>
    <row r="460" spans="1:26" ht="13.2">
      <c r="A460" s="23"/>
      <c r="B460" s="23"/>
      <c r="D460" s="23"/>
      <c r="F460" s="23"/>
      <c r="H460" s="23"/>
      <c r="J460" s="23"/>
      <c r="L460" s="23"/>
      <c r="M460" s="23"/>
      <c r="N460" s="23"/>
      <c r="P460" s="23"/>
      <c r="R460" s="23"/>
      <c r="T460" s="23"/>
      <c r="V460" s="23"/>
      <c r="X460" s="23"/>
      <c r="Z460" s="23"/>
    </row>
    <row r="461" spans="1:26" ht="13.2">
      <c r="A461" s="23"/>
      <c r="B461" s="23"/>
      <c r="D461" s="23"/>
      <c r="F461" s="23"/>
      <c r="H461" s="23"/>
      <c r="J461" s="23"/>
      <c r="L461" s="23"/>
      <c r="M461" s="23"/>
      <c r="N461" s="23"/>
      <c r="P461" s="23"/>
      <c r="R461" s="23"/>
      <c r="T461" s="23"/>
      <c r="V461" s="23"/>
      <c r="X461" s="23"/>
      <c r="Z461" s="23"/>
    </row>
    <row r="462" spans="1:26" ht="13.2">
      <c r="A462" s="23"/>
      <c r="B462" s="23"/>
      <c r="D462" s="23"/>
      <c r="F462" s="23"/>
      <c r="H462" s="23"/>
      <c r="J462" s="23"/>
      <c r="L462" s="23"/>
      <c r="M462" s="23"/>
      <c r="N462" s="23"/>
      <c r="P462" s="23"/>
      <c r="R462" s="23"/>
      <c r="T462" s="23"/>
      <c r="V462" s="23"/>
      <c r="X462" s="23"/>
      <c r="Z462" s="23"/>
    </row>
    <row r="463" spans="1:26" ht="13.2">
      <c r="A463" s="23"/>
      <c r="B463" s="23"/>
      <c r="D463" s="23"/>
      <c r="F463" s="23"/>
      <c r="H463" s="23"/>
      <c r="J463" s="23"/>
      <c r="L463" s="23"/>
      <c r="M463" s="23"/>
      <c r="N463" s="23"/>
      <c r="P463" s="23"/>
      <c r="R463" s="23"/>
      <c r="T463" s="23"/>
      <c r="V463" s="23"/>
      <c r="X463" s="23"/>
      <c r="Z463" s="23"/>
    </row>
    <row r="464" spans="1:26" ht="13.2">
      <c r="A464" s="23"/>
      <c r="B464" s="23"/>
      <c r="D464" s="23"/>
      <c r="F464" s="23"/>
      <c r="H464" s="23"/>
      <c r="J464" s="23"/>
      <c r="L464" s="23"/>
      <c r="M464" s="23"/>
      <c r="N464" s="23"/>
      <c r="P464" s="23"/>
      <c r="R464" s="23"/>
      <c r="T464" s="23"/>
      <c r="V464" s="23"/>
      <c r="X464" s="23"/>
      <c r="Z464" s="23"/>
    </row>
    <row r="465" spans="1:26" ht="13.2">
      <c r="A465" s="23"/>
      <c r="B465" s="23"/>
      <c r="D465" s="23"/>
      <c r="F465" s="23"/>
      <c r="H465" s="23"/>
      <c r="J465" s="23"/>
      <c r="L465" s="23"/>
      <c r="M465" s="23"/>
      <c r="N465" s="23"/>
      <c r="P465" s="23"/>
      <c r="R465" s="23"/>
      <c r="T465" s="23"/>
      <c r="V465" s="23"/>
      <c r="X465" s="23"/>
      <c r="Z465" s="23"/>
    </row>
    <row r="466" spans="1:26" ht="13.2">
      <c r="A466" s="23"/>
      <c r="B466" s="23"/>
      <c r="D466" s="23"/>
      <c r="F466" s="23"/>
      <c r="H466" s="23"/>
      <c r="J466" s="23"/>
      <c r="L466" s="23"/>
      <c r="M466" s="23"/>
      <c r="N466" s="23"/>
      <c r="P466" s="23"/>
      <c r="R466" s="23"/>
      <c r="T466" s="23"/>
      <c r="V466" s="23"/>
      <c r="X466" s="23"/>
      <c r="Z466" s="23"/>
    </row>
    <row r="467" spans="1:26" ht="13.2">
      <c r="A467" s="23"/>
      <c r="B467" s="23"/>
      <c r="D467" s="23"/>
      <c r="F467" s="23"/>
      <c r="H467" s="23"/>
      <c r="J467" s="23"/>
      <c r="L467" s="23"/>
      <c r="M467" s="23"/>
      <c r="N467" s="23"/>
      <c r="P467" s="23"/>
      <c r="R467" s="23"/>
      <c r="T467" s="23"/>
      <c r="V467" s="23"/>
      <c r="X467" s="23"/>
      <c r="Z467" s="23"/>
    </row>
    <row r="468" spans="1:26" ht="13.2">
      <c r="A468" s="23"/>
      <c r="B468" s="23"/>
      <c r="D468" s="23"/>
      <c r="F468" s="23"/>
      <c r="H468" s="23"/>
      <c r="J468" s="23"/>
      <c r="L468" s="23"/>
      <c r="M468" s="23"/>
      <c r="N468" s="23"/>
      <c r="P468" s="23"/>
      <c r="R468" s="23"/>
      <c r="T468" s="23"/>
      <c r="V468" s="23"/>
      <c r="X468" s="23"/>
      <c r="Z468" s="23"/>
    </row>
    <row r="469" spans="1:26" ht="13.2">
      <c r="A469" s="23"/>
      <c r="B469" s="23"/>
      <c r="D469" s="23"/>
      <c r="F469" s="23"/>
      <c r="H469" s="23"/>
      <c r="J469" s="23"/>
      <c r="L469" s="23"/>
      <c r="M469" s="23"/>
      <c r="N469" s="23"/>
      <c r="P469" s="23"/>
      <c r="R469" s="23"/>
      <c r="T469" s="23"/>
      <c r="V469" s="23"/>
      <c r="X469" s="23"/>
      <c r="Z469" s="23"/>
    </row>
    <row r="470" spans="1:26" ht="13.2">
      <c r="A470" s="23"/>
      <c r="B470" s="23"/>
      <c r="D470" s="23"/>
      <c r="F470" s="23"/>
      <c r="H470" s="23"/>
      <c r="J470" s="23"/>
      <c r="L470" s="23"/>
      <c r="M470" s="23"/>
      <c r="N470" s="23"/>
      <c r="P470" s="23"/>
      <c r="R470" s="23"/>
      <c r="T470" s="23"/>
      <c r="V470" s="23"/>
      <c r="X470" s="23"/>
      <c r="Z470" s="23"/>
    </row>
    <row r="471" spans="1:26" ht="13.2">
      <c r="A471" s="23"/>
      <c r="B471" s="23"/>
      <c r="D471" s="23"/>
      <c r="F471" s="23"/>
      <c r="H471" s="23"/>
      <c r="J471" s="23"/>
      <c r="L471" s="23"/>
      <c r="M471" s="23"/>
      <c r="N471" s="23"/>
      <c r="P471" s="23"/>
      <c r="R471" s="23"/>
      <c r="T471" s="23"/>
      <c r="V471" s="23"/>
      <c r="X471" s="23"/>
      <c r="Z471" s="23"/>
    </row>
    <row r="472" spans="1:26" ht="13.2">
      <c r="A472" s="23"/>
      <c r="B472" s="23"/>
      <c r="D472" s="23"/>
      <c r="F472" s="23"/>
      <c r="H472" s="23"/>
      <c r="J472" s="23"/>
      <c r="L472" s="23"/>
      <c r="M472" s="23"/>
      <c r="N472" s="23"/>
      <c r="P472" s="23"/>
      <c r="R472" s="23"/>
      <c r="T472" s="23"/>
      <c r="V472" s="23"/>
      <c r="X472" s="23"/>
      <c r="Z472" s="23"/>
    </row>
    <row r="473" spans="1:26" ht="13.2">
      <c r="A473" s="23"/>
      <c r="B473" s="23"/>
      <c r="D473" s="23"/>
      <c r="F473" s="23"/>
      <c r="H473" s="23"/>
      <c r="J473" s="23"/>
      <c r="L473" s="23"/>
      <c r="M473" s="23"/>
      <c r="N473" s="23"/>
      <c r="P473" s="23"/>
      <c r="R473" s="23"/>
      <c r="T473" s="23"/>
      <c r="V473" s="23"/>
      <c r="X473" s="23"/>
      <c r="Z473" s="23"/>
    </row>
    <row r="474" spans="1:26" ht="13.2">
      <c r="A474" s="23"/>
      <c r="B474" s="23"/>
      <c r="D474" s="23"/>
      <c r="F474" s="23"/>
      <c r="H474" s="23"/>
      <c r="J474" s="23"/>
      <c r="L474" s="23"/>
      <c r="M474" s="23"/>
      <c r="N474" s="23"/>
      <c r="P474" s="23"/>
      <c r="R474" s="23"/>
      <c r="T474" s="23"/>
      <c r="V474" s="23"/>
      <c r="X474" s="23"/>
      <c r="Z474" s="23"/>
    </row>
    <row r="475" spans="1:26" ht="13.2">
      <c r="A475" s="23"/>
      <c r="B475" s="23"/>
      <c r="D475" s="23"/>
      <c r="F475" s="23"/>
      <c r="H475" s="23"/>
      <c r="J475" s="23"/>
      <c r="L475" s="23"/>
      <c r="M475" s="23"/>
      <c r="N475" s="23"/>
      <c r="P475" s="23"/>
      <c r="R475" s="23"/>
      <c r="T475" s="23"/>
      <c r="V475" s="23"/>
      <c r="X475" s="23"/>
      <c r="Z475" s="23"/>
    </row>
    <row r="476" spans="1:26" ht="13.2">
      <c r="A476" s="23"/>
      <c r="B476" s="23"/>
      <c r="D476" s="23"/>
      <c r="F476" s="23"/>
      <c r="H476" s="23"/>
      <c r="J476" s="23"/>
      <c r="L476" s="23"/>
      <c r="M476" s="23"/>
      <c r="N476" s="23"/>
      <c r="P476" s="23"/>
      <c r="R476" s="23"/>
      <c r="T476" s="23"/>
      <c r="V476" s="23"/>
      <c r="X476" s="23"/>
      <c r="Z476" s="23"/>
    </row>
    <row r="477" spans="1:26" ht="13.2">
      <c r="A477" s="23"/>
      <c r="B477" s="23"/>
      <c r="D477" s="23"/>
      <c r="F477" s="23"/>
      <c r="H477" s="23"/>
      <c r="J477" s="23"/>
      <c r="L477" s="23"/>
      <c r="M477" s="23"/>
      <c r="N477" s="23"/>
      <c r="P477" s="23"/>
      <c r="R477" s="23"/>
      <c r="T477" s="23"/>
      <c r="V477" s="23"/>
      <c r="X477" s="23"/>
      <c r="Z477" s="23"/>
    </row>
    <row r="478" spans="1:26" ht="13.2">
      <c r="A478" s="23"/>
      <c r="B478" s="23"/>
      <c r="D478" s="23"/>
      <c r="F478" s="23"/>
      <c r="H478" s="23"/>
      <c r="J478" s="23"/>
      <c r="L478" s="23"/>
      <c r="M478" s="23"/>
      <c r="N478" s="23"/>
      <c r="P478" s="23"/>
      <c r="R478" s="23"/>
      <c r="T478" s="23"/>
      <c r="V478" s="23"/>
      <c r="X478" s="23"/>
      <c r="Z478" s="23"/>
    </row>
    <row r="479" spans="1:26" ht="13.2">
      <c r="A479" s="23"/>
      <c r="B479" s="23"/>
      <c r="D479" s="23"/>
      <c r="F479" s="23"/>
      <c r="H479" s="23"/>
      <c r="J479" s="23"/>
      <c r="L479" s="23"/>
      <c r="M479" s="23"/>
      <c r="N479" s="23"/>
      <c r="P479" s="23"/>
      <c r="R479" s="23"/>
      <c r="T479" s="23"/>
      <c r="V479" s="23"/>
      <c r="X479" s="23"/>
      <c r="Z479" s="23"/>
    </row>
    <row r="480" spans="1:26" ht="13.2">
      <c r="A480" s="23"/>
      <c r="B480" s="23"/>
      <c r="D480" s="23"/>
      <c r="F480" s="23"/>
      <c r="H480" s="23"/>
      <c r="J480" s="23"/>
      <c r="L480" s="23"/>
      <c r="M480" s="23"/>
      <c r="N480" s="23"/>
      <c r="P480" s="23"/>
      <c r="R480" s="23"/>
      <c r="T480" s="23"/>
      <c r="V480" s="23"/>
      <c r="X480" s="23"/>
      <c r="Z480" s="23"/>
    </row>
    <row r="481" spans="1:26" ht="13.2">
      <c r="A481" s="23"/>
      <c r="B481" s="23"/>
      <c r="D481" s="23"/>
      <c r="F481" s="23"/>
      <c r="H481" s="23"/>
      <c r="J481" s="23"/>
      <c r="L481" s="23"/>
      <c r="M481" s="23"/>
      <c r="N481" s="23"/>
      <c r="P481" s="23"/>
      <c r="R481" s="23"/>
      <c r="T481" s="23"/>
      <c r="V481" s="23"/>
      <c r="X481" s="23"/>
      <c r="Z481" s="23"/>
    </row>
    <row r="482" spans="1:26" ht="13.2">
      <c r="A482" s="23"/>
      <c r="B482" s="23"/>
      <c r="D482" s="23"/>
      <c r="F482" s="23"/>
      <c r="H482" s="23"/>
      <c r="J482" s="23"/>
      <c r="L482" s="23"/>
      <c r="M482" s="23"/>
      <c r="N482" s="23"/>
      <c r="P482" s="23"/>
      <c r="R482" s="23"/>
      <c r="T482" s="23"/>
      <c r="V482" s="23"/>
      <c r="X482" s="23"/>
      <c r="Z482" s="23"/>
    </row>
    <row r="483" spans="1:26" ht="13.2">
      <c r="A483" s="23"/>
      <c r="B483" s="23"/>
      <c r="D483" s="23"/>
      <c r="F483" s="23"/>
      <c r="H483" s="23"/>
      <c r="J483" s="23"/>
      <c r="L483" s="23"/>
      <c r="M483" s="23"/>
      <c r="N483" s="23"/>
      <c r="P483" s="23"/>
      <c r="R483" s="23"/>
      <c r="T483" s="23"/>
      <c r="V483" s="23"/>
      <c r="X483" s="23"/>
      <c r="Z483" s="23"/>
    </row>
    <row r="484" spans="1:26" ht="13.2">
      <c r="A484" s="23"/>
      <c r="B484" s="23"/>
      <c r="D484" s="23"/>
      <c r="F484" s="23"/>
      <c r="H484" s="23"/>
      <c r="J484" s="23"/>
      <c r="L484" s="23"/>
      <c r="M484" s="23"/>
      <c r="N484" s="23"/>
      <c r="P484" s="23"/>
      <c r="R484" s="23"/>
      <c r="T484" s="23"/>
      <c r="V484" s="23"/>
      <c r="X484" s="23"/>
      <c r="Z484" s="23"/>
    </row>
    <row r="485" spans="1:26" ht="13.2">
      <c r="A485" s="23"/>
      <c r="B485" s="23"/>
      <c r="D485" s="23"/>
      <c r="F485" s="23"/>
      <c r="H485" s="23"/>
      <c r="J485" s="23"/>
      <c r="L485" s="23"/>
      <c r="M485" s="23"/>
      <c r="N485" s="23"/>
      <c r="P485" s="23"/>
      <c r="R485" s="23"/>
      <c r="T485" s="23"/>
      <c r="V485" s="23"/>
      <c r="X485" s="23"/>
      <c r="Z485" s="23"/>
    </row>
    <row r="486" spans="1:26" ht="13.2">
      <c r="A486" s="23"/>
      <c r="B486" s="23"/>
      <c r="D486" s="23"/>
      <c r="F486" s="23"/>
      <c r="H486" s="23"/>
      <c r="J486" s="23"/>
      <c r="L486" s="23"/>
      <c r="M486" s="23"/>
      <c r="N486" s="23"/>
      <c r="P486" s="23"/>
      <c r="R486" s="23"/>
      <c r="T486" s="23"/>
      <c r="V486" s="23"/>
      <c r="X486" s="23"/>
      <c r="Z486" s="23"/>
    </row>
    <row r="487" spans="1:26" ht="13.2">
      <c r="A487" s="23"/>
      <c r="B487" s="23"/>
      <c r="D487" s="23"/>
      <c r="F487" s="23"/>
      <c r="H487" s="23"/>
      <c r="J487" s="23"/>
      <c r="L487" s="23"/>
      <c r="M487" s="23"/>
      <c r="N487" s="23"/>
      <c r="P487" s="23"/>
      <c r="R487" s="23"/>
      <c r="T487" s="23"/>
      <c r="V487" s="23"/>
      <c r="X487" s="23"/>
      <c r="Z487" s="23"/>
    </row>
    <row r="488" spans="1:26" ht="13.2">
      <c r="A488" s="23"/>
      <c r="B488" s="23"/>
      <c r="D488" s="23"/>
      <c r="F488" s="23"/>
      <c r="H488" s="23"/>
      <c r="J488" s="23"/>
      <c r="L488" s="23"/>
      <c r="M488" s="23"/>
      <c r="N488" s="23"/>
      <c r="P488" s="23"/>
      <c r="R488" s="23"/>
      <c r="T488" s="23"/>
      <c r="V488" s="23"/>
      <c r="X488" s="23"/>
      <c r="Z488" s="23"/>
    </row>
    <row r="489" spans="1:26" ht="13.2">
      <c r="A489" s="23"/>
      <c r="B489" s="23"/>
      <c r="D489" s="23"/>
      <c r="F489" s="23"/>
      <c r="H489" s="23"/>
      <c r="J489" s="23"/>
      <c r="L489" s="23"/>
      <c r="M489" s="23"/>
      <c r="N489" s="23"/>
      <c r="P489" s="23"/>
      <c r="R489" s="23"/>
      <c r="T489" s="23"/>
      <c r="V489" s="23"/>
      <c r="X489" s="23"/>
      <c r="Z489" s="23"/>
    </row>
    <row r="490" spans="1:26" ht="13.2">
      <c r="A490" s="23"/>
      <c r="B490" s="23"/>
      <c r="D490" s="23"/>
      <c r="F490" s="23"/>
      <c r="H490" s="23"/>
      <c r="J490" s="23"/>
      <c r="L490" s="23"/>
      <c r="M490" s="23"/>
      <c r="N490" s="23"/>
      <c r="P490" s="23"/>
      <c r="R490" s="23"/>
      <c r="T490" s="23"/>
      <c r="V490" s="23"/>
      <c r="X490" s="23"/>
      <c r="Z490" s="23"/>
    </row>
    <row r="491" spans="1:26" ht="13.2">
      <c r="A491" s="23"/>
      <c r="B491" s="23"/>
      <c r="D491" s="23"/>
      <c r="F491" s="23"/>
      <c r="H491" s="23"/>
      <c r="J491" s="23"/>
      <c r="L491" s="23"/>
      <c r="M491" s="23"/>
      <c r="N491" s="23"/>
      <c r="P491" s="23"/>
      <c r="R491" s="23"/>
      <c r="T491" s="23"/>
      <c r="V491" s="23"/>
      <c r="X491" s="23"/>
      <c r="Z491" s="23"/>
    </row>
    <row r="492" spans="1:26" ht="13.2">
      <c r="A492" s="23"/>
      <c r="B492" s="23"/>
      <c r="D492" s="23"/>
      <c r="F492" s="23"/>
      <c r="H492" s="23"/>
      <c r="J492" s="23"/>
      <c r="L492" s="23"/>
      <c r="M492" s="23"/>
      <c r="N492" s="23"/>
      <c r="P492" s="23"/>
      <c r="R492" s="23"/>
      <c r="T492" s="23"/>
      <c r="V492" s="23"/>
      <c r="X492" s="23"/>
      <c r="Z492" s="23"/>
    </row>
    <row r="493" spans="1:26" ht="13.2">
      <c r="A493" s="23"/>
      <c r="B493" s="23"/>
      <c r="D493" s="23"/>
      <c r="F493" s="23"/>
      <c r="H493" s="23"/>
      <c r="J493" s="23"/>
      <c r="L493" s="23"/>
      <c r="M493" s="23"/>
      <c r="N493" s="23"/>
      <c r="P493" s="23"/>
      <c r="R493" s="23"/>
      <c r="T493" s="23"/>
      <c r="V493" s="23"/>
      <c r="X493" s="23"/>
      <c r="Z493" s="23"/>
    </row>
    <row r="494" spans="1:26" ht="13.2">
      <c r="A494" s="23"/>
      <c r="B494" s="23"/>
      <c r="D494" s="23"/>
      <c r="F494" s="23"/>
      <c r="H494" s="23"/>
      <c r="J494" s="23"/>
      <c r="L494" s="23"/>
      <c r="M494" s="23"/>
      <c r="N494" s="23"/>
      <c r="P494" s="23"/>
      <c r="R494" s="23"/>
      <c r="T494" s="23"/>
      <c r="V494" s="23"/>
      <c r="X494" s="23"/>
      <c r="Z494" s="23"/>
    </row>
    <row r="495" spans="1:26" ht="13.2">
      <c r="A495" s="23"/>
      <c r="B495" s="23"/>
      <c r="D495" s="23"/>
      <c r="F495" s="23"/>
      <c r="H495" s="23"/>
      <c r="J495" s="23"/>
      <c r="L495" s="23"/>
      <c r="M495" s="23"/>
      <c r="N495" s="23"/>
      <c r="P495" s="23"/>
      <c r="R495" s="23"/>
      <c r="T495" s="23"/>
      <c r="V495" s="23"/>
      <c r="X495" s="23"/>
      <c r="Z495" s="23"/>
    </row>
    <row r="496" spans="1:26" ht="13.2">
      <c r="A496" s="23"/>
      <c r="B496" s="23"/>
      <c r="D496" s="23"/>
      <c r="F496" s="23"/>
      <c r="H496" s="23"/>
      <c r="J496" s="23"/>
      <c r="L496" s="23"/>
      <c r="M496" s="23"/>
      <c r="N496" s="23"/>
      <c r="P496" s="23"/>
      <c r="R496" s="23"/>
      <c r="T496" s="23"/>
      <c r="V496" s="23"/>
      <c r="X496" s="23"/>
      <c r="Z496" s="23"/>
    </row>
    <row r="497" spans="1:26" ht="13.2">
      <c r="A497" s="23"/>
      <c r="B497" s="23"/>
      <c r="D497" s="23"/>
      <c r="F497" s="23"/>
      <c r="H497" s="23"/>
      <c r="J497" s="23"/>
      <c r="L497" s="23"/>
      <c r="M497" s="23"/>
      <c r="N497" s="23"/>
      <c r="P497" s="23"/>
      <c r="R497" s="23"/>
      <c r="T497" s="23"/>
      <c r="V497" s="23"/>
      <c r="X497" s="23"/>
      <c r="Z497" s="23"/>
    </row>
    <row r="498" spans="1:26" ht="13.2">
      <c r="A498" s="23"/>
      <c r="B498" s="23"/>
      <c r="D498" s="23"/>
      <c r="F498" s="23"/>
      <c r="H498" s="23"/>
      <c r="J498" s="23"/>
      <c r="L498" s="23"/>
      <c r="M498" s="23"/>
      <c r="N498" s="23"/>
      <c r="P498" s="23"/>
      <c r="R498" s="23"/>
      <c r="T498" s="23"/>
      <c r="V498" s="23"/>
      <c r="X498" s="23"/>
      <c r="Z498" s="23"/>
    </row>
    <row r="499" spans="1:26" ht="13.2">
      <c r="A499" s="23"/>
      <c r="B499" s="23"/>
      <c r="D499" s="23"/>
      <c r="F499" s="23"/>
      <c r="H499" s="23"/>
      <c r="J499" s="23"/>
      <c r="L499" s="23"/>
      <c r="M499" s="23"/>
      <c r="N499" s="23"/>
      <c r="P499" s="23"/>
      <c r="R499" s="23"/>
      <c r="T499" s="23"/>
      <c r="V499" s="23"/>
      <c r="X499" s="23"/>
      <c r="Z499" s="23"/>
    </row>
    <row r="500" spans="1:26" ht="13.2">
      <c r="A500" s="23"/>
      <c r="B500" s="23"/>
      <c r="D500" s="23"/>
      <c r="F500" s="23"/>
      <c r="H500" s="23"/>
      <c r="J500" s="23"/>
      <c r="L500" s="23"/>
      <c r="M500" s="23"/>
      <c r="N500" s="23"/>
      <c r="P500" s="23"/>
      <c r="R500" s="23"/>
      <c r="T500" s="23"/>
      <c r="V500" s="23"/>
      <c r="X500" s="23"/>
      <c r="Z500" s="23"/>
    </row>
    <row r="501" spans="1:26" ht="13.2">
      <c r="A501" s="23"/>
      <c r="B501" s="23"/>
      <c r="D501" s="23"/>
      <c r="F501" s="23"/>
      <c r="H501" s="23"/>
      <c r="J501" s="23"/>
      <c r="L501" s="23"/>
      <c r="M501" s="23"/>
      <c r="N501" s="23"/>
      <c r="P501" s="23"/>
      <c r="R501" s="23"/>
      <c r="T501" s="23"/>
      <c r="V501" s="23"/>
      <c r="X501" s="23"/>
      <c r="Z501" s="23"/>
    </row>
    <row r="502" spans="1:26" ht="13.2">
      <c r="A502" s="23"/>
      <c r="B502" s="23"/>
      <c r="D502" s="23"/>
      <c r="F502" s="23"/>
      <c r="H502" s="23"/>
      <c r="J502" s="23"/>
      <c r="L502" s="23"/>
      <c r="M502" s="23"/>
      <c r="N502" s="23"/>
      <c r="P502" s="23"/>
      <c r="R502" s="23"/>
      <c r="T502" s="23"/>
      <c r="V502" s="23"/>
      <c r="X502" s="23"/>
      <c r="Z502" s="23"/>
    </row>
    <row r="503" spans="1:26" ht="13.2">
      <c r="A503" s="23"/>
      <c r="B503" s="23"/>
      <c r="D503" s="23"/>
      <c r="F503" s="23"/>
      <c r="H503" s="23"/>
      <c r="J503" s="23"/>
      <c r="L503" s="23"/>
      <c r="M503" s="23"/>
      <c r="N503" s="23"/>
      <c r="P503" s="23"/>
      <c r="R503" s="23"/>
      <c r="T503" s="23"/>
      <c r="V503" s="23"/>
      <c r="X503" s="23"/>
      <c r="Z503" s="23"/>
    </row>
    <row r="504" spans="1:26" ht="13.2">
      <c r="A504" s="23"/>
      <c r="B504" s="23"/>
      <c r="D504" s="23"/>
      <c r="F504" s="23"/>
      <c r="H504" s="23"/>
      <c r="J504" s="23"/>
      <c r="L504" s="23"/>
      <c r="M504" s="23"/>
      <c r="N504" s="23"/>
      <c r="P504" s="23"/>
      <c r="R504" s="23"/>
      <c r="T504" s="23"/>
      <c r="V504" s="23"/>
      <c r="X504" s="23"/>
      <c r="Z504" s="23"/>
    </row>
    <row r="505" spans="1:26" ht="13.2">
      <c r="A505" s="23"/>
      <c r="B505" s="23"/>
      <c r="D505" s="23"/>
      <c r="F505" s="23"/>
      <c r="H505" s="23"/>
      <c r="J505" s="23"/>
      <c r="L505" s="23"/>
      <c r="M505" s="23"/>
      <c r="N505" s="23"/>
      <c r="P505" s="23"/>
      <c r="R505" s="23"/>
      <c r="T505" s="23"/>
      <c r="V505" s="23"/>
      <c r="X505" s="23"/>
      <c r="Z505" s="23"/>
    </row>
    <row r="506" spans="1:26" ht="13.2">
      <c r="A506" s="23"/>
      <c r="B506" s="23"/>
      <c r="D506" s="23"/>
      <c r="F506" s="23"/>
      <c r="H506" s="23"/>
      <c r="J506" s="23"/>
      <c r="L506" s="23"/>
      <c r="M506" s="23"/>
      <c r="N506" s="23"/>
      <c r="P506" s="23"/>
      <c r="R506" s="23"/>
      <c r="T506" s="23"/>
      <c r="V506" s="23"/>
      <c r="X506" s="23"/>
      <c r="Z506" s="23"/>
    </row>
    <row r="507" spans="1:26" ht="13.2">
      <c r="A507" s="23"/>
      <c r="B507" s="23"/>
      <c r="D507" s="23"/>
      <c r="F507" s="23"/>
      <c r="H507" s="23"/>
      <c r="J507" s="23"/>
      <c r="L507" s="23"/>
      <c r="M507" s="23"/>
      <c r="N507" s="23"/>
      <c r="P507" s="23"/>
      <c r="R507" s="23"/>
      <c r="T507" s="23"/>
      <c r="V507" s="23"/>
      <c r="X507" s="23"/>
      <c r="Z507" s="23"/>
    </row>
    <row r="508" spans="1:26" ht="13.2">
      <c r="A508" s="23"/>
      <c r="B508" s="23"/>
      <c r="D508" s="23"/>
      <c r="F508" s="23"/>
      <c r="H508" s="23"/>
      <c r="J508" s="23"/>
      <c r="L508" s="23"/>
      <c r="M508" s="23"/>
      <c r="N508" s="23"/>
      <c r="P508" s="23"/>
      <c r="R508" s="23"/>
      <c r="T508" s="23"/>
      <c r="V508" s="23"/>
      <c r="X508" s="23"/>
      <c r="Z508" s="23"/>
    </row>
    <row r="509" spans="1:26" ht="13.2">
      <c r="A509" s="23"/>
      <c r="B509" s="23"/>
      <c r="D509" s="23"/>
      <c r="F509" s="23"/>
      <c r="H509" s="23"/>
      <c r="J509" s="23"/>
      <c r="L509" s="23"/>
      <c r="M509" s="23"/>
      <c r="N509" s="23"/>
      <c r="P509" s="23"/>
      <c r="R509" s="23"/>
      <c r="T509" s="23"/>
      <c r="V509" s="23"/>
      <c r="X509" s="23"/>
      <c r="Z509" s="23"/>
    </row>
    <row r="510" spans="1:26" ht="13.2">
      <c r="A510" s="23"/>
      <c r="B510" s="23"/>
      <c r="D510" s="23"/>
      <c r="F510" s="23"/>
      <c r="H510" s="23"/>
      <c r="J510" s="23"/>
      <c r="L510" s="23"/>
      <c r="M510" s="23"/>
      <c r="N510" s="23"/>
      <c r="P510" s="23"/>
      <c r="R510" s="23"/>
      <c r="T510" s="23"/>
      <c r="V510" s="23"/>
      <c r="X510" s="23"/>
      <c r="Z510" s="23"/>
    </row>
    <row r="511" spans="1:26" ht="13.2">
      <c r="A511" s="23"/>
      <c r="B511" s="23"/>
      <c r="D511" s="23"/>
      <c r="F511" s="23"/>
      <c r="H511" s="23"/>
      <c r="J511" s="23"/>
      <c r="L511" s="23"/>
      <c r="M511" s="23"/>
      <c r="N511" s="23"/>
      <c r="P511" s="23"/>
      <c r="R511" s="23"/>
      <c r="T511" s="23"/>
      <c r="V511" s="23"/>
      <c r="X511" s="23"/>
      <c r="Z511" s="23"/>
    </row>
    <row r="512" spans="1:26" ht="13.2">
      <c r="A512" s="23"/>
      <c r="B512" s="23"/>
      <c r="D512" s="23"/>
      <c r="F512" s="23"/>
      <c r="H512" s="23"/>
      <c r="J512" s="23"/>
      <c r="L512" s="23"/>
      <c r="M512" s="23"/>
      <c r="N512" s="23"/>
      <c r="P512" s="23"/>
      <c r="R512" s="23"/>
      <c r="T512" s="23"/>
      <c r="V512" s="23"/>
      <c r="X512" s="23"/>
      <c r="Z512" s="23"/>
    </row>
    <row r="513" spans="1:26" ht="13.2">
      <c r="A513" s="23"/>
      <c r="B513" s="23"/>
      <c r="D513" s="23"/>
      <c r="F513" s="23"/>
      <c r="H513" s="23"/>
      <c r="J513" s="23"/>
      <c r="L513" s="23"/>
      <c r="M513" s="23"/>
      <c r="N513" s="23"/>
      <c r="P513" s="23"/>
      <c r="R513" s="23"/>
      <c r="T513" s="23"/>
      <c r="V513" s="23"/>
      <c r="X513" s="23"/>
      <c r="Z513" s="23"/>
    </row>
    <row r="514" spans="1:26" ht="13.2">
      <c r="A514" s="23"/>
      <c r="B514" s="23"/>
      <c r="D514" s="23"/>
      <c r="F514" s="23"/>
      <c r="H514" s="23"/>
      <c r="J514" s="23"/>
      <c r="L514" s="23"/>
      <c r="M514" s="23"/>
      <c r="N514" s="23"/>
      <c r="P514" s="23"/>
      <c r="R514" s="23"/>
      <c r="T514" s="23"/>
      <c r="V514" s="23"/>
      <c r="X514" s="23"/>
      <c r="Z514" s="23"/>
    </row>
    <row r="515" spans="1:26" ht="13.2">
      <c r="A515" s="23"/>
      <c r="B515" s="23"/>
      <c r="D515" s="23"/>
      <c r="F515" s="23"/>
      <c r="H515" s="23"/>
      <c r="J515" s="23"/>
      <c r="L515" s="23"/>
      <c r="M515" s="23"/>
      <c r="N515" s="23"/>
      <c r="P515" s="23"/>
      <c r="R515" s="23"/>
      <c r="T515" s="23"/>
      <c r="V515" s="23"/>
      <c r="X515" s="23"/>
      <c r="Z515" s="23"/>
    </row>
    <row r="516" spans="1:26" ht="13.2">
      <c r="A516" s="23"/>
      <c r="B516" s="23"/>
      <c r="D516" s="23"/>
      <c r="F516" s="23"/>
      <c r="H516" s="23"/>
      <c r="J516" s="23"/>
      <c r="L516" s="23"/>
      <c r="M516" s="23"/>
      <c r="N516" s="23"/>
      <c r="P516" s="23"/>
      <c r="R516" s="23"/>
      <c r="T516" s="23"/>
      <c r="V516" s="23"/>
      <c r="X516" s="23"/>
      <c r="Z516" s="23"/>
    </row>
    <row r="517" spans="1:26" ht="13.2">
      <c r="A517" s="23"/>
      <c r="B517" s="23"/>
      <c r="D517" s="23"/>
      <c r="F517" s="23"/>
      <c r="H517" s="23"/>
      <c r="J517" s="23"/>
      <c r="L517" s="23"/>
      <c r="M517" s="23"/>
      <c r="N517" s="23"/>
      <c r="P517" s="23"/>
      <c r="R517" s="23"/>
      <c r="T517" s="23"/>
      <c r="V517" s="23"/>
      <c r="X517" s="23"/>
      <c r="Z517" s="23"/>
    </row>
    <row r="518" spans="1:26" ht="13.2">
      <c r="A518" s="23"/>
      <c r="B518" s="23"/>
      <c r="D518" s="23"/>
      <c r="F518" s="23"/>
      <c r="H518" s="23"/>
      <c r="J518" s="23"/>
      <c r="L518" s="23"/>
      <c r="M518" s="23"/>
      <c r="N518" s="23"/>
      <c r="P518" s="23"/>
      <c r="R518" s="23"/>
      <c r="T518" s="23"/>
      <c r="V518" s="23"/>
      <c r="X518" s="23"/>
      <c r="Z518" s="23"/>
    </row>
    <row r="519" spans="1:26" ht="13.2">
      <c r="A519" s="23"/>
      <c r="B519" s="23"/>
      <c r="D519" s="23"/>
      <c r="F519" s="23"/>
      <c r="H519" s="23"/>
      <c r="J519" s="23"/>
      <c r="L519" s="23"/>
      <c r="M519" s="23"/>
      <c r="N519" s="23"/>
      <c r="P519" s="23"/>
      <c r="R519" s="23"/>
      <c r="T519" s="23"/>
      <c r="V519" s="23"/>
      <c r="X519" s="23"/>
      <c r="Z519" s="23"/>
    </row>
    <row r="520" spans="1:26" ht="13.2">
      <c r="A520" s="23"/>
      <c r="B520" s="23"/>
      <c r="D520" s="23"/>
      <c r="F520" s="23"/>
      <c r="H520" s="23"/>
      <c r="J520" s="23"/>
      <c r="L520" s="23"/>
      <c r="M520" s="23"/>
      <c r="N520" s="23"/>
      <c r="P520" s="23"/>
      <c r="R520" s="23"/>
      <c r="T520" s="23"/>
      <c r="V520" s="23"/>
      <c r="X520" s="23"/>
      <c r="Z520" s="23"/>
    </row>
    <row r="521" spans="1:26" ht="13.2">
      <c r="A521" s="23"/>
      <c r="B521" s="23"/>
      <c r="D521" s="23"/>
      <c r="F521" s="23"/>
      <c r="H521" s="23"/>
      <c r="J521" s="23"/>
      <c r="L521" s="23"/>
      <c r="M521" s="23"/>
      <c r="N521" s="23"/>
      <c r="P521" s="23"/>
      <c r="R521" s="23"/>
      <c r="T521" s="23"/>
      <c r="V521" s="23"/>
      <c r="X521" s="23"/>
      <c r="Z521" s="23"/>
    </row>
    <row r="522" spans="1:26" ht="13.2">
      <c r="A522" s="23"/>
      <c r="B522" s="23"/>
      <c r="D522" s="23"/>
      <c r="F522" s="23"/>
      <c r="H522" s="23"/>
      <c r="J522" s="23"/>
      <c r="L522" s="23"/>
      <c r="M522" s="23"/>
      <c r="N522" s="23"/>
      <c r="P522" s="23"/>
      <c r="R522" s="23"/>
      <c r="T522" s="23"/>
      <c r="V522" s="23"/>
      <c r="X522" s="23"/>
      <c r="Z522" s="23"/>
    </row>
    <row r="523" spans="1:26" ht="13.2">
      <c r="A523" s="23"/>
      <c r="B523" s="23"/>
      <c r="D523" s="23"/>
      <c r="F523" s="23"/>
      <c r="H523" s="23"/>
      <c r="J523" s="23"/>
      <c r="L523" s="23"/>
      <c r="M523" s="23"/>
      <c r="N523" s="23"/>
      <c r="P523" s="23"/>
      <c r="R523" s="23"/>
      <c r="T523" s="23"/>
      <c r="V523" s="23"/>
      <c r="X523" s="23"/>
      <c r="Z523" s="23"/>
    </row>
    <row r="524" spans="1:26" ht="13.2">
      <c r="A524" s="23"/>
      <c r="B524" s="23"/>
      <c r="D524" s="23"/>
      <c r="F524" s="23"/>
      <c r="H524" s="23"/>
      <c r="J524" s="23"/>
      <c r="L524" s="23"/>
      <c r="M524" s="23"/>
      <c r="N524" s="23"/>
      <c r="P524" s="23"/>
      <c r="R524" s="23"/>
      <c r="T524" s="23"/>
      <c r="V524" s="23"/>
      <c r="X524" s="23"/>
      <c r="Z524" s="23"/>
    </row>
    <row r="525" spans="1:26" ht="13.2">
      <c r="A525" s="23"/>
      <c r="B525" s="23"/>
      <c r="D525" s="23"/>
      <c r="F525" s="23"/>
      <c r="H525" s="23"/>
      <c r="J525" s="23"/>
      <c r="L525" s="23"/>
      <c r="M525" s="23"/>
      <c r="N525" s="23"/>
      <c r="P525" s="23"/>
      <c r="R525" s="23"/>
      <c r="T525" s="23"/>
      <c r="V525" s="23"/>
      <c r="X525" s="23"/>
      <c r="Z525" s="23"/>
    </row>
    <row r="526" spans="1:26" ht="13.2">
      <c r="A526" s="23"/>
      <c r="B526" s="23"/>
      <c r="D526" s="23"/>
      <c r="F526" s="23"/>
      <c r="H526" s="23"/>
      <c r="J526" s="23"/>
      <c r="L526" s="23"/>
      <c r="M526" s="23"/>
      <c r="N526" s="23"/>
      <c r="P526" s="23"/>
      <c r="R526" s="23"/>
      <c r="T526" s="23"/>
      <c r="V526" s="23"/>
      <c r="X526" s="23"/>
      <c r="Z526" s="23"/>
    </row>
    <row r="527" spans="1:26" ht="13.2">
      <c r="A527" s="23"/>
      <c r="B527" s="23"/>
      <c r="D527" s="23"/>
      <c r="F527" s="23"/>
      <c r="H527" s="23"/>
      <c r="J527" s="23"/>
      <c r="L527" s="23"/>
      <c r="M527" s="23"/>
      <c r="N527" s="23"/>
      <c r="P527" s="23"/>
      <c r="R527" s="23"/>
      <c r="T527" s="23"/>
      <c r="V527" s="23"/>
      <c r="X527" s="23"/>
      <c r="Z527" s="23"/>
    </row>
    <row r="528" spans="1:26" ht="13.2">
      <c r="A528" s="23"/>
      <c r="B528" s="23"/>
      <c r="D528" s="23"/>
      <c r="F528" s="23"/>
      <c r="H528" s="23"/>
      <c r="J528" s="23"/>
      <c r="L528" s="23"/>
      <c r="M528" s="23"/>
      <c r="N528" s="23"/>
      <c r="P528" s="23"/>
      <c r="R528" s="23"/>
      <c r="T528" s="23"/>
      <c r="V528" s="23"/>
      <c r="X528" s="23"/>
      <c r="Z528" s="23"/>
    </row>
    <row r="529" spans="1:26" ht="13.2">
      <c r="A529" s="23"/>
      <c r="B529" s="23"/>
      <c r="D529" s="23"/>
      <c r="F529" s="23"/>
      <c r="H529" s="23"/>
      <c r="J529" s="23"/>
      <c r="L529" s="23"/>
      <c r="M529" s="23"/>
      <c r="N529" s="23"/>
      <c r="P529" s="23"/>
      <c r="R529" s="23"/>
      <c r="T529" s="23"/>
      <c r="V529" s="23"/>
      <c r="X529" s="23"/>
      <c r="Z529" s="23"/>
    </row>
    <row r="530" spans="1:26" ht="13.2">
      <c r="A530" s="23"/>
      <c r="B530" s="23"/>
      <c r="D530" s="23"/>
      <c r="F530" s="23"/>
      <c r="H530" s="23"/>
      <c r="J530" s="23"/>
      <c r="L530" s="23"/>
      <c r="M530" s="23"/>
      <c r="N530" s="23"/>
      <c r="P530" s="23"/>
      <c r="R530" s="23"/>
      <c r="T530" s="23"/>
      <c r="V530" s="23"/>
      <c r="X530" s="23"/>
      <c r="Z530" s="23"/>
    </row>
    <row r="531" spans="1:26" ht="13.2">
      <c r="A531" s="23"/>
      <c r="B531" s="23"/>
      <c r="D531" s="23"/>
      <c r="F531" s="23"/>
      <c r="H531" s="23"/>
      <c r="J531" s="23"/>
      <c r="L531" s="23"/>
      <c r="M531" s="23"/>
      <c r="N531" s="23"/>
      <c r="P531" s="23"/>
      <c r="R531" s="23"/>
      <c r="T531" s="23"/>
      <c r="V531" s="23"/>
      <c r="X531" s="23"/>
      <c r="Z531" s="23"/>
    </row>
    <row r="532" spans="1:26" ht="13.2">
      <c r="A532" s="23"/>
      <c r="B532" s="23"/>
      <c r="D532" s="23"/>
      <c r="F532" s="23"/>
      <c r="H532" s="23"/>
      <c r="J532" s="23"/>
      <c r="L532" s="23"/>
      <c r="M532" s="23"/>
      <c r="N532" s="23"/>
      <c r="P532" s="23"/>
      <c r="R532" s="23"/>
      <c r="T532" s="23"/>
      <c r="V532" s="23"/>
      <c r="X532" s="23"/>
      <c r="Z532" s="23"/>
    </row>
    <row r="533" spans="1:26" ht="13.2">
      <c r="A533" s="23"/>
      <c r="B533" s="23"/>
      <c r="D533" s="23"/>
      <c r="F533" s="23"/>
      <c r="H533" s="23"/>
      <c r="J533" s="23"/>
      <c r="L533" s="23"/>
      <c r="M533" s="23"/>
      <c r="N533" s="23"/>
      <c r="P533" s="23"/>
      <c r="R533" s="23"/>
      <c r="T533" s="23"/>
      <c r="V533" s="23"/>
      <c r="X533" s="23"/>
      <c r="Z533" s="23"/>
    </row>
    <row r="534" spans="1:26" ht="13.2">
      <c r="A534" s="23"/>
      <c r="B534" s="23"/>
      <c r="D534" s="23"/>
      <c r="F534" s="23"/>
      <c r="H534" s="23"/>
      <c r="J534" s="23"/>
      <c r="L534" s="23"/>
      <c r="M534" s="23"/>
      <c r="N534" s="23"/>
      <c r="P534" s="23"/>
      <c r="R534" s="23"/>
      <c r="T534" s="23"/>
      <c r="V534" s="23"/>
      <c r="X534" s="23"/>
      <c r="Z534" s="23"/>
    </row>
    <row r="535" spans="1:26" ht="13.2">
      <c r="A535" s="23"/>
      <c r="B535" s="23"/>
      <c r="D535" s="23"/>
      <c r="F535" s="23"/>
      <c r="H535" s="23"/>
      <c r="J535" s="23"/>
      <c r="L535" s="23"/>
      <c r="M535" s="23"/>
      <c r="N535" s="23"/>
      <c r="P535" s="23"/>
      <c r="R535" s="23"/>
      <c r="T535" s="23"/>
      <c r="V535" s="23"/>
      <c r="X535" s="23"/>
      <c r="Z535" s="23"/>
    </row>
    <row r="536" spans="1:26" ht="13.2">
      <c r="A536" s="23"/>
      <c r="B536" s="23"/>
      <c r="D536" s="23"/>
      <c r="F536" s="23"/>
      <c r="H536" s="23"/>
      <c r="J536" s="23"/>
      <c r="L536" s="23"/>
      <c r="M536" s="23"/>
      <c r="N536" s="23"/>
      <c r="P536" s="23"/>
      <c r="R536" s="23"/>
      <c r="T536" s="23"/>
      <c r="V536" s="23"/>
      <c r="X536" s="23"/>
      <c r="Z536" s="23"/>
    </row>
    <row r="537" spans="1:26" ht="13.2">
      <c r="A537" s="23"/>
      <c r="B537" s="23"/>
      <c r="D537" s="23"/>
      <c r="F537" s="23"/>
      <c r="H537" s="23"/>
      <c r="J537" s="23"/>
      <c r="L537" s="23"/>
      <c r="M537" s="23"/>
      <c r="N537" s="23"/>
      <c r="P537" s="23"/>
      <c r="R537" s="23"/>
      <c r="T537" s="23"/>
      <c r="V537" s="23"/>
      <c r="X537" s="23"/>
      <c r="Z537" s="23"/>
    </row>
    <row r="538" spans="1:26" ht="13.2">
      <c r="A538" s="23"/>
      <c r="B538" s="23"/>
      <c r="D538" s="23"/>
      <c r="F538" s="23"/>
      <c r="H538" s="23"/>
      <c r="J538" s="23"/>
      <c r="L538" s="23"/>
      <c r="M538" s="23"/>
      <c r="N538" s="23"/>
      <c r="P538" s="23"/>
      <c r="R538" s="23"/>
      <c r="T538" s="23"/>
      <c r="V538" s="23"/>
      <c r="X538" s="23"/>
      <c r="Z538" s="23"/>
    </row>
    <row r="539" spans="1:26" ht="13.2">
      <c r="A539" s="23"/>
      <c r="B539" s="23"/>
      <c r="D539" s="23"/>
      <c r="F539" s="23"/>
      <c r="H539" s="23"/>
      <c r="J539" s="23"/>
      <c r="L539" s="23"/>
      <c r="M539" s="23"/>
      <c r="N539" s="23"/>
      <c r="P539" s="23"/>
      <c r="R539" s="23"/>
      <c r="T539" s="23"/>
      <c r="V539" s="23"/>
      <c r="X539" s="23"/>
      <c r="Z539" s="23"/>
    </row>
    <row r="540" spans="1:26" ht="13.2">
      <c r="A540" s="23"/>
      <c r="B540" s="23"/>
      <c r="D540" s="23"/>
      <c r="F540" s="23"/>
      <c r="H540" s="23"/>
      <c r="J540" s="23"/>
      <c r="L540" s="23"/>
      <c r="M540" s="23"/>
      <c r="N540" s="23"/>
      <c r="P540" s="23"/>
      <c r="R540" s="23"/>
      <c r="T540" s="23"/>
      <c r="V540" s="23"/>
      <c r="X540" s="23"/>
      <c r="Z540" s="23"/>
    </row>
    <row r="541" spans="1:26" ht="13.2">
      <c r="A541" s="23"/>
      <c r="B541" s="23"/>
      <c r="D541" s="23"/>
      <c r="F541" s="23"/>
      <c r="H541" s="23"/>
      <c r="J541" s="23"/>
      <c r="L541" s="23"/>
      <c r="M541" s="23"/>
      <c r="N541" s="23"/>
      <c r="P541" s="23"/>
      <c r="R541" s="23"/>
      <c r="T541" s="23"/>
      <c r="V541" s="23"/>
      <c r="X541" s="23"/>
      <c r="Z541" s="23"/>
    </row>
    <row r="542" spans="1:26" ht="13.2">
      <c r="A542" s="23"/>
      <c r="B542" s="23"/>
      <c r="D542" s="23"/>
      <c r="F542" s="23"/>
      <c r="H542" s="23"/>
      <c r="J542" s="23"/>
      <c r="L542" s="23"/>
      <c r="M542" s="23"/>
      <c r="N542" s="23"/>
      <c r="P542" s="23"/>
      <c r="R542" s="23"/>
      <c r="T542" s="23"/>
      <c r="V542" s="23"/>
      <c r="X542" s="23"/>
      <c r="Z542" s="23"/>
    </row>
    <row r="543" spans="1:26" ht="13.2">
      <c r="A543" s="23"/>
      <c r="B543" s="23"/>
      <c r="D543" s="23"/>
      <c r="F543" s="23"/>
      <c r="H543" s="23"/>
      <c r="J543" s="23"/>
      <c r="L543" s="23"/>
      <c r="M543" s="23"/>
      <c r="N543" s="23"/>
      <c r="P543" s="23"/>
      <c r="R543" s="23"/>
      <c r="T543" s="23"/>
      <c r="V543" s="23"/>
      <c r="X543" s="23"/>
      <c r="Z543" s="23"/>
    </row>
    <row r="544" spans="1:26" ht="13.2">
      <c r="A544" s="23"/>
      <c r="B544" s="23"/>
      <c r="D544" s="23"/>
      <c r="F544" s="23"/>
      <c r="H544" s="23"/>
      <c r="J544" s="23"/>
      <c r="L544" s="23"/>
      <c r="M544" s="23"/>
      <c r="N544" s="23"/>
      <c r="P544" s="23"/>
      <c r="R544" s="23"/>
      <c r="T544" s="23"/>
      <c r="V544" s="23"/>
      <c r="X544" s="23"/>
      <c r="Z544" s="23"/>
    </row>
    <row r="545" spans="1:26" ht="13.2">
      <c r="A545" s="23"/>
      <c r="B545" s="23"/>
      <c r="D545" s="23"/>
      <c r="F545" s="23"/>
      <c r="H545" s="23"/>
      <c r="J545" s="23"/>
      <c r="L545" s="23"/>
      <c r="M545" s="23"/>
      <c r="N545" s="23"/>
      <c r="P545" s="23"/>
      <c r="R545" s="23"/>
      <c r="T545" s="23"/>
      <c r="V545" s="23"/>
      <c r="X545" s="23"/>
      <c r="Z545" s="23"/>
    </row>
    <row r="546" spans="1:26" ht="13.2">
      <c r="A546" s="23"/>
      <c r="B546" s="23"/>
      <c r="D546" s="23"/>
      <c r="F546" s="23"/>
      <c r="H546" s="23"/>
      <c r="J546" s="23"/>
      <c r="L546" s="23"/>
      <c r="M546" s="23"/>
      <c r="N546" s="23"/>
      <c r="P546" s="23"/>
      <c r="R546" s="23"/>
      <c r="T546" s="23"/>
      <c r="V546" s="23"/>
      <c r="X546" s="23"/>
      <c r="Z546" s="23"/>
    </row>
    <row r="547" spans="1:26" ht="13.2">
      <c r="A547" s="23"/>
      <c r="B547" s="23"/>
      <c r="D547" s="23"/>
      <c r="F547" s="23"/>
      <c r="H547" s="23"/>
      <c r="J547" s="23"/>
      <c r="L547" s="23"/>
      <c r="M547" s="23"/>
      <c r="N547" s="23"/>
      <c r="P547" s="23"/>
      <c r="R547" s="23"/>
      <c r="T547" s="23"/>
      <c r="V547" s="23"/>
      <c r="X547" s="23"/>
      <c r="Z547" s="23"/>
    </row>
    <row r="548" spans="1:26" ht="13.2">
      <c r="A548" s="23"/>
      <c r="B548" s="23"/>
      <c r="D548" s="23"/>
      <c r="F548" s="23"/>
      <c r="H548" s="23"/>
      <c r="J548" s="23"/>
      <c r="L548" s="23"/>
      <c r="M548" s="23"/>
      <c r="N548" s="23"/>
      <c r="P548" s="23"/>
      <c r="R548" s="23"/>
      <c r="T548" s="23"/>
      <c r="V548" s="23"/>
      <c r="X548" s="23"/>
      <c r="Z548" s="23"/>
    </row>
    <row r="549" spans="1:26" ht="13.2">
      <c r="A549" s="23"/>
      <c r="B549" s="23"/>
      <c r="D549" s="23"/>
      <c r="F549" s="23"/>
      <c r="H549" s="23"/>
      <c r="J549" s="23"/>
      <c r="L549" s="23"/>
      <c r="M549" s="23"/>
      <c r="N549" s="23"/>
      <c r="P549" s="23"/>
      <c r="R549" s="23"/>
      <c r="T549" s="23"/>
      <c r="V549" s="23"/>
      <c r="X549" s="23"/>
      <c r="Z549" s="23"/>
    </row>
    <row r="550" spans="1:26" ht="13.2">
      <c r="A550" s="23"/>
      <c r="B550" s="23"/>
      <c r="D550" s="23"/>
      <c r="F550" s="23"/>
      <c r="H550" s="23"/>
      <c r="J550" s="23"/>
      <c r="L550" s="23"/>
      <c r="M550" s="23"/>
      <c r="N550" s="23"/>
      <c r="P550" s="23"/>
      <c r="R550" s="23"/>
      <c r="T550" s="23"/>
      <c r="V550" s="23"/>
      <c r="X550" s="23"/>
      <c r="Z550" s="23"/>
    </row>
    <row r="551" spans="1:26" ht="13.2">
      <c r="A551" s="23"/>
      <c r="B551" s="23"/>
      <c r="D551" s="23"/>
      <c r="F551" s="23"/>
      <c r="H551" s="23"/>
      <c r="J551" s="23"/>
      <c r="L551" s="23"/>
      <c r="M551" s="23"/>
      <c r="N551" s="23"/>
      <c r="P551" s="23"/>
      <c r="R551" s="23"/>
      <c r="T551" s="23"/>
      <c r="V551" s="23"/>
      <c r="X551" s="23"/>
      <c r="Z551" s="23"/>
    </row>
    <row r="552" spans="1:26" ht="13.2">
      <c r="A552" s="23"/>
      <c r="B552" s="23"/>
      <c r="D552" s="23"/>
      <c r="F552" s="23"/>
      <c r="H552" s="23"/>
      <c r="J552" s="23"/>
      <c r="L552" s="23"/>
      <c r="M552" s="23"/>
      <c r="N552" s="23"/>
      <c r="P552" s="23"/>
      <c r="R552" s="23"/>
      <c r="T552" s="23"/>
      <c r="V552" s="23"/>
      <c r="X552" s="23"/>
      <c r="Z552" s="23"/>
    </row>
    <row r="553" spans="1:26" ht="13.2">
      <c r="A553" s="23"/>
      <c r="B553" s="23"/>
      <c r="D553" s="23"/>
      <c r="F553" s="23"/>
      <c r="H553" s="23"/>
      <c r="J553" s="23"/>
      <c r="L553" s="23"/>
      <c r="M553" s="23"/>
      <c r="N553" s="23"/>
      <c r="P553" s="23"/>
      <c r="R553" s="23"/>
      <c r="T553" s="23"/>
      <c r="V553" s="23"/>
      <c r="X553" s="23"/>
      <c r="Z553" s="23"/>
    </row>
    <row r="554" spans="1:26" ht="13.2">
      <c r="A554" s="23"/>
      <c r="B554" s="23"/>
      <c r="D554" s="23"/>
      <c r="F554" s="23"/>
      <c r="H554" s="23"/>
      <c r="J554" s="23"/>
      <c r="L554" s="23"/>
      <c r="M554" s="23"/>
      <c r="N554" s="23"/>
      <c r="P554" s="23"/>
      <c r="R554" s="23"/>
      <c r="T554" s="23"/>
      <c r="V554" s="23"/>
      <c r="X554" s="23"/>
      <c r="Z554" s="23"/>
    </row>
    <row r="555" spans="1:26" ht="13.2">
      <c r="A555" s="23"/>
      <c r="B555" s="23"/>
      <c r="D555" s="23"/>
      <c r="F555" s="23"/>
      <c r="H555" s="23"/>
      <c r="J555" s="23"/>
      <c r="L555" s="23"/>
      <c r="M555" s="23"/>
      <c r="N555" s="23"/>
      <c r="P555" s="23"/>
      <c r="R555" s="23"/>
      <c r="T555" s="23"/>
      <c r="V555" s="23"/>
      <c r="X555" s="23"/>
      <c r="Z555" s="23"/>
    </row>
    <row r="556" spans="1:26" ht="13.2">
      <c r="A556" s="23"/>
      <c r="B556" s="23"/>
      <c r="D556" s="23"/>
      <c r="F556" s="23"/>
      <c r="H556" s="23"/>
      <c r="J556" s="23"/>
      <c r="L556" s="23"/>
      <c r="M556" s="23"/>
      <c r="N556" s="23"/>
      <c r="P556" s="23"/>
      <c r="R556" s="23"/>
      <c r="T556" s="23"/>
      <c r="V556" s="23"/>
      <c r="X556" s="23"/>
      <c r="Z556" s="23"/>
    </row>
    <row r="557" spans="1:26" ht="13.2">
      <c r="A557" s="23"/>
      <c r="B557" s="23"/>
      <c r="D557" s="23"/>
      <c r="F557" s="23"/>
      <c r="H557" s="23"/>
      <c r="J557" s="23"/>
      <c r="L557" s="23"/>
      <c r="M557" s="23"/>
      <c r="N557" s="23"/>
      <c r="P557" s="23"/>
      <c r="R557" s="23"/>
      <c r="T557" s="23"/>
      <c r="V557" s="23"/>
      <c r="X557" s="23"/>
      <c r="Z557" s="23"/>
    </row>
    <row r="558" spans="1:26" ht="13.2">
      <c r="A558" s="23"/>
      <c r="B558" s="23"/>
      <c r="D558" s="23"/>
      <c r="F558" s="23"/>
      <c r="H558" s="23"/>
      <c r="J558" s="23"/>
      <c r="L558" s="23"/>
      <c r="M558" s="23"/>
      <c r="N558" s="23"/>
      <c r="P558" s="23"/>
      <c r="R558" s="23"/>
      <c r="T558" s="23"/>
      <c r="V558" s="23"/>
      <c r="X558" s="23"/>
      <c r="Z558" s="23"/>
    </row>
    <row r="559" spans="1:26" ht="13.2">
      <c r="A559" s="23"/>
      <c r="B559" s="23"/>
      <c r="D559" s="23"/>
      <c r="F559" s="23"/>
      <c r="H559" s="23"/>
      <c r="J559" s="23"/>
      <c r="L559" s="23"/>
      <c r="M559" s="23"/>
      <c r="N559" s="23"/>
      <c r="P559" s="23"/>
      <c r="R559" s="23"/>
      <c r="T559" s="23"/>
      <c r="V559" s="23"/>
      <c r="X559" s="23"/>
      <c r="Z559" s="23"/>
    </row>
    <row r="560" spans="1:26" ht="13.2">
      <c r="A560" s="23"/>
      <c r="B560" s="23"/>
      <c r="D560" s="23"/>
      <c r="F560" s="23"/>
      <c r="H560" s="23"/>
      <c r="J560" s="23"/>
      <c r="L560" s="23"/>
      <c r="M560" s="23"/>
      <c r="N560" s="23"/>
      <c r="P560" s="23"/>
      <c r="R560" s="23"/>
      <c r="T560" s="23"/>
      <c r="V560" s="23"/>
      <c r="X560" s="23"/>
      <c r="Z560" s="23"/>
    </row>
    <row r="561" spans="1:26" ht="13.2">
      <c r="A561" s="23"/>
      <c r="B561" s="23"/>
      <c r="D561" s="23"/>
      <c r="F561" s="23"/>
      <c r="H561" s="23"/>
      <c r="J561" s="23"/>
      <c r="L561" s="23"/>
      <c r="M561" s="23"/>
      <c r="N561" s="23"/>
      <c r="P561" s="23"/>
      <c r="R561" s="23"/>
      <c r="T561" s="23"/>
      <c r="V561" s="23"/>
      <c r="X561" s="23"/>
      <c r="Z561" s="23"/>
    </row>
    <row r="562" spans="1:26" ht="13.2">
      <c r="A562" s="23"/>
      <c r="B562" s="23"/>
      <c r="D562" s="23"/>
      <c r="F562" s="23"/>
      <c r="H562" s="23"/>
      <c r="J562" s="23"/>
      <c r="L562" s="23"/>
      <c r="M562" s="23"/>
      <c r="N562" s="23"/>
      <c r="P562" s="23"/>
      <c r="R562" s="23"/>
      <c r="T562" s="23"/>
      <c r="V562" s="23"/>
      <c r="X562" s="23"/>
      <c r="Z562" s="23"/>
    </row>
    <row r="563" spans="1:26" ht="13.2">
      <c r="A563" s="23"/>
      <c r="B563" s="23"/>
      <c r="D563" s="23"/>
      <c r="F563" s="23"/>
      <c r="H563" s="23"/>
      <c r="J563" s="23"/>
      <c r="L563" s="23"/>
      <c r="M563" s="23"/>
      <c r="N563" s="23"/>
      <c r="P563" s="23"/>
      <c r="R563" s="23"/>
      <c r="T563" s="23"/>
      <c r="V563" s="23"/>
      <c r="X563" s="23"/>
      <c r="Z563" s="23"/>
    </row>
    <row r="564" spans="1:26" ht="13.2">
      <c r="A564" s="23"/>
      <c r="B564" s="23"/>
      <c r="D564" s="23"/>
      <c r="F564" s="23"/>
      <c r="H564" s="23"/>
      <c r="J564" s="23"/>
      <c r="L564" s="23"/>
      <c r="M564" s="23"/>
      <c r="N564" s="23"/>
      <c r="P564" s="23"/>
      <c r="R564" s="23"/>
      <c r="T564" s="23"/>
      <c r="V564" s="23"/>
      <c r="X564" s="23"/>
      <c r="Z564" s="23"/>
    </row>
    <row r="565" spans="1:26" ht="13.2">
      <c r="A565" s="23"/>
      <c r="B565" s="23"/>
      <c r="D565" s="23"/>
      <c r="F565" s="23"/>
      <c r="H565" s="23"/>
      <c r="J565" s="23"/>
      <c r="L565" s="23"/>
      <c r="M565" s="23"/>
      <c r="N565" s="23"/>
      <c r="P565" s="23"/>
      <c r="R565" s="23"/>
      <c r="T565" s="23"/>
      <c r="V565" s="23"/>
      <c r="X565" s="23"/>
      <c r="Z565" s="23"/>
    </row>
    <row r="566" spans="1:26" ht="13.2">
      <c r="A566" s="23"/>
      <c r="B566" s="23"/>
      <c r="D566" s="23"/>
      <c r="F566" s="23"/>
      <c r="H566" s="23"/>
      <c r="J566" s="23"/>
      <c r="L566" s="23"/>
      <c r="M566" s="23"/>
      <c r="N566" s="23"/>
      <c r="P566" s="23"/>
      <c r="R566" s="23"/>
      <c r="T566" s="23"/>
      <c r="V566" s="23"/>
      <c r="X566" s="23"/>
      <c r="Z566" s="23"/>
    </row>
    <row r="567" spans="1:26" ht="13.2">
      <c r="A567" s="23"/>
      <c r="B567" s="23"/>
      <c r="D567" s="23"/>
      <c r="F567" s="23"/>
      <c r="H567" s="23"/>
      <c r="J567" s="23"/>
      <c r="L567" s="23"/>
      <c r="M567" s="23"/>
      <c r="N567" s="23"/>
      <c r="P567" s="23"/>
      <c r="R567" s="23"/>
      <c r="T567" s="23"/>
      <c r="V567" s="23"/>
      <c r="X567" s="23"/>
      <c r="Z567" s="23"/>
    </row>
    <row r="568" spans="1:26" ht="13.2">
      <c r="A568" s="23"/>
      <c r="B568" s="23"/>
      <c r="D568" s="23"/>
      <c r="F568" s="23"/>
      <c r="H568" s="23"/>
      <c r="J568" s="23"/>
      <c r="L568" s="23"/>
      <c r="M568" s="23"/>
      <c r="N568" s="23"/>
      <c r="P568" s="23"/>
      <c r="R568" s="23"/>
      <c r="T568" s="23"/>
      <c r="V568" s="23"/>
      <c r="X568" s="23"/>
      <c r="Z568" s="23"/>
    </row>
    <row r="569" spans="1:26" ht="13.2">
      <c r="A569" s="23"/>
      <c r="B569" s="23"/>
      <c r="D569" s="23"/>
      <c r="F569" s="23"/>
      <c r="H569" s="23"/>
      <c r="J569" s="23"/>
      <c r="L569" s="23"/>
      <c r="M569" s="23"/>
      <c r="N569" s="23"/>
      <c r="P569" s="23"/>
      <c r="R569" s="23"/>
      <c r="T569" s="23"/>
      <c r="V569" s="23"/>
      <c r="X569" s="23"/>
      <c r="Z569" s="23"/>
    </row>
    <row r="570" spans="1:26" ht="13.2">
      <c r="A570" s="23"/>
      <c r="B570" s="23"/>
      <c r="D570" s="23"/>
      <c r="F570" s="23"/>
      <c r="H570" s="23"/>
      <c r="J570" s="23"/>
      <c r="L570" s="23"/>
      <c r="M570" s="23"/>
      <c r="N570" s="23"/>
      <c r="P570" s="23"/>
      <c r="R570" s="23"/>
      <c r="T570" s="23"/>
      <c r="V570" s="23"/>
      <c r="X570" s="23"/>
      <c r="Z570" s="23"/>
    </row>
    <row r="571" spans="1:26" ht="13.2">
      <c r="A571" s="23"/>
      <c r="B571" s="23"/>
      <c r="D571" s="23"/>
      <c r="F571" s="23"/>
      <c r="H571" s="23"/>
      <c r="J571" s="23"/>
      <c r="L571" s="23"/>
      <c r="M571" s="23"/>
      <c r="N571" s="23"/>
      <c r="P571" s="23"/>
      <c r="R571" s="23"/>
      <c r="T571" s="23"/>
      <c r="V571" s="23"/>
      <c r="X571" s="23"/>
      <c r="Z571" s="23"/>
    </row>
    <row r="572" spans="1:26" ht="13.2">
      <c r="A572" s="23"/>
      <c r="B572" s="23"/>
      <c r="D572" s="23"/>
      <c r="F572" s="23"/>
      <c r="H572" s="23"/>
      <c r="J572" s="23"/>
      <c r="L572" s="23"/>
      <c r="M572" s="23"/>
      <c r="N572" s="23"/>
      <c r="P572" s="23"/>
      <c r="R572" s="23"/>
      <c r="T572" s="23"/>
      <c r="V572" s="23"/>
      <c r="X572" s="23"/>
      <c r="Z572" s="23"/>
    </row>
    <row r="573" spans="1:26" ht="13.2">
      <c r="A573" s="23"/>
      <c r="B573" s="23"/>
      <c r="D573" s="23"/>
      <c r="F573" s="23"/>
      <c r="H573" s="23"/>
      <c r="J573" s="23"/>
      <c r="L573" s="23"/>
      <c r="M573" s="23"/>
      <c r="N573" s="23"/>
      <c r="P573" s="23"/>
      <c r="R573" s="23"/>
      <c r="T573" s="23"/>
      <c r="V573" s="23"/>
      <c r="X573" s="23"/>
      <c r="Z573" s="23"/>
    </row>
    <row r="574" spans="1:26" ht="13.2">
      <c r="A574" s="23"/>
      <c r="B574" s="23"/>
      <c r="D574" s="23"/>
      <c r="F574" s="23"/>
      <c r="H574" s="23"/>
      <c r="J574" s="23"/>
      <c r="L574" s="23"/>
      <c r="M574" s="23"/>
      <c r="N574" s="23"/>
      <c r="P574" s="23"/>
      <c r="R574" s="23"/>
      <c r="T574" s="23"/>
      <c r="V574" s="23"/>
      <c r="X574" s="23"/>
      <c r="Z574" s="23"/>
    </row>
    <row r="575" spans="1:26" ht="13.2">
      <c r="A575" s="23"/>
      <c r="B575" s="23"/>
      <c r="D575" s="23"/>
      <c r="F575" s="23"/>
      <c r="H575" s="23"/>
      <c r="J575" s="23"/>
      <c r="L575" s="23"/>
      <c r="M575" s="23"/>
      <c r="N575" s="23"/>
      <c r="P575" s="23"/>
      <c r="R575" s="23"/>
      <c r="T575" s="23"/>
      <c r="V575" s="23"/>
      <c r="X575" s="23"/>
      <c r="Z575" s="23"/>
    </row>
    <row r="576" spans="1:26" ht="13.2">
      <c r="A576" s="23"/>
      <c r="B576" s="23"/>
      <c r="D576" s="23"/>
      <c r="F576" s="23"/>
      <c r="H576" s="23"/>
      <c r="J576" s="23"/>
      <c r="L576" s="23"/>
      <c r="M576" s="23"/>
      <c r="N576" s="23"/>
      <c r="P576" s="23"/>
      <c r="R576" s="23"/>
      <c r="T576" s="23"/>
      <c r="V576" s="23"/>
      <c r="X576" s="23"/>
      <c r="Z576" s="23"/>
    </row>
    <row r="577" spans="1:26" ht="13.2">
      <c r="A577" s="23"/>
      <c r="B577" s="23"/>
      <c r="D577" s="23"/>
      <c r="F577" s="23"/>
      <c r="H577" s="23"/>
      <c r="J577" s="23"/>
      <c r="L577" s="23"/>
      <c r="M577" s="23"/>
      <c r="N577" s="23"/>
      <c r="P577" s="23"/>
      <c r="R577" s="23"/>
      <c r="T577" s="23"/>
      <c r="V577" s="23"/>
      <c r="X577" s="23"/>
      <c r="Z577" s="23"/>
    </row>
    <row r="578" spans="1:26" ht="13.2">
      <c r="A578" s="23"/>
      <c r="B578" s="23"/>
      <c r="D578" s="23"/>
      <c r="F578" s="23"/>
      <c r="H578" s="23"/>
      <c r="J578" s="23"/>
      <c r="L578" s="23"/>
      <c r="M578" s="23"/>
      <c r="N578" s="23"/>
      <c r="P578" s="23"/>
      <c r="R578" s="23"/>
      <c r="T578" s="23"/>
      <c r="V578" s="23"/>
      <c r="X578" s="23"/>
      <c r="Z578" s="23"/>
    </row>
    <row r="579" spans="1:26" ht="13.2">
      <c r="A579" s="23"/>
      <c r="B579" s="23"/>
      <c r="D579" s="23"/>
      <c r="F579" s="23"/>
      <c r="H579" s="23"/>
      <c r="J579" s="23"/>
      <c r="L579" s="23"/>
      <c r="M579" s="23"/>
      <c r="N579" s="23"/>
      <c r="P579" s="23"/>
      <c r="R579" s="23"/>
      <c r="T579" s="23"/>
      <c r="V579" s="23"/>
      <c r="X579" s="23"/>
      <c r="Z579" s="23"/>
    </row>
    <row r="580" spans="1:26" ht="13.2">
      <c r="A580" s="23"/>
      <c r="B580" s="23"/>
      <c r="D580" s="23"/>
      <c r="F580" s="23"/>
      <c r="H580" s="23"/>
      <c r="J580" s="23"/>
      <c r="L580" s="23"/>
      <c r="M580" s="23"/>
      <c r="N580" s="23"/>
      <c r="P580" s="23"/>
      <c r="R580" s="23"/>
      <c r="T580" s="23"/>
      <c r="V580" s="23"/>
      <c r="X580" s="23"/>
      <c r="Z580" s="23"/>
    </row>
    <row r="581" spans="1:26" ht="13.2">
      <c r="A581" s="23"/>
      <c r="B581" s="23"/>
      <c r="D581" s="23"/>
      <c r="F581" s="23"/>
      <c r="H581" s="23"/>
      <c r="J581" s="23"/>
      <c r="L581" s="23"/>
      <c r="M581" s="23"/>
      <c r="N581" s="23"/>
      <c r="P581" s="23"/>
      <c r="R581" s="23"/>
      <c r="T581" s="23"/>
      <c r="V581" s="23"/>
      <c r="X581" s="23"/>
      <c r="Z581" s="23"/>
    </row>
    <row r="582" spans="1:26" ht="13.2">
      <c r="A582" s="23"/>
      <c r="B582" s="23"/>
      <c r="D582" s="23"/>
      <c r="F582" s="23"/>
      <c r="H582" s="23"/>
      <c r="J582" s="23"/>
      <c r="L582" s="23"/>
      <c r="M582" s="23"/>
      <c r="N582" s="23"/>
      <c r="P582" s="23"/>
      <c r="R582" s="23"/>
      <c r="T582" s="23"/>
      <c r="V582" s="23"/>
      <c r="X582" s="23"/>
      <c r="Z582" s="23"/>
    </row>
    <row r="583" spans="1:26" ht="13.2">
      <c r="A583" s="23"/>
      <c r="B583" s="23"/>
      <c r="D583" s="23"/>
      <c r="F583" s="23"/>
      <c r="H583" s="23"/>
      <c r="J583" s="23"/>
      <c r="L583" s="23"/>
      <c r="M583" s="23"/>
      <c r="N583" s="23"/>
      <c r="P583" s="23"/>
      <c r="R583" s="23"/>
      <c r="T583" s="23"/>
      <c r="V583" s="23"/>
      <c r="X583" s="23"/>
      <c r="Z583" s="23"/>
    </row>
    <row r="584" spans="1:26" ht="13.2">
      <c r="A584" s="23"/>
      <c r="B584" s="23"/>
      <c r="D584" s="23"/>
      <c r="F584" s="23"/>
      <c r="H584" s="23"/>
      <c r="J584" s="23"/>
      <c r="L584" s="23"/>
      <c r="M584" s="23"/>
      <c r="N584" s="23"/>
      <c r="P584" s="23"/>
      <c r="R584" s="23"/>
      <c r="T584" s="23"/>
      <c r="V584" s="23"/>
      <c r="X584" s="23"/>
      <c r="Z584" s="23"/>
    </row>
    <row r="585" spans="1:26" ht="13.2">
      <c r="A585" s="23"/>
      <c r="B585" s="23"/>
      <c r="D585" s="23"/>
      <c r="F585" s="23"/>
      <c r="H585" s="23"/>
      <c r="J585" s="23"/>
      <c r="L585" s="23"/>
      <c r="M585" s="23"/>
      <c r="N585" s="23"/>
      <c r="P585" s="23"/>
      <c r="R585" s="23"/>
      <c r="T585" s="23"/>
      <c r="V585" s="23"/>
      <c r="X585" s="23"/>
      <c r="Z585" s="23"/>
    </row>
    <row r="586" spans="1:26" ht="13.2">
      <c r="A586" s="23"/>
      <c r="B586" s="23"/>
      <c r="D586" s="23"/>
      <c r="F586" s="23"/>
      <c r="H586" s="23"/>
      <c r="J586" s="23"/>
      <c r="L586" s="23"/>
      <c r="M586" s="23"/>
      <c r="N586" s="23"/>
      <c r="P586" s="23"/>
      <c r="R586" s="23"/>
      <c r="T586" s="23"/>
      <c r="V586" s="23"/>
      <c r="X586" s="23"/>
      <c r="Z586" s="23"/>
    </row>
    <row r="587" spans="1:26" ht="13.2">
      <c r="A587" s="23"/>
      <c r="B587" s="23"/>
      <c r="D587" s="23"/>
      <c r="F587" s="23"/>
      <c r="H587" s="23"/>
      <c r="J587" s="23"/>
      <c r="L587" s="23"/>
      <c r="M587" s="23"/>
      <c r="N587" s="23"/>
      <c r="P587" s="23"/>
      <c r="R587" s="23"/>
      <c r="T587" s="23"/>
      <c r="V587" s="23"/>
      <c r="X587" s="23"/>
      <c r="Z587" s="23"/>
    </row>
    <row r="588" spans="1:26" ht="13.2">
      <c r="A588" s="23"/>
      <c r="B588" s="23"/>
      <c r="D588" s="23"/>
      <c r="F588" s="23"/>
      <c r="H588" s="23"/>
      <c r="J588" s="23"/>
      <c r="L588" s="23"/>
      <c r="M588" s="23"/>
      <c r="N588" s="23"/>
      <c r="P588" s="23"/>
      <c r="R588" s="23"/>
      <c r="T588" s="23"/>
      <c r="V588" s="23"/>
      <c r="X588" s="23"/>
      <c r="Z588" s="23"/>
    </row>
    <row r="589" spans="1:26" ht="13.2">
      <c r="A589" s="23"/>
      <c r="B589" s="23"/>
      <c r="D589" s="23"/>
      <c r="F589" s="23"/>
      <c r="H589" s="23"/>
      <c r="J589" s="23"/>
      <c r="L589" s="23"/>
      <c r="M589" s="23"/>
      <c r="N589" s="23"/>
      <c r="P589" s="23"/>
      <c r="R589" s="23"/>
      <c r="T589" s="23"/>
      <c r="V589" s="23"/>
      <c r="X589" s="23"/>
      <c r="Z589" s="23"/>
    </row>
    <row r="590" spans="1:26" ht="13.2">
      <c r="A590" s="23"/>
      <c r="B590" s="23"/>
      <c r="D590" s="23"/>
      <c r="F590" s="23"/>
      <c r="H590" s="23"/>
      <c r="J590" s="23"/>
      <c r="L590" s="23"/>
      <c r="M590" s="23"/>
      <c r="N590" s="23"/>
      <c r="P590" s="23"/>
      <c r="R590" s="23"/>
      <c r="T590" s="23"/>
      <c r="V590" s="23"/>
      <c r="X590" s="23"/>
      <c r="Z590" s="23"/>
    </row>
    <row r="591" spans="1:26" ht="13.2">
      <c r="A591" s="23"/>
      <c r="B591" s="23"/>
      <c r="D591" s="23"/>
      <c r="F591" s="23"/>
      <c r="H591" s="23"/>
      <c r="J591" s="23"/>
      <c r="L591" s="23"/>
      <c r="M591" s="23"/>
      <c r="N591" s="23"/>
      <c r="P591" s="23"/>
      <c r="R591" s="23"/>
      <c r="T591" s="23"/>
      <c r="V591" s="23"/>
      <c r="X591" s="23"/>
      <c r="Z591" s="23"/>
    </row>
    <row r="592" spans="1:26" ht="13.2">
      <c r="A592" s="23"/>
      <c r="B592" s="23"/>
      <c r="D592" s="23"/>
      <c r="F592" s="23"/>
      <c r="H592" s="23"/>
      <c r="J592" s="23"/>
      <c r="L592" s="23"/>
      <c r="M592" s="23"/>
      <c r="N592" s="23"/>
      <c r="P592" s="23"/>
      <c r="R592" s="23"/>
      <c r="T592" s="23"/>
      <c r="V592" s="23"/>
      <c r="X592" s="23"/>
      <c r="Z592" s="23"/>
    </row>
    <row r="593" spans="1:26" ht="13.2">
      <c r="A593" s="23"/>
      <c r="B593" s="23"/>
      <c r="D593" s="23"/>
      <c r="F593" s="23"/>
      <c r="H593" s="23"/>
      <c r="J593" s="23"/>
      <c r="L593" s="23"/>
      <c r="M593" s="23"/>
      <c r="N593" s="23"/>
      <c r="P593" s="23"/>
      <c r="R593" s="23"/>
      <c r="T593" s="23"/>
      <c r="V593" s="23"/>
      <c r="X593" s="23"/>
      <c r="Z593" s="23"/>
    </row>
    <row r="594" spans="1:26" ht="13.2">
      <c r="A594" s="23"/>
      <c r="B594" s="23"/>
      <c r="D594" s="23"/>
      <c r="F594" s="23"/>
      <c r="H594" s="23"/>
      <c r="J594" s="23"/>
      <c r="L594" s="23"/>
      <c r="M594" s="23"/>
      <c r="N594" s="23"/>
      <c r="P594" s="23"/>
      <c r="R594" s="23"/>
      <c r="T594" s="23"/>
      <c r="V594" s="23"/>
      <c r="X594" s="23"/>
      <c r="Z594" s="23"/>
    </row>
    <row r="595" spans="1:26" ht="13.2">
      <c r="A595" s="23"/>
      <c r="B595" s="23"/>
      <c r="D595" s="23"/>
      <c r="F595" s="23"/>
      <c r="H595" s="23"/>
      <c r="J595" s="23"/>
      <c r="L595" s="23"/>
      <c r="M595" s="23"/>
      <c r="N595" s="23"/>
      <c r="P595" s="23"/>
      <c r="R595" s="23"/>
      <c r="T595" s="23"/>
      <c r="V595" s="23"/>
      <c r="X595" s="23"/>
      <c r="Z595" s="23"/>
    </row>
    <row r="596" spans="1:26" ht="13.2">
      <c r="A596" s="23"/>
      <c r="B596" s="23"/>
      <c r="D596" s="23"/>
      <c r="F596" s="23"/>
      <c r="H596" s="23"/>
      <c r="J596" s="23"/>
      <c r="L596" s="23"/>
      <c r="M596" s="23"/>
      <c r="N596" s="23"/>
      <c r="P596" s="23"/>
      <c r="R596" s="23"/>
      <c r="T596" s="23"/>
      <c r="V596" s="23"/>
      <c r="X596" s="23"/>
      <c r="Z596" s="23"/>
    </row>
    <row r="597" spans="1:26" ht="13.2">
      <c r="A597" s="23"/>
      <c r="B597" s="23"/>
      <c r="D597" s="23"/>
      <c r="F597" s="23"/>
      <c r="H597" s="23"/>
      <c r="J597" s="23"/>
      <c r="L597" s="23"/>
      <c r="M597" s="23"/>
      <c r="N597" s="23"/>
      <c r="P597" s="23"/>
      <c r="R597" s="23"/>
      <c r="T597" s="23"/>
      <c r="V597" s="23"/>
      <c r="X597" s="23"/>
      <c r="Z597" s="23"/>
    </row>
    <row r="598" spans="1:26" ht="13.2">
      <c r="A598" s="23"/>
      <c r="B598" s="23"/>
      <c r="D598" s="23"/>
      <c r="F598" s="23"/>
      <c r="H598" s="23"/>
      <c r="J598" s="23"/>
      <c r="L598" s="23"/>
      <c r="M598" s="23"/>
      <c r="N598" s="23"/>
      <c r="P598" s="23"/>
      <c r="R598" s="23"/>
      <c r="T598" s="23"/>
      <c r="V598" s="23"/>
      <c r="X598" s="23"/>
      <c r="Z598" s="23"/>
    </row>
    <row r="599" spans="1:26" ht="13.2">
      <c r="A599" s="23"/>
      <c r="B599" s="23"/>
      <c r="D599" s="23"/>
      <c r="F599" s="23"/>
      <c r="H599" s="23"/>
      <c r="J599" s="23"/>
      <c r="L599" s="23"/>
      <c r="M599" s="23"/>
      <c r="N599" s="23"/>
      <c r="P599" s="23"/>
      <c r="R599" s="23"/>
      <c r="T599" s="23"/>
      <c r="V599" s="23"/>
      <c r="X599" s="23"/>
      <c r="Z599" s="23"/>
    </row>
    <row r="600" spans="1:26" ht="13.2">
      <c r="A600" s="23"/>
      <c r="B600" s="23"/>
      <c r="D600" s="23"/>
      <c r="F600" s="23"/>
      <c r="H600" s="23"/>
      <c r="J600" s="23"/>
      <c r="L600" s="23"/>
      <c r="M600" s="23"/>
      <c r="N600" s="23"/>
      <c r="P600" s="23"/>
      <c r="R600" s="23"/>
      <c r="T600" s="23"/>
      <c r="V600" s="23"/>
      <c r="X600" s="23"/>
      <c r="Z600" s="23"/>
    </row>
    <row r="601" spans="1:26" ht="13.2">
      <c r="A601" s="23"/>
      <c r="B601" s="23"/>
      <c r="D601" s="23"/>
      <c r="F601" s="23"/>
      <c r="H601" s="23"/>
      <c r="J601" s="23"/>
      <c r="L601" s="23"/>
      <c r="M601" s="23"/>
      <c r="N601" s="23"/>
      <c r="P601" s="23"/>
      <c r="R601" s="23"/>
      <c r="T601" s="23"/>
      <c r="V601" s="23"/>
      <c r="X601" s="23"/>
      <c r="Z601" s="23"/>
    </row>
    <row r="602" spans="1:26" ht="13.2">
      <c r="A602" s="23"/>
      <c r="B602" s="23"/>
      <c r="D602" s="23"/>
      <c r="F602" s="23"/>
      <c r="H602" s="23"/>
      <c r="J602" s="23"/>
      <c r="L602" s="23"/>
      <c r="M602" s="23"/>
      <c r="N602" s="23"/>
      <c r="P602" s="23"/>
      <c r="R602" s="23"/>
      <c r="T602" s="23"/>
      <c r="V602" s="23"/>
      <c r="X602" s="23"/>
      <c r="Z602" s="23"/>
    </row>
    <row r="603" spans="1:26" ht="13.2">
      <c r="A603" s="23"/>
      <c r="B603" s="23"/>
      <c r="D603" s="23"/>
      <c r="F603" s="23"/>
      <c r="H603" s="23"/>
      <c r="J603" s="23"/>
      <c r="L603" s="23"/>
      <c r="M603" s="23"/>
      <c r="N603" s="23"/>
      <c r="P603" s="23"/>
      <c r="R603" s="23"/>
      <c r="T603" s="23"/>
      <c r="V603" s="23"/>
      <c r="X603" s="23"/>
      <c r="Z603" s="23"/>
    </row>
    <row r="604" spans="1:26" ht="13.2">
      <c r="A604" s="23"/>
      <c r="B604" s="23"/>
      <c r="D604" s="23"/>
      <c r="F604" s="23"/>
      <c r="H604" s="23"/>
      <c r="J604" s="23"/>
      <c r="L604" s="23"/>
      <c r="M604" s="23"/>
      <c r="N604" s="23"/>
      <c r="P604" s="23"/>
      <c r="R604" s="23"/>
      <c r="T604" s="23"/>
      <c r="V604" s="23"/>
      <c r="X604" s="23"/>
      <c r="Z604" s="23"/>
    </row>
    <row r="605" spans="1:26" ht="13.2">
      <c r="A605" s="23"/>
      <c r="B605" s="23"/>
      <c r="D605" s="23"/>
      <c r="F605" s="23"/>
      <c r="H605" s="23"/>
      <c r="J605" s="23"/>
      <c r="L605" s="23"/>
      <c r="M605" s="23"/>
      <c r="N605" s="23"/>
      <c r="P605" s="23"/>
      <c r="R605" s="23"/>
      <c r="T605" s="23"/>
      <c r="V605" s="23"/>
      <c r="X605" s="23"/>
      <c r="Z605" s="23"/>
    </row>
    <row r="606" spans="1:26" ht="13.2">
      <c r="A606" s="23"/>
      <c r="B606" s="23"/>
      <c r="D606" s="23"/>
      <c r="F606" s="23"/>
      <c r="H606" s="23"/>
      <c r="J606" s="23"/>
      <c r="L606" s="23"/>
      <c r="M606" s="23"/>
      <c r="N606" s="23"/>
      <c r="P606" s="23"/>
      <c r="R606" s="23"/>
      <c r="T606" s="23"/>
      <c r="V606" s="23"/>
      <c r="X606" s="23"/>
      <c r="Z606" s="23"/>
    </row>
    <row r="607" spans="1:26" ht="13.2">
      <c r="A607" s="23"/>
      <c r="B607" s="23"/>
      <c r="D607" s="23"/>
      <c r="F607" s="23"/>
      <c r="H607" s="23"/>
      <c r="J607" s="23"/>
      <c r="L607" s="23"/>
      <c r="M607" s="23"/>
      <c r="N607" s="23"/>
      <c r="P607" s="23"/>
      <c r="R607" s="23"/>
      <c r="T607" s="23"/>
      <c r="V607" s="23"/>
      <c r="X607" s="23"/>
      <c r="Z607" s="23"/>
    </row>
    <row r="608" spans="1:26" ht="13.2">
      <c r="A608" s="23"/>
      <c r="B608" s="23"/>
      <c r="D608" s="23"/>
      <c r="F608" s="23"/>
      <c r="H608" s="23"/>
      <c r="J608" s="23"/>
      <c r="L608" s="23"/>
      <c r="M608" s="23"/>
      <c r="N608" s="23"/>
      <c r="P608" s="23"/>
      <c r="R608" s="23"/>
      <c r="T608" s="23"/>
      <c r="V608" s="23"/>
      <c r="X608" s="23"/>
      <c r="Z608" s="23"/>
    </row>
    <row r="609" spans="1:26" ht="13.2">
      <c r="A609" s="23"/>
      <c r="B609" s="23"/>
      <c r="D609" s="23"/>
      <c r="F609" s="23"/>
      <c r="H609" s="23"/>
      <c r="J609" s="23"/>
      <c r="L609" s="23"/>
      <c r="M609" s="23"/>
      <c r="N609" s="23"/>
      <c r="P609" s="23"/>
      <c r="R609" s="23"/>
      <c r="T609" s="23"/>
      <c r="V609" s="23"/>
      <c r="X609" s="23"/>
      <c r="Z609" s="23"/>
    </row>
    <row r="610" spans="1:26" ht="13.2">
      <c r="A610" s="23"/>
      <c r="B610" s="23"/>
      <c r="D610" s="23"/>
      <c r="F610" s="23"/>
      <c r="H610" s="23"/>
      <c r="J610" s="23"/>
      <c r="L610" s="23"/>
      <c r="M610" s="23"/>
      <c r="N610" s="23"/>
      <c r="P610" s="23"/>
      <c r="R610" s="23"/>
      <c r="T610" s="23"/>
      <c r="V610" s="23"/>
      <c r="X610" s="23"/>
      <c r="Z610" s="23"/>
    </row>
    <row r="611" spans="1:26" ht="13.2">
      <c r="A611" s="23"/>
      <c r="B611" s="23"/>
      <c r="D611" s="23"/>
      <c r="F611" s="23"/>
      <c r="H611" s="23"/>
      <c r="J611" s="23"/>
      <c r="L611" s="23"/>
      <c r="M611" s="23"/>
      <c r="N611" s="23"/>
      <c r="P611" s="23"/>
      <c r="R611" s="23"/>
      <c r="T611" s="23"/>
      <c r="V611" s="23"/>
      <c r="X611" s="23"/>
      <c r="Z611" s="23"/>
    </row>
    <row r="612" spans="1:26" ht="13.2">
      <c r="A612" s="23"/>
      <c r="B612" s="23"/>
      <c r="D612" s="23"/>
      <c r="F612" s="23"/>
      <c r="H612" s="23"/>
      <c r="J612" s="23"/>
      <c r="L612" s="23"/>
      <c r="M612" s="23"/>
      <c r="N612" s="23"/>
      <c r="P612" s="23"/>
      <c r="R612" s="23"/>
      <c r="T612" s="23"/>
      <c r="V612" s="23"/>
      <c r="X612" s="23"/>
      <c r="Z612" s="23"/>
    </row>
    <row r="613" spans="1:26" ht="13.2">
      <c r="A613" s="23"/>
      <c r="B613" s="23"/>
      <c r="D613" s="23"/>
      <c r="F613" s="23"/>
      <c r="H613" s="23"/>
      <c r="J613" s="23"/>
      <c r="L613" s="23"/>
      <c r="M613" s="23"/>
      <c r="N613" s="23"/>
      <c r="P613" s="23"/>
      <c r="R613" s="23"/>
      <c r="T613" s="23"/>
      <c r="V613" s="23"/>
      <c r="X613" s="23"/>
      <c r="Z613" s="23"/>
    </row>
    <row r="614" spans="1:26" ht="13.2">
      <c r="A614" s="23"/>
      <c r="B614" s="23"/>
      <c r="D614" s="23"/>
      <c r="F614" s="23"/>
      <c r="H614" s="23"/>
      <c r="J614" s="23"/>
      <c r="L614" s="23"/>
      <c r="M614" s="23"/>
      <c r="N614" s="23"/>
      <c r="P614" s="23"/>
      <c r="R614" s="23"/>
      <c r="T614" s="23"/>
      <c r="V614" s="23"/>
      <c r="X614" s="23"/>
      <c r="Z614" s="23"/>
    </row>
    <row r="615" spans="1:26" ht="13.2">
      <c r="A615" s="23"/>
      <c r="B615" s="23"/>
      <c r="D615" s="23"/>
      <c r="F615" s="23"/>
      <c r="H615" s="23"/>
      <c r="J615" s="23"/>
      <c r="L615" s="23"/>
      <c r="M615" s="23"/>
      <c r="N615" s="23"/>
      <c r="P615" s="23"/>
      <c r="R615" s="23"/>
      <c r="T615" s="23"/>
      <c r="V615" s="23"/>
      <c r="X615" s="23"/>
      <c r="Z615" s="23"/>
    </row>
    <row r="616" spans="1:26" ht="13.2">
      <c r="A616" s="23"/>
      <c r="B616" s="23"/>
      <c r="D616" s="23"/>
      <c r="F616" s="23"/>
      <c r="H616" s="23"/>
      <c r="J616" s="23"/>
      <c r="L616" s="23"/>
      <c r="M616" s="23"/>
      <c r="N616" s="23"/>
      <c r="P616" s="23"/>
      <c r="R616" s="23"/>
      <c r="T616" s="23"/>
      <c r="V616" s="23"/>
      <c r="X616" s="23"/>
      <c r="Z616" s="23"/>
    </row>
    <row r="617" spans="1:26" ht="13.2">
      <c r="A617" s="23"/>
      <c r="B617" s="23"/>
      <c r="D617" s="23"/>
      <c r="F617" s="23"/>
      <c r="H617" s="23"/>
      <c r="J617" s="23"/>
      <c r="L617" s="23"/>
      <c r="M617" s="23"/>
      <c r="N617" s="23"/>
      <c r="P617" s="23"/>
      <c r="R617" s="23"/>
      <c r="T617" s="23"/>
      <c r="V617" s="23"/>
      <c r="X617" s="23"/>
      <c r="Z617" s="23"/>
    </row>
    <row r="618" spans="1:26" ht="13.2">
      <c r="A618" s="23"/>
      <c r="B618" s="23"/>
      <c r="D618" s="23"/>
      <c r="F618" s="23"/>
      <c r="H618" s="23"/>
      <c r="J618" s="23"/>
      <c r="L618" s="23"/>
      <c r="M618" s="23"/>
      <c r="N618" s="23"/>
      <c r="P618" s="23"/>
      <c r="R618" s="23"/>
      <c r="T618" s="23"/>
      <c r="V618" s="23"/>
      <c r="X618" s="23"/>
      <c r="Z618" s="23"/>
    </row>
    <row r="619" spans="1:26" ht="13.2">
      <c r="A619" s="23"/>
      <c r="B619" s="23"/>
      <c r="D619" s="23"/>
      <c r="F619" s="23"/>
      <c r="H619" s="23"/>
      <c r="J619" s="23"/>
      <c r="L619" s="23"/>
      <c r="M619" s="23"/>
      <c r="N619" s="23"/>
      <c r="P619" s="23"/>
      <c r="R619" s="23"/>
      <c r="T619" s="23"/>
      <c r="V619" s="23"/>
      <c r="X619" s="23"/>
      <c r="Z619" s="23"/>
    </row>
    <row r="620" spans="1:26" ht="13.2">
      <c r="A620" s="23"/>
      <c r="B620" s="23"/>
      <c r="D620" s="23"/>
      <c r="F620" s="23"/>
      <c r="H620" s="23"/>
      <c r="J620" s="23"/>
      <c r="L620" s="23"/>
      <c r="M620" s="23"/>
      <c r="N620" s="23"/>
      <c r="P620" s="23"/>
      <c r="R620" s="23"/>
      <c r="T620" s="23"/>
      <c r="V620" s="23"/>
      <c r="X620" s="23"/>
      <c r="Z620" s="23"/>
    </row>
    <row r="621" spans="1:26" ht="13.2">
      <c r="A621" s="23"/>
      <c r="B621" s="23"/>
      <c r="D621" s="23"/>
      <c r="F621" s="23"/>
      <c r="H621" s="23"/>
      <c r="J621" s="23"/>
      <c r="L621" s="23"/>
      <c r="M621" s="23"/>
      <c r="N621" s="23"/>
      <c r="P621" s="23"/>
      <c r="R621" s="23"/>
      <c r="T621" s="23"/>
      <c r="V621" s="23"/>
      <c r="X621" s="23"/>
      <c r="Z621" s="23"/>
    </row>
    <row r="622" spans="1:26" ht="13.2">
      <c r="A622" s="23"/>
      <c r="B622" s="23"/>
      <c r="D622" s="23"/>
      <c r="F622" s="23"/>
      <c r="H622" s="23"/>
      <c r="J622" s="23"/>
      <c r="L622" s="23"/>
      <c r="M622" s="23"/>
      <c r="N622" s="23"/>
      <c r="P622" s="23"/>
      <c r="R622" s="23"/>
      <c r="T622" s="23"/>
      <c r="V622" s="23"/>
      <c r="X622" s="23"/>
      <c r="Z622" s="23"/>
    </row>
    <row r="623" spans="1:26" ht="13.2">
      <c r="A623" s="23"/>
      <c r="B623" s="23"/>
      <c r="D623" s="23"/>
      <c r="F623" s="23"/>
      <c r="H623" s="23"/>
      <c r="J623" s="23"/>
      <c r="L623" s="23"/>
      <c r="M623" s="23"/>
      <c r="N623" s="23"/>
      <c r="P623" s="23"/>
      <c r="R623" s="23"/>
      <c r="T623" s="23"/>
      <c r="V623" s="23"/>
      <c r="X623" s="23"/>
      <c r="Z623" s="23"/>
    </row>
    <row r="624" spans="1:26" ht="13.2">
      <c r="A624" s="23"/>
      <c r="B624" s="23"/>
      <c r="D624" s="23"/>
      <c r="F624" s="23"/>
      <c r="H624" s="23"/>
      <c r="J624" s="23"/>
      <c r="L624" s="23"/>
      <c r="M624" s="23"/>
      <c r="N624" s="23"/>
      <c r="P624" s="23"/>
      <c r="R624" s="23"/>
      <c r="T624" s="23"/>
      <c r="V624" s="23"/>
      <c r="X624" s="23"/>
      <c r="Z624" s="23"/>
    </row>
    <row r="625" spans="1:26" ht="13.2">
      <c r="A625" s="23"/>
      <c r="B625" s="23"/>
      <c r="D625" s="23"/>
      <c r="F625" s="23"/>
      <c r="H625" s="23"/>
      <c r="J625" s="23"/>
      <c r="L625" s="23"/>
      <c r="M625" s="23"/>
      <c r="N625" s="23"/>
      <c r="P625" s="23"/>
      <c r="R625" s="23"/>
      <c r="T625" s="23"/>
      <c r="V625" s="23"/>
      <c r="X625" s="23"/>
      <c r="Z625" s="23"/>
    </row>
    <row r="626" spans="1:26" ht="13.2">
      <c r="A626" s="23"/>
      <c r="B626" s="23"/>
      <c r="D626" s="23"/>
      <c r="F626" s="23"/>
      <c r="H626" s="23"/>
      <c r="J626" s="23"/>
      <c r="L626" s="23"/>
      <c r="M626" s="23"/>
      <c r="N626" s="23"/>
      <c r="P626" s="23"/>
      <c r="R626" s="23"/>
      <c r="T626" s="23"/>
      <c r="V626" s="23"/>
      <c r="X626" s="23"/>
      <c r="Z626" s="23"/>
    </row>
    <row r="627" spans="1:26" ht="13.2">
      <c r="A627" s="23"/>
      <c r="B627" s="23"/>
      <c r="D627" s="23"/>
      <c r="F627" s="23"/>
      <c r="H627" s="23"/>
      <c r="J627" s="23"/>
      <c r="L627" s="23"/>
      <c r="M627" s="23"/>
      <c r="N627" s="23"/>
      <c r="P627" s="23"/>
      <c r="R627" s="23"/>
      <c r="T627" s="23"/>
      <c r="V627" s="23"/>
      <c r="X627" s="23"/>
      <c r="Z627" s="23"/>
    </row>
    <row r="628" spans="1:26" ht="13.2">
      <c r="A628" s="23"/>
      <c r="B628" s="23"/>
      <c r="D628" s="23"/>
      <c r="F628" s="23"/>
      <c r="H628" s="23"/>
      <c r="J628" s="23"/>
      <c r="L628" s="23"/>
      <c r="M628" s="23"/>
      <c r="N628" s="23"/>
      <c r="P628" s="23"/>
      <c r="R628" s="23"/>
      <c r="T628" s="23"/>
      <c r="V628" s="23"/>
      <c r="X628" s="23"/>
      <c r="Z628" s="23"/>
    </row>
    <row r="629" spans="1:26" ht="13.2">
      <c r="A629" s="23"/>
      <c r="B629" s="23"/>
      <c r="D629" s="23"/>
      <c r="F629" s="23"/>
      <c r="H629" s="23"/>
      <c r="J629" s="23"/>
      <c r="L629" s="23"/>
      <c r="M629" s="23"/>
      <c r="N629" s="23"/>
      <c r="P629" s="23"/>
      <c r="R629" s="23"/>
      <c r="T629" s="23"/>
      <c r="V629" s="23"/>
      <c r="X629" s="23"/>
      <c r="Z629" s="23"/>
    </row>
    <row r="630" spans="1:26" ht="13.2">
      <c r="A630" s="23"/>
      <c r="B630" s="23"/>
      <c r="D630" s="23"/>
      <c r="F630" s="23"/>
      <c r="H630" s="23"/>
      <c r="J630" s="23"/>
      <c r="L630" s="23"/>
      <c r="M630" s="23"/>
      <c r="N630" s="23"/>
      <c r="P630" s="23"/>
      <c r="R630" s="23"/>
      <c r="T630" s="23"/>
      <c r="V630" s="23"/>
      <c r="X630" s="23"/>
      <c r="Z630" s="23"/>
    </row>
    <row r="631" spans="1:26" ht="13.2">
      <c r="A631" s="23"/>
      <c r="B631" s="23"/>
      <c r="D631" s="23"/>
      <c r="F631" s="23"/>
      <c r="H631" s="23"/>
      <c r="J631" s="23"/>
      <c r="L631" s="23"/>
      <c r="M631" s="23"/>
      <c r="N631" s="23"/>
      <c r="P631" s="23"/>
      <c r="R631" s="23"/>
      <c r="T631" s="23"/>
      <c r="V631" s="23"/>
      <c r="X631" s="23"/>
      <c r="Z631" s="23"/>
    </row>
    <row r="632" spans="1:26" ht="13.2">
      <c r="A632" s="23"/>
      <c r="B632" s="23"/>
      <c r="D632" s="23"/>
      <c r="F632" s="23"/>
      <c r="H632" s="23"/>
      <c r="J632" s="23"/>
      <c r="L632" s="23"/>
      <c r="M632" s="23"/>
      <c r="N632" s="23"/>
      <c r="P632" s="23"/>
      <c r="R632" s="23"/>
      <c r="T632" s="23"/>
      <c r="V632" s="23"/>
      <c r="X632" s="23"/>
      <c r="Z632" s="23"/>
    </row>
    <row r="633" spans="1:26" ht="13.2">
      <c r="A633" s="23"/>
      <c r="B633" s="23"/>
      <c r="D633" s="23"/>
      <c r="F633" s="23"/>
      <c r="H633" s="23"/>
      <c r="J633" s="23"/>
      <c r="L633" s="23"/>
      <c r="M633" s="23"/>
      <c r="N633" s="23"/>
      <c r="P633" s="23"/>
      <c r="R633" s="23"/>
      <c r="T633" s="23"/>
      <c r="V633" s="23"/>
      <c r="X633" s="23"/>
      <c r="Z633" s="23"/>
    </row>
    <row r="634" spans="1:26" ht="13.2">
      <c r="A634" s="23"/>
      <c r="B634" s="23"/>
      <c r="D634" s="23"/>
      <c r="F634" s="23"/>
      <c r="H634" s="23"/>
      <c r="J634" s="23"/>
      <c r="L634" s="23"/>
      <c r="M634" s="23"/>
      <c r="N634" s="23"/>
      <c r="P634" s="23"/>
      <c r="R634" s="23"/>
      <c r="T634" s="23"/>
      <c r="V634" s="23"/>
      <c r="X634" s="23"/>
      <c r="Z634" s="23"/>
    </row>
    <row r="635" spans="1:26" ht="13.2">
      <c r="A635" s="23"/>
      <c r="B635" s="23"/>
      <c r="D635" s="23"/>
      <c r="F635" s="23"/>
      <c r="H635" s="23"/>
      <c r="J635" s="23"/>
      <c r="L635" s="23"/>
      <c r="M635" s="23"/>
      <c r="N635" s="23"/>
      <c r="P635" s="23"/>
      <c r="R635" s="23"/>
      <c r="T635" s="23"/>
      <c r="V635" s="23"/>
      <c r="X635" s="23"/>
      <c r="Z635" s="23"/>
    </row>
    <row r="636" spans="1:26" ht="13.2">
      <c r="A636" s="23"/>
      <c r="B636" s="23"/>
      <c r="D636" s="23"/>
      <c r="F636" s="23"/>
      <c r="H636" s="23"/>
      <c r="J636" s="23"/>
      <c r="L636" s="23"/>
      <c r="M636" s="23"/>
      <c r="N636" s="23"/>
      <c r="P636" s="23"/>
      <c r="R636" s="23"/>
      <c r="T636" s="23"/>
      <c r="V636" s="23"/>
      <c r="X636" s="23"/>
      <c r="Z636" s="23"/>
    </row>
    <row r="637" spans="1:26" ht="13.2">
      <c r="A637" s="23"/>
      <c r="B637" s="23"/>
      <c r="D637" s="23"/>
      <c r="F637" s="23"/>
      <c r="H637" s="23"/>
      <c r="J637" s="23"/>
      <c r="L637" s="23"/>
      <c r="M637" s="23"/>
      <c r="N637" s="23"/>
      <c r="P637" s="23"/>
      <c r="R637" s="23"/>
      <c r="T637" s="23"/>
      <c r="V637" s="23"/>
      <c r="X637" s="23"/>
      <c r="Z637" s="23"/>
    </row>
    <row r="638" spans="1:26" ht="13.2">
      <c r="A638" s="23"/>
      <c r="B638" s="23"/>
      <c r="D638" s="23"/>
      <c r="F638" s="23"/>
      <c r="H638" s="23"/>
      <c r="J638" s="23"/>
      <c r="L638" s="23"/>
      <c r="M638" s="23"/>
      <c r="N638" s="23"/>
      <c r="P638" s="23"/>
      <c r="R638" s="23"/>
      <c r="T638" s="23"/>
      <c r="V638" s="23"/>
      <c r="X638" s="23"/>
      <c r="Z638" s="23"/>
    </row>
    <row r="639" spans="1:26" ht="13.2">
      <c r="A639" s="23"/>
      <c r="B639" s="23"/>
      <c r="D639" s="23"/>
      <c r="F639" s="23"/>
      <c r="H639" s="23"/>
      <c r="J639" s="23"/>
      <c r="L639" s="23"/>
      <c r="M639" s="23"/>
      <c r="N639" s="23"/>
      <c r="P639" s="23"/>
      <c r="R639" s="23"/>
      <c r="T639" s="23"/>
      <c r="V639" s="23"/>
      <c r="X639" s="23"/>
      <c r="Z639" s="23"/>
    </row>
    <row r="640" spans="1:26" ht="13.2">
      <c r="A640" s="23"/>
      <c r="B640" s="23"/>
      <c r="D640" s="23"/>
      <c r="F640" s="23"/>
      <c r="H640" s="23"/>
      <c r="J640" s="23"/>
      <c r="L640" s="23"/>
      <c r="M640" s="23"/>
      <c r="N640" s="23"/>
      <c r="P640" s="23"/>
      <c r="R640" s="23"/>
      <c r="T640" s="23"/>
      <c r="V640" s="23"/>
      <c r="X640" s="23"/>
      <c r="Z640" s="23"/>
    </row>
    <row r="641" spans="1:26" ht="13.2">
      <c r="A641" s="23"/>
      <c r="B641" s="23"/>
      <c r="D641" s="23"/>
      <c r="F641" s="23"/>
      <c r="H641" s="23"/>
      <c r="J641" s="23"/>
      <c r="L641" s="23"/>
      <c r="M641" s="23"/>
      <c r="N641" s="23"/>
      <c r="P641" s="23"/>
      <c r="R641" s="23"/>
      <c r="T641" s="23"/>
      <c r="V641" s="23"/>
      <c r="X641" s="23"/>
      <c r="Z641" s="23"/>
    </row>
    <row r="642" spans="1:26" ht="13.2">
      <c r="A642" s="23"/>
      <c r="B642" s="23"/>
      <c r="D642" s="23"/>
      <c r="F642" s="23"/>
      <c r="H642" s="23"/>
      <c r="J642" s="23"/>
      <c r="L642" s="23"/>
      <c r="M642" s="23"/>
      <c r="N642" s="23"/>
      <c r="P642" s="23"/>
      <c r="R642" s="23"/>
      <c r="T642" s="23"/>
      <c r="V642" s="23"/>
      <c r="X642" s="23"/>
      <c r="Z642" s="23"/>
    </row>
    <row r="643" spans="1:26" ht="13.2">
      <c r="A643" s="23"/>
      <c r="B643" s="23"/>
      <c r="D643" s="23"/>
      <c r="F643" s="23"/>
      <c r="H643" s="23"/>
      <c r="J643" s="23"/>
      <c r="L643" s="23"/>
      <c r="M643" s="23"/>
      <c r="N643" s="23"/>
      <c r="P643" s="23"/>
      <c r="R643" s="23"/>
      <c r="T643" s="23"/>
      <c r="V643" s="23"/>
      <c r="X643" s="23"/>
      <c r="Z643" s="23"/>
    </row>
    <row r="644" spans="1:26" ht="13.2">
      <c r="A644" s="23"/>
      <c r="B644" s="23"/>
      <c r="D644" s="23"/>
      <c r="F644" s="23"/>
      <c r="H644" s="23"/>
      <c r="J644" s="23"/>
      <c r="L644" s="23"/>
      <c r="M644" s="23"/>
      <c r="N644" s="23"/>
      <c r="P644" s="23"/>
      <c r="R644" s="23"/>
      <c r="T644" s="23"/>
      <c r="V644" s="23"/>
      <c r="X644" s="23"/>
      <c r="Z644" s="23"/>
    </row>
    <row r="645" spans="1:26" ht="13.2">
      <c r="A645" s="23"/>
      <c r="B645" s="23"/>
      <c r="D645" s="23"/>
      <c r="F645" s="23"/>
      <c r="H645" s="23"/>
      <c r="J645" s="23"/>
      <c r="L645" s="23"/>
      <c r="M645" s="23"/>
      <c r="N645" s="23"/>
      <c r="P645" s="23"/>
      <c r="R645" s="23"/>
      <c r="T645" s="23"/>
      <c r="V645" s="23"/>
      <c r="X645" s="23"/>
      <c r="Z645" s="23"/>
    </row>
    <row r="646" spans="1:26" ht="13.2">
      <c r="A646" s="23"/>
      <c r="B646" s="23"/>
      <c r="D646" s="23"/>
      <c r="F646" s="23"/>
      <c r="H646" s="23"/>
      <c r="J646" s="23"/>
      <c r="L646" s="23"/>
      <c r="M646" s="23"/>
      <c r="N646" s="23"/>
      <c r="P646" s="23"/>
      <c r="R646" s="23"/>
      <c r="T646" s="23"/>
      <c r="V646" s="23"/>
      <c r="X646" s="23"/>
      <c r="Z646" s="23"/>
    </row>
    <row r="647" spans="1:26" ht="13.2">
      <c r="A647" s="23"/>
      <c r="B647" s="23"/>
      <c r="D647" s="23"/>
      <c r="F647" s="23"/>
      <c r="H647" s="23"/>
      <c r="J647" s="23"/>
      <c r="L647" s="23"/>
      <c r="M647" s="23"/>
      <c r="N647" s="23"/>
      <c r="P647" s="23"/>
      <c r="R647" s="23"/>
      <c r="T647" s="23"/>
      <c r="V647" s="23"/>
      <c r="X647" s="23"/>
      <c r="Z647" s="23"/>
    </row>
    <row r="648" spans="1:26" ht="13.2">
      <c r="A648" s="23"/>
      <c r="B648" s="23"/>
      <c r="D648" s="23"/>
      <c r="F648" s="23"/>
      <c r="H648" s="23"/>
      <c r="J648" s="23"/>
      <c r="L648" s="23"/>
      <c r="M648" s="23"/>
      <c r="N648" s="23"/>
      <c r="P648" s="23"/>
      <c r="R648" s="23"/>
      <c r="T648" s="23"/>
      <c r="V648" s="23"/>
      <c r="X648" s="23"/>
      <c r="Z648" s="23"/>
    </row>
    <row r="649" spans="1:26" ht="13.2">
      <c r="A649" s="23"/>
      <c r="B649" s="23"/>
      <c r="D649" s="23"/>
      <c r="F649" s="23"/>
      <c r="H649" s="23"/>
      <c r="J649" s="23"/>
      <c r="L649" s="23"/>
      <c r="M649" s="23"/>
      <c r="N649" s="23"/>
      <c r="P649" s="23"/>
      <c r="R649" s="23"/>
      <c r="T649" s="23"/>
      <c r="V649" s="23"/>
      <c r="X649" s="23"/>
      <c r="Z649" s="23"/>
    </row>
    <row r="650" spans="1:26" ht="13.2">
      <c r="A650" s="23"/>
      <c r="B650" s="23"/>
      <c r="D650" s="23"/>
      <c r="F650" s="23"/>
      <c r="H650" s="23"/>
      <c r="J650" s="23"/>
      <c r="L650" s="23"/>
      <c r="M650" s="23"/>
      <c r="N650" s="23"/>
      <c r="P650" s="23"/>
      <c r="R650" s="23"/>
      <c r="T650" s="23"/>
      <c r="V650" s="23"/>
      <c r="X650" s="23"/>
      <c r="Z650" s="23"/>
    </row>
    <row r="651" spans="1:26" ht="13.2">
      <c r="A651" s="23"/>
      <c r="B651" s="23"/>
      <c r="D651" s="23"/>
      <c r="F651" s="23"/>
      <c r="H651" s="23"/>
      <c r="J651" s="23"/>
      <c r="L651" s="23"/>
      <c r="M651" s="23"/>
      <c r="N651" s="23"/>
      <c r="P651" s="23"/>
      <c r="R651" s="23"/>
      <c r="T651" s="23"/>
      <c r="V651" s="23"/>
      <c r="X651" s="23"/>
      <c r="Z651" s="23"/>
    </row>
    <row r="652" spans="1:26" ht="13.2">
      <c r="A652" s="23"/>
      <c r="B652" s="23"/>
      <c r="D652" s="23"/>
      <c r="F652" s="23"/>
      <c r="H652" s="23"/>
      <c r="J652" s="23"/>
      <c r="L652" s="23"/>
      <c r="M652" s="23"/>
      <c r="N652" s="23"/>
      <c r="P652" s="23"/>
      <c r="R652" s="23"/>
      <c r="T652" s="23"/>
      <c r="V652" s="23"/>
      <c r="X652" s="23"/>
      <c r="Z652" s="23"/>
    </row>
    <row r="653" spans="1:26" ht="13.2">
      <c r="A653" s="23"/>
      <c r="B653" s="23"/>
      <c r="D653" s="23"/>
      <c r="F653" s="23"/>
      <c r="H653" s="23"/>
      <c r="J653" s="23"/>
      <c r="L653" s="23"/>
      <c r="M653" s="23"/>
      <c r="N653" s="23"/>
      <c r="P653" s="23"/>
      <c r="R653" s="23"/>
      <c r="T653" s="23"/>
      <c r="V653" s="23"/>
      <c r="X653" s="23"/>
      <c r="Z653" s="23"/>
    </row>
    <row r="654" spans="1:26" ht="13.2">
      <c r="A654" s="23"/>
      <c r="B654" s="23"/>
      <c r="D654" s="23"/>
      <c r="F654" s="23"/>
      <c r="H654" s="23"/>
      <c r="J654" s="23"/>
      <c r="L654" s="23"/>
      <c r="M654" s="23"/>
      <c r="N654" s="23"/>
      <c r="P654" s="23"/>
      <c r="R654" s="23"/>
      <c r="T654" s="23"/>
      <c r="V654" s="23"/>
      <c r="X654" s="23"/>
      <c r="Z654" s="23"/>
    </row>
    <row r="655" spans="1:26" ht="13.2">
      <c r="A655" s="23"/>
      <c r="B655" s="23"/>
      <c r="D655" s="23"/>
      <c r="F655" s="23"/>
      <c r="H655" s="23"/>
      <c r="J655" s="23"/>
      <c r="L655" s="23"/>
      <c r="M655" s="23"/>
      <c r="N655" s="23"/>
      <c r="P655" s="23"/>
      <c r="R655" s="23"/>
      <c r="T655" s="23"/>
      <c r="V655" s="23"/>
      <c r="X655" s="23"/>
      <c r="Z655" s="23"/>
    </row>
    <row r="656" spans="1:26" ht="13.2">
      <c r="A656" s="23"/>
      <c r="B656" s="23"/>
      <c r="D656" s="23"/>
      <c r="F656" s="23"/>
      <c r="H656" s="23"/>
      <c r="J656" s="23"/>
      <c r="L656" s="23"/>
      <c r="M656" s="23"/>
      <c r="N656" s="23"/>
      <c r="P656" s="23"/>
      <c r="R656" s="23"/>
      <c r="T656" s="23"/>
      <c r="V656" s="23"/>
      <c r="X656" s="23"/>
      <c r="Z656" s="23"/>
    </row>
    <row r="657" spans="1:26" ht="13.2">
      <c r="A657" s="23"/>
      <c r="B657" s="23"/>
      <c r="D657" s="23"/>
      <c r="F657" s="23"/>
      <c r="H657" s="23"/>
      <c r="J657" s="23"/>
      <c r="L657" s="23"/>
      <c r="M657" s="23"/>
      <c r="N657" s="23"/>
      <c r="P657" s="23"/>
      <c r="R657" s="23"/>
      <c r="T657" s="23"/>
      <c r="V657" s="23"/>
      <c r="X657" s="23"/>
      <c r="Z657" s="23"/>
    </row>
    <row r="658" spans="1:26" ht="13.2">
      <c r="A658" s="23"/>
      <c r="B658" s="23"/>
      <c r="D658" s="23"/>
      <c r="F658" s="23"/>
      <c r="H658" s="23"/>
      <c r="J658" s="23"/>
      <c r="L658" s="23"/>
      <c r="M658" s="23"/>
      <c r="N658" s="23"/>
      <c r="P658" s="23"/>
      <c r="R658" s="23"/>
      <c r="T658" s="23"/>
      <c r="V658" s="23"/>
      <c r="X658" s="23"/>
      <c r="Z658" s="23"/>
    </row>
    <row r="659" spans="1:26" ht="13.2">
      <c r="A659" s="23"/>
      <c r="B659" s="23"/>
      <c r="D659" s="23"/>
      <c r="F659" s="23"/>
      <c r="H659" s="23"/>
      <c r="J659" s="23"/>
      <c r="L659" s="23"/>
      <c r="M659" s="23"/>
      <c r="N659" s="23"/>
      <c r="P659" s="23"/>
      <c r="R659" s="23"/>
      <c r="T659" s="23"/>
      <c r="V659" s="23"/>
      <c r="X659" s="23"/>
      <c r="Z659" s="23"/>
    </row>
    <row r="660" spans="1:26" ht="13.2">
      <c r="A660" s="23"/>
      <c r="B660" s="23"/>
      <c r="D660" s="23"/>
      <c r="F660" s="23"/>
      <c r="H660" s="23"/>
      <c r="J660" s="23"/>
      <c r="L660" s="23"/>
      <c r="M660" s="23"/>
      <c r="N660" s="23"/>
      <c r="P660" s="23"/>
      <c r="R660" s="23"/>
      <c r="T660" s="23"/>
      <c r="V660" s="23"/>
      <c r="X660" s="23"/>
      <c r="Z660" s="23"/>
    </row>
    <row r="661" spans="1:26" ht="13.2">
      <c r="A661" s="23"/>
      <c r="B661" s="23"/>
      <c r="D661" s="23"/>
      <c r="F661" s="23"/>
      <c r="H661" s="23"/>
      <c r="J661" s="23"/>
      <c r="L661" s="23"/>
      <c r="M661" s="23"/>
      <c r="N661" s="23"/>
      <c r="P661" s="23"/>
      <c r="R661" s="23"/>
      <c r="T661" s="23"/>
      <c r="V661" s="23"/>
      <c r="X661" s="23"/>
      <c r="Z661" s="23"/>
    </row>
    <row r="662" spans="1:26" ht="13.2">
      <c r="A662" s="23"/>
      <c r="B662" s="23"/>
      <c r="D662" s="23"/>
      <c r="F662" s="23"/>
      <c r="H662" s="23"/>
      <c r="J662" s="23"/>
      <c r="L662" s="23"/>
      <c r="M662" s="23"/>
      <c r="N662" s="23"/>
      <c r="P662" s="23"/>
      <c r="R662" s="23"/>
      <c r="T662" s="23"/>
      <c r="V662" s="23"/>
      <c r="X662" s="23"/>
      <c r="Z662" s="23"/>
    </row>
    <row r="663" spans="1:26" ht="13.2">
      <c r="A663" s="23"/>
      <c r="B663" s="23"/>
      <c r="D663" s="23"/>
      <c r="F663" s="23"/>
      <c r="H663" s="23"/>
      <c r="J663" s="23"/>
      <c r="L663" s="23"/>
      <c r="M663" s="23"/>
      <c r="N663" s="23"/>
      <c r="P663" s="23"/>
      <c r="R663" s="23"/>
      <c r="T663" s="23"/>
      <c r="V663" s="23"/>
      <c r="X663" s="23"/>
      <c r="Z663" s="23"/>
    </row>
    <row r="664" spans="1:26" ht="13.2">
      <c r="A664" s="23"/>
      <c r="B664" s="23"/>
      <c r="D664" s="23"/>
      <c r="F664" s="23"/>
      <c r="H664" s="23"/>
      <c r="J664" s="23"/>
      <c r="L664" s="23"/>
      <c r="M664" s="23"/>
      <c r="N664" s="23"/>
      <c r="P664" s="23"/>
      <c r="R664" s="23"/>
      <c r="T664" s="23"/>
      <c r="V664" s="23"/>
      <c r="X664" s="23"/>
      <c r="Z664" s="23"/>
    </row>
    <row r="665" spans="1:26" ht="13.2">
      <c r="A665" s="23"/>
      <c r="B665" s="23"/>
      <c r="D665" s="23"/>
      <c r="F665" s="23"/>
      <c r="H665" s="23"/>
      <c r="J665" s="23"/>
      <c r="L665" s="23"/>
      <c r="M665" s="23"/>
      <c r="N665" s="23"/>
      <c r="P665" s="23"/>
      <c r="R665" s="23"/>
      <c r="T665" s="23"/>
      <c r="V665" s="23"/>
      <c r="X665" s="23"/>
      <c r="Z665" s="23"/>
    </row>
    <row r="666" spans="1:26" ht="13.2">
      <c r="A666" s="23"/>
      <c r="B666" s="23"/>
      <c r="D666" s="23"/>
      <c r="F666" s="23"/>
      <c r="H666" s="23"/>
      <c r="J666" s="23"/>
      <c r="L666" s="23"/>
      <c r="M666" s="23"/>
      <c r="N666" s="23"/>
      <c r="P666" s="23"/>
      <c r="R666" s="23"/>
      <c r="T666" s="23"/>
      <c r="V666" s="23"/>
      <c r="X666" s="23"/>
      <c r="Z666" s="23"/>
    </row>
    <row r="667" spans="1:26" ht="13.2">
      <c r="A667" s="23"/>
      <c r="B667" s="23"/>
      <c r="D667" s="23"/>
      <c r="F667" s="23"/>
      <c r="H667" s="23"/>
      <c r="J667" s="23"/>
      <c r="L667" s="23"/>
      <c r="M667" s="23"/>
      <c r="N667" s="23"/>
      <c r="P667" s="23"/>
      <c r="R667" s="23"/>
      <c r="T667" s="23"/>
      <c r="V667" s="23"/>
      <c r="X667" s="23"/>
      <c r="Z667" s="23"/>
    </row>
    <row r="668" spans="1:26" ht="13.2">
      <c r="A668" s="23"/>
      <c r="B668" s="23"/>
      <c r="D668" s="23"/>
      <c r="F668" s="23"/>
      <c r="H668" s="23"/>
      <c r="J668" s="23"/>
      <c r="L668" s="23"/>
      <c r="M668" s="23"/>
      <c r="N668" s="23"/>
      <c r="P668" s="23"/>
      <c r="R668" s="23"/>
      <c r="T668" s="23"/>
      <c r="V668" s="23"/>
      <c r="X668" s="23"/>
      <c r="Z668" s="23"/>
    </row>
    <row r="669" spans="1:26" ht="13.2">
      <c r="A669" s="23"/>
      <c r="B669" s="23"/>
      <c r="D669" s="23"/>
      <c r="F669" s="23"/>
      <c r="H669" s="23"/>
      <c r="J669" s="23"/>
      <c r="L669" s="23"/>
      <c r="M669" s="23"/>
      <c r="N669" s="23"/>
      <c r="P669" s="23"/>
      <c r="R669" s="23"/>
      <c r="T669" s="23"/>
      <c r="V669" s="23"/>
      <c r="X669" s="23"/>
      <c r="Z669" s="23"/>
    </row>
    <row r="670" spans="1:26" ht="13.2">
      <c r="A670" s="23"/>
      <c r="B670" s="23"/>
      <c r="D670" s="23"/>
      <c r="F670" s="23"/>
      <c r="H670" s="23"/>
      <c r="J670" s="23"/>
      <c r="L670" s="23"/>
      <c r="M670" s="23"/>
      <c r="N670" s="23"/>
      <c r="P670" s="23"/>
      <c r="R670" s="23"/>
      <c r="T670" s="23"/>
      <c r="V670" s="23"/>
      <c r="X670" s="23"/>
      <c r="Z670" s="23"/>
    </row>
    <row r="671" spans="1:26" ht="13.2">
      <c r="A671" s="23"/>
      <c r="B671" s="23"/>
      <c r="D671" s="23"/>
      <c r="F671" s="23"/>
      <c r="H671" s="23"/>
      <c r="J671" s="23"/>
      <c r="L671" s="23"/>
      <c r="M671" s="23"/>
      <c r="N671" s="23"/>
      <c r="P671" s="23"/>
      <c r="R671" s="23"/>
      <c r="T671" s="23"/>
      <c r="V671" s="23"/>
      <c r="X671" s="23"/>
      <c r="Z671" s="23"/>
    </row>
    <row r="672" spans="1:26" ht="13.2">
      <c r="A672" s="23"/>
      <c r="B672" s="23"/>
      <c r="D672" s="23"/>
      <c r="F672" s="23"/>
      <c r="H672" s="23"/>
      <c r="J672" s="23"/>
      <c r="L672" s="23"/>
      <c r="M672" s="23"/>
      <c r="N672" s="23"/>
      <c r="P672" s="23"/>
      <c r="R672" s="23"/>
      <c r="T672" s="23"/>
      <c r="V672" s="23"/>
      <c r="X672" s="23"/>
      <c r="Z672" s="23"/>
    </row>
    <row r="673" spans="1:26" ht="13.2">
      <c r="A673" s="23"/>
      <c r="B673" s="23"/>
      <c r="D673" s="23"/>
      <c r="F673" s="23"/>
      <c r="H673" s="23"/>
      <c r="J673" s="23"/>
      <c r="L673" s="23"/>
      <c r="M673" s="23"/>
      <c r="N673" s="23"/>
      <c r="P673" s="23"/>
      <c r="R673" s="23"/>
      <c r="T673" s="23"/>
      <c r="V673" s="23"/>
      <c r="X673" s="23"/>
      <c r="Z673" s="23"/>
    </row>
    <row r="674" spans="1:26" ht="13.2">
      <c r="A674" s="23"/>
      <c r="B674" s="23"/>
      <c r="D674" s="23"/>
      <c r="F674" s="23"/>
      <c r="H674" s="23"/>
      <c r="J674" s="23"/>
      <c r="L674" s="23"/>
      <c r="M674" s="23"/>
      <c r="N674" s="23"/>
      <c r="P674" s="23"/>
      <c r="R674" s="23"/>
      <c r="T674" s="23"/>
      <c r="V674" s="23"/>
      <c r="X674" s="23"/>
      <c r="Z674" s="23"/>
    </row>
    <row r="675" spans="1:26" ht="13.2">
      <c r="A675" s="23"/>
      <c r="B675" s="23"/>
      <c r="D675" s="23"/>
      <c r="F675" s="23"/>
      <c r="H675" s="23"/>
      <c r="J675" s="23"/>
      <c r="L675" s="23"/>
      <c r="M675" s="23"/>
      <c r="N675" s="23"/>
      <c r="P675" s="23"/>
      <c r="R675" s="23"/>
      <c r="T675" s="23"/>
      <c r="V675" s="23"/>
      <c r="X675" s="23"/>
      <c r="Z675" s="23"/>
    </row>
    <row r="676" spans="1:26" ht="13.2">
      <c r="A676" s="23"/>
      <c r="B676" s="23"/>
      <c r="D676" s="23"/>
      <c r="F676" s="23"/>
      <c r="H676" s="23"/>
      <c r="J676" s="23"/>
      <c r="L676" s="23"/>
      <c r="M676" s="23"/>
      <c r="N676" s="23"/>
      <c r="P676" s="23"/>
      <c r="R676" s="23"/>
      <c r="T676" s="23"/>
      <c r="V676" s="23"/>
      <c r="X676" s="23"/>
      <c r="Z676" s="23"/>
    </row>
    <row r="677" spans="1:26" ht="13.2">
      <c r="A677" s="23"/>
      <c r="B677" s="23"/>
      <c r="D677" s="23"/>
      <c r="F677" s="23"/>
      <c r="H677" s="23"/>
      <c r="J677" s="23"/>
      <c r="L677" s="23"/>
      <c r="M677" s="23"/>
      <c r="N677" s="23"/>
      <c r="P677" s="23"/>
      <c r="R677" s="23"/>
      <c r="T677" s="23"/>
      <c r="V677" s="23"/>
      <c r="X677" s="23"/>
      <c r="Z677" s="23"/>
    </row>
    <row r="678" spans="1:26" ht="13.2">
      <c r="A678" s="23"/>
      <c r="B678" s="23"/>
      <c r="D678" s="23"/>
      <c r="F678" s="23"/>
      <c r="H678" s="23"/>
      <c r="J678" s="23"/>
      <c r="L678" s="23"/>
      <c r="M678" s="23"/>
      <c r="N678" s="23"/>
      <c r="P678" s="23"/>
      <c r="R678" s="23"/>
      <c r="T678" s="23"/>
      <c r="V678" s="23"/>
      <c r="X678" s="23"/>
      <c r="Z678" s="23"/>
    </row>
    <row r="679" spans="1:26" ht="13.2">
      <c r="A679" s="23"/>
      <c r="B679" s="23"/>
      <c r="D679" s="23"/>
      <c r="F679" s="23"/>
      <c r="H679" s="23"/>
      <c r="J679" s="23"/>
      <c r="L679" s="23"/>
      <c r="M679" s="23"/>
      <c r="N679" s="23"/>
      <c r="P679" s="23"/>
      <c r="R679" s="23"/>
      <c r="T679" s="23"/>
      <c r="V679" s="23"/>
      <c r="X679" s="23"/>
      <c r="Z679" s="23"/>
    </row>
    <row r="680" spans="1:26" ht="13.2">
      <c r="A680" s="23"/>
      <c r="B680" s="23"/>
      <c r="D680" s="23"/>
      <c r="F680" s="23"/>
      <c r="H680" s="23"/>
      <c r="J680" s="23"/>
      <c r="L680" s="23"/>
      <c r="M680" s="23"/>
      <c r="N680" s="23"/>
      <c r="P680" s="23"/>
      <c r="R680" s="23"/>
      <c r="T680" s="23"/>
      <c r="V680" s="23"/>
      <c r="X680" s="23"/>
      <c r="Z680" s="23"/>
    </row>
    <row r="681" spans="1:26" ht="13.2">
      <c r="A681" s="23"/>
      <c r="B681" s="23"/>
      <c r="D681" s="23"/>
      <c r="F681" s="23"/>
      <c r="H681" s="23"/>
      <c r="J681" s="23"/>
      <c r="L681" s="23"/>
      <c r="M681" s="23"/>
      <c r="N681" s="23"/>
      <c r="P681" s="23"/>
      <c r="R681" s="23"/>
      <c r="T681" s="23"/>
      <c r="V681" s="23"/>
      <c r="X681" s="23"/>
      <c r="Z681" s="23"/>
    </row>
    <row r="682" spans="1:26" ht="13.2">
      <c r="A682" s="23"/>
      <c r="B682" s="23"/>
      <c r="D682" s="23"/>
      <c r="F682" s="23"/>
      <c r="H682" s="23"/>
      <c r="J682" s="23"/>
      <c r="L682" s="23"/>
      <c r="M682" s="23"/>
      <c r="N682" s="23"/>
      <c r="P682" s="23"/>
      <c r="R682" s="23"/>
      <c r="T682" s="23"/>
      <c r="V682" s="23"/>
      <c r="X682" s="23"/>
      <c r="Z682" s="23"/>
    </row>
    <row r="683" spans="1:26" ht="13.2">
      <c r="A683" s="23"/>
      <c r="B683" s="23"/>
      <c r="D683" s="23"/>
      <c r="F683" s="23"/>
      <c r="H683" s="23"/>
      <c r="J683" s="23"/>
      <c r="L683" s="23"/>
      <c r="M683" s="23"/>
      <c r="N683" s="23"/>
      <c r="P683" s="23"/>
      <c r="R683" s="23"/>
      <c r="T683" s="23"/>
      <c r="V683" s="23"/>
      <c r="X683" s="23"/>
      <c r="Z683" s="23"/>
    </row>
    <row r="684" spans="1:26" ht="13.2">
      <c r="A684" s="23"/>
      <c r="B684" s="23"/>
      <c r="D684" s="23"/>
      <c r="F684" s="23"/>
      <c r="H684" s="23"/>
      <c r="J684" s="23"/>
      <c r="L684" s="23"/>
      <c r="M684" s="23"/>
      <c r="N684" s="23"/>
      <c r="P684" s="23"/>
      <c r="R684" s="23"/>
      <c r="T684" s="23"/>
      <c r="V684" s="23"/>
      <c r="X684" s="23"/>
      <c r="Z684" s="23"/>
    </row>
    <row r="685" spans="1:26" ht="13.2">
      <c r="A685" s="23"/>
      <c r="B685" s="23"/>
      <c r="D685" s="23"/>
      <c r="F685" s="23"/>
      <c r="H685" s="23"/>
      <c r="J685" s="23"/>
      <c r="L685" s="23"/>
      <c r="M685" s="23"/>
      <c r="N685" s="23"/>
      <c r="P685" s="23"/>
      <c r="R685" s="23"/>
      <c r="T685" s="23"/>
      <c r="V685" s="23"/>
      <c r="X685" s="23"/>
      <c r="Z685" s="23"/>
    </row>
    <row r="686" spans="1:26" ht="13.2">
      <c r="A686" s="23"/>
      <c r="B686" s="23"/>
      <c r="D686" s="23"/>
      <c r="F686" s="23"/>
      <c r="H686" s="23"/>
      <c r="J686" s="23"/>
      <c r="L686" s="23"/>
      <c r="M686" s="23"/>
      <c r="N686" s="23"/>
      <c r="P686" s="23"/>
      <c r="R686" s="23"/>
      <c r="T686" s="23"/>
      <c r="V686" s="23"/>
      <c r="X686" s="23"/>
      <c r="Z686" s="23"/>
    </row>
    <row r="687" spans="1:26" ht="13.2">
      <c r="A687" s="23"/>
      <c r="B687" s="23"/>
      <c r="D687" s="23"/>
      <c r="F687" s="23"/>
      <c r="H687" s="23"/>
      <c r="J687" s="23"/>
      <c r="L687" s="23"/>
      <c r="M687" s="23"/>
      <c r="N687" s="23"/>
      <c r="P687" s="23"/>
      <c r="R687" s="23"/>
      <c r="T687" s="23"/>
      <c r="V687" s="23"/>
      <c r="X687" s="23"/>
      <c r="Z687" s="23"/>
    </row>
    <row r="688" spans="1:26" ht="13.2">
      <c r="A688" s="23"/>
      <c r="B688" s="23"/>
      <c r="D688" s="23"/>
      <c r="F688" s="23"/>
      <c r="H688" s="23"/>
      <c r="J688" s="23"/>
      <c r="L688" s="23"/>
      <c r="M688" s="23"/>
      <c r="N688" s="23"/>
      <c r="P688" s="23"/>
      <c r="R688" s="23"/>
      <c r="T688" s="23"/>
      <c r="V688" s="23"/>
      <c r="X688" s="23"/>
      <c r="Z688" s="23"/>
    </row>
    <row r="689" spans="1:26" ht="13.2">
      <c r="A689" s="23"/>
      <c r="B689" s="23"/>
      <c r="D689" s="23"/>
      <c r="F689" s="23"/>
      <c r="H689" s="23"/>
      <c r="J689" s="23"/>
      <c r="L689" s="23"/>
      <c r="M689" s="23"/>
      <c r="N689" s="23"/>
      <c r="P689" s="23"/>
      <c r="R689" s="23"/>
      <c r="T689" s="23"/>
      <c r="V689" s="23"/>
      <c r="X689" s="23"/>
      <c r="Z689" s="23"/>
    </row>
    <row r="690" spans="1:26" ht="13.2">
      <c r="A690" s="23"/>
      <c r="B690" s="23"/>
      <c r="D690" s="23"/>
      <c r="F690" s="23"/>
      <c r="H690" s="23"/>
      <c r="J690" s="23"/>
      <c r="L690" s="23"/>
      <c r="M690" s="23"/>
      <c r="N690" s="23"/>
      <c r="P690" s="23"/>
      <c r="R690" s="23"/>
      <c r="T690" s="23"/>
      <c r="V690" s="23"/>
      <c r="X690" s="23"/>
      <c r="Z690" s="23"/>
    </row>
    <row r="691" spans="1:26" ht="13.2">
      <c r="A691" s="23"/>
      <c r="B691" s="23"/>
      <c r="D691" s="23"/>
      <c r="F691" s="23"/>
      <c r="H691" s="23"/>
      <c r="J691" s="23"/>
      <c r="L691" s="23"/>
      <c r="M691" s="23"/>
      <c r="N691" s="23"/>
      <c r="P691" s="23"/>
      <c r="R691" s="23"/>
      <c r="T691" s="23"/>
      <c r="V691" s="23"/>
      <c r="X691" s="23"/>
      <c r="Z691" s="23"/>
    </row>
    <row r="692" spans="1:26" ht="13.2">
      <c r="A692" s="23"/>
      <c r="B692" s="23"/>
      <c r="D692" s="23"/>
      <c r="F692" s="23"/>
      <c r="H692" s="23"/>
      <c r="J692" s="23"/>
      <c r="L692" s="23"/>
      <c r="M692" s="23"/>
      <c r="N692" s="23"/>
      <c r="P692" s="23"/>
      <c r="R692" s="23"/>
      <c r="T692" s="23"/>
      <c r="V692" s="23"/>
      <c r="X692" s="23"/>
      <c r="Z692" s="23"/>
    </row>
    <row r="693" spans="1:26" ht="13.2">
      <c r="A693" s="23"/>
      <c r="B693" s="23"/>
      <c r="D693" s="23"/>
      <c r="F693" s="23"/>
      <c r="H693" s="23"/>
      <c r="J693" s="23"/>
      <c r="L693" s="23"/>
      <c r="M693" s="23"/>
      <c r="N693" s="23"/>
      <c r="P693" s="23"/>
      <c r="R693" s="23"/>
      <c r="T693" s="23"/>
      <c r="V693" s="23"/>
      <c r="X693" s="23"/>
      <c r="Z693" s="23"/>
    </row>
    <row r="694" spans="1:26" ht="13.2">
      <c r="A694" s="23"/>
      <c r="B694" s="23"/>
      <c r="D694" s="23"/>
      <c r="F694" s="23"/>
      <c r="H694" s="23"/>
      <c r="J694" s="23"/>
      <c r="L694" s="23"/>
      <c r="M694" s="23"/>
      <c r="N694" s="23"/>
      <c r="P694" s="23"/>
      <c r="R694" s="23"/>
      <c r="T694" s="23"/>
      <c r="V694" s="23"/>
      <c r="X694" s="23"/>
      <c r="Z694" s="23"/>
    </row>
    <row r="695" spans="1:26" ht="13.2">
      <c r="A695" s="23"/>
      <c r="B695" s="23"/>
      <c r="D695" s="23"/>
      <c r="F695" s="23"/>
      <c r="H695" s="23"/>
      <c r="J695" s="23"/>
      <c r="L695" s="23"/>
      <c r="M695" s="23"/>
      <c r="N695" s="23"/>
      <c r="P695" s="23"/>
      <c r="R695" s="23"/>
      <c r="T695" s="23"/>
      <c r="V695" s="23"/>
      <c r="X695" s="23"/>
      <c r="Z695" s="23"/>
    </row>
    <row r="696" spans="1:26" ht="13.2">
      <c r="A696" s="23"/>
      <c r="B696" s="23"/>
      <c r="D696" s="23"/>
      <c r="F696" s="23"/>
      <c r="H696" s="23"/>
      <c r="J696" s="23"/>
      <c r="L696" s="23"/>
      <c r="M696" s="23"/>
      <c r="N696" s="23"/>
      <c r="P696" s="23"/>
      <c r="R696" s="23"/>
      <c r="T696" s="23"/>
      <c r="V696" s="23"/>
      <c r="X696" s="23"/>
      <c r="Z696" s="23"/>
    </row>
    <row r="697" spans="1:26" ht="13.2">
      <c r="A697" s="23"/>
      <c r="B697" s="23"/>
      <c r="D697" s="23"/>
      <c r="F697" s="23"/>
      <c r="H697" s="23"/>
      <c r="J697" s="23"/>
      <c r="L697" s="23"/>
      <c r="M697" s="23"/>
      <c r="N697" s="23"/>
      <c r="P697" s="23"/>
      <c r="R697" s="23"/>
      <c r="T697" s="23"/>
      <c r="V697" s="23"/>
      <c r="X697" s="23"/>
      <c r="Z697" s="23"/>
    </row>
    <row r="698" spans="1:26" ht="13.2">
      <c r="A698" s="23"/>
      <c r="B698" s="23"/>
      <c r="D698" s="23"/>
      <c r="F698" s="23"/>
      <c r="H698" s="23"/>
      <c r="J698" s="23"/>
      <c r="L698" s="23"/>
      <c r="M698" s="23"/>
      <c r="N698" s="23"/>
      <c r="P698" s="23"/>
      <c r="R698" s="23"/>
      <c r="T698" s="23"/>
      <c r="V698" s="23"/>
      <c r="X698" s="23"/>
      <c r="Z698" s="23"/>
    </row>
    <row r="699" spans="1:26" ht="13.2">
      <c r="A699" s="23"/>
      <c r="B699" s="23"/>
      <c r="D699" s="23"/>
      <c r="F699" s="23"/>
      <c r="H699" s="23"/>
      <c r="J699" s="23"/>
      <c r="L699" s="23"/>
      <c r="M699" s="23"/>
      <c r="N699" s="23"/>
      <c r="P699" s="23"/>
      <c r="R699" s="23"/>
      <c r="T699" s="23"/>
      <c r="V699" s="23"/>
      <c r="X699" s="23"/>
      <c r="Z699" s="23"/>
    </row>
    <row r="700" spans="1:26" ht="13.2">
      <c r="A700" s="23"/>
      <c r="B700" s="23"/>
      <c r="D700" s="23"/>
      <c r="F700" s="23"/>
      <c r="H700" s="23"/>
      <c r="J700" s="23"/>
      <c r="L700" s="23"/>
      <c r="M700" s="23"/>
      <c r="N700" s="23"/>
      <c r="P700" s="23"/>
      <c r="R700" s="23"/>
      <c r="T700" s="23"/>
      <c r="V700" s="23"/>
      <c r="X700" s="23"/>
      <c r="Z700" s="23"/>
    </row>
    <row r="701" spans="1:26" ht="13.2">
      <c r="A701" s="23"/>
      <c r="B701" s="23"/>
      <c r="D701" s="23"/>
      <c r="F701" s="23"/>
      <c r="H701" s="23"/>
      <c r="J701" s="23"/>
      <c r="L701" s="23"/>
      <c r="M701" s="23"/>
      <c r="N701" s="23"/>
      <c r="P701" s="23"/>
      <c r="R701" s="23"/>
      <c r="T701" s="23"/>
      <c r="V701" s="23"/>
      <c r="X701" s="23"/>
      <c r="Z701" s="23"/>
    </row>
    <row r="702" spans="1:26" ht="13.2">
      <c r="A702" s="23"/>
      <c r="B702" s="23"/>
      <c r="D702" s="23"/>
      <c r="F702" s="23"/>
      <c r="H702" s="23"/>
      <c r="J702" s="23"/>
      <c r="L702" s="23"/>
      <c r="M702" s="23"/>
      <c r="N702" s="23"/>
      <c r="P702" s="23"/>
      <c r="R702" s="23"/>
      <c r="T702" s="23"/>
      <c r="V702" s="23"/>
      <c r="X702" s="23"/>
      <c r="Z702" s="23"/>
    </row>
    <row r="703" spans="1:26" ht="13.2">
      <c r="A703" s="23"/>
      <c r="B703" s="23"/>
      <c r="D703" s="23"/>
      <c r="F703" s="23"/>
      <c r="H703" s="23"/>
      <c r="J703" s="23"/>
      <c r="L703" s="23"/>
      <c r="M703" s="23"/>
      <c r="N703" s="23"/>
      <c r="P703" s="23"/>
      <c r="R703" s="23"/>
      <c r="T703" s="23"/>
      <c r="V703" s="23"/>
      <c r="X703" s="23"/>
      <c r="Z703" s="23"/>
    </row>
    <row r="704" spans="1:26" ht="13.2">
      <c r="A704" s="23"/>
      <c r="B704" s="23"/>
      <c r="D704" s="23"/>
      <c r="F704" s="23"/>
      <c r="H704" s="23"/>
      <c r="J704" s="23"/>
      <c r="L704" s="23"/>
      <c r="M704" s="23"/>
      <c r="N704" s="23"/>
      <c r="P704" s="23"/>
      <c r="R704" s="23"/>
      <c r="T704" s="23"/>
      <c r="V704" s="23"/>
      <c r="X704" s="23"/>
      <c r="Z704" s="23"/>
    </row>
    <row r="705" spans="1:26" ht="13.2">
      <c r="A705" s="23"/>
      <c r="B705" s="23"/>
      <c r="D705" s="23"/>
      <c r="F705" s="23"/>
      <c r="H705" s="23"/>
      <c r="J705" s="23"/>
      <c r="L705" s="23"/>
      <c r="M705" s="23"/>
      <c r="N705" s="23"/>
      <c r="P705" s="23"/>
      <c r="R705" s="23"/>
      <c r="T705" s="23"/>
      <c r="V705" s="23"/>
      <c r="X705" s="23"/>
      <c r="Z705" s="23"/>
    </row>
    <row r="706" spans="1:26" ht="13.2">
      <c r="A706" s="23"/>
      <c r="B706" s="23"/>
      <c r="D706" s="23"/>
      <c r="F706" s="23"/>
      <c r="H706" s="23"/>
      <c r="J706" s="23"/>
      <c r="L706" s="23"/>
      <c r="M706" s="23"/>
      <c r="N706" s="23"/>
      <c r="P706" s="23"/>
      <c r="R706" s="23"/>
      <c r="T706" s="23"/>
      <c r="V706" s="23"/>
      <c r="X706" s="23"/>
      <c r="Z706" s="23"/>
    </row>
    <row r="707" spans="1:26" ht="13.2">
      <c r="A707" s="23"/>
      <c r="B707" s="23"/>
      <c r="D707" s="23"/>
      <c r="F707" s="23"/>
      <c r="H707" s="23"/>
      <c r="J707" s="23"/>
      <c r="L707" s="23"/>
      <c r="M707" s="23"/>
      <c r="N707" s="23"/>
      <c r="P707" s="23"/>
      <c r="R707" s="23"/>
      <c r="T707" s="23"/>
      <c r="V707" s="23"/>
      <c r="X707" s="23"/>
      <c r="Z707" s="23"/>
    </row>
    <row r="708" spans="1:26" ht="13.2">
      <c r="A708" s="23"/>
      <c r="B708" s="23"/>
      <c r="D708" s="23"/>
      <c r="F708" s="23"/>
      <c r="H708" s="23"/>
      <c r="J708" s="23"/>
      <c r="L708" s="23"/>
      <c r="M708" s="23"/>
      <c r="N708" s="23"/>
      <c r="P708" s="23"/>
      <c r="R708" s="23"/>
      <c r="T708" s="23"/>
      <c r="V708" s="23"/>
      <c r="X708" s="23"/>
      <c r="Z708" s="23"/>
    </row>
    <row r="709" spans="1:26" ht="13.2">
      <c r="A709" s="23"/>
      <c r="B709" s="23"/>
      <c r="D709" s="23"/>
      <c r="F709" s="23"/>
      <c r="H709" s="23"/>
      <c r="J709" s="23"/>
      <c r="L709" s="23"/>
      <c r="M709" s="23"/>
      <c r="N709" s="23"/>
      <c r="P709" s="23"/>
      <c r="R709" s="23"/>
      <c r="T709" s="23"/>
      <c r="V709" s="23"/>
      <c r="X709" s="23"/>
      <c r="Z709" s="23"/>
    </row>
    <row r="710" spans="1:26" ht="13.2">
      <c r="A710" s="23"/>
      <c r="B710" s="23"/>
      <c r="D710" s="23"/>
      <c r="F710" s="23"/>
      <c r="H710" s="23"/>
      <c r="J710" s="23"/>
      <c r="L710" s="23"/>
      <c r="M710" s="23"/>
      <c r="N710" s="23"/>
      <c r="P710" s="23"/>
      <c r="R710" s="23"/>
      <c r="T710" s="23"/>
      <c r="V710" s="23"/>
      <c r="X710" s="23"/>
      <c r="Z710" s="23"/>
    </row>
    <row r="711" spans="1:26" ht="13.2">
      <c r="A711" s="23"/>
      <c r="B711" s="23"/>
      <c r="D711" s="23"/>
      <c r="F711" s="23"/>
      <c r="H711" s="23"/>
      <c r="J711" s="23"/>
      <c r="L711" s="23"/>
      <c r="M711" s="23"/>
      <c r="N711" s="23"/>
      <c r="P711" s="23"/>
      <c r="R711" s="23"/>
      <c r="T711" s="23"/>
      <c r="V711" s="23"/>
      <c r="X711" s="23"/>
      <c r="Z711" s="23"/>
    </row>
    <row r="712" spans="1:26" ht="13.2">
      <c r="A712" s="23"/>
      <c r="B712" s="23"/>
      <c r="D712" s="23"/>
      <c r="F712" s="23"/>
      <c r="H712" s="23"/>
      <c r="J712" s="23"/>
      <c r="L712" s="23"/>
      <c r="M712" s="23"/>
      <c r="N712" s="23"/>
      <c r="P712" s="23"/>
      <c r="R712" s="23"/>
      <c r="T712" s="23"/>
      <c r="V712" s="23"/>
      <c r="X712" s="23"/>
      <c r="Z712" s="23"/>
    </row>
    <row r="713" spans="1:26" ht="13.2">
      <c r="A713" s="23"/>
      <c r="B713" s="23"/>
      <c r="D713" s="23"/>
      <c r="F713" s="23"/>
      <c r="H713" s="23"/>
      <c r="J713" s="23"/>
      <c r="L713" s="23"/>
      <c r="M713" s="23"/>
      <c r="N713" s="23"/>
      <c r="P713" s="23"/>
      <c r="R713" s="23"/>
      <c r="T713" s="23"/>
      <c r="V713" s="23"/>
      <c r="X713" s="23"/>
      <c r="Z713" s="23"/>
    </row>
    <row r="714" spans="1:26" ht="13.2">
      <c r="A714" s="23"/>
      <c r="B714" s="23"/>
      <c r="D714" s="23"/>
      <c r="F714" s="23"/>
      <c r="H714" s="23"/>
      <c r="J714" s="23"/>
      <c r="L714" s="23"/>
      <c r="M714" s="23"/>
      <c r="N714" s="23"/>
      <c r="P714" s="23"/>
      <c r="R714" s="23"/>
      <c r="T714" s="23"/>
      <c r="V714" s="23"/>
      <c r="X714" s="23"/>
      <c r="Z714" s="23"/>
    </row>
    <row r="715" spans="1:26" ht="13.2">
      <c r="A715" s="23"/>
      <c r="B715" s="23"/>
      <c r="D715" s="23"/>
      <c r="F715" s="23"/>
      <c r="H715" s="23"/>
      <c r="J715" s="23"/>
      <c r="L715" s="23"/>
      <c r="M715" s="23"/>
      <c r="N715" s="23"/>
      <c r="P715" s="23"/>
      <c r="R715" s="23"/>
      <c r="T715" s="23"/>
      <c r="V715" s="23"/>
      <c r="X715" s="23"/>
      <c r="Z715" s="23"/>
    </row>
    <row r="716" spans="1:26" ht="13.2">
      <c r="A716" s="23"/>
      <c r="B716" s="23"/>
      <c r="D716" s="23"/>
      <c r="F716" s="23"/>
      <c r="H716" s="23"/>
      <c r="J716" s="23"/>
      <c r="L716" s="23"/>
      <c r="M716" s="23"/>
      <c r="N716" s="23"/>
      <c r="P716" s="23"/>
      <c r="R716" s="23"/>
      <c r="T716" s="23"/>
      <c r="V716" s="23"/>
      <c r="X716" s="23"/>
      <c r="Z716" s="23"/>
    </row>
    <row r="717" spans="1:26" ht="13.2">
      <c r="A717" s="23"/>
      <c r="B717" s="23"/>
      <c r="D717" s="23"/>
      <c r="F717" s="23"/>
      <c r="H717" s="23"/>
      <c r="J717" s="23"/>
      <c r="L717" s="23"/>
      <c r="M717" s="23"/>
      <c r="N717" s="23"/>
      <c r="P717" s="23"/>
      <c r="R717" s="23"/>
      <c r="T717" s="23"/>
      <c r="V717" s="23"/>
      <c r="X717" s="23"/>
      <c r="Z717" s="23"/>
    </row>
    <row r="718" spans="1:26" ht="13.2">
      <c r="A718" s="23"/>
      <c r="B718" s="23"/>
      <c r="D718" s="23"/>
      <c r="F718" s="23"/>
      <c r="H718" s="23"/>
      <c r="J718" s="23"/>
      <c r="L718" s="23"/>
      <c r="M718" s="23"/>
      <c r="N718" s="23"/>
      <c r="P718" s="23"/>
      <c r="R718" s="23"/>
      <c r="T718" s="23"/>
      <c r="V718" s="23"/>
      <c r="X718" s="23"/>
      <c r="Z718" s="23"/>
    </row>
    <row r="719" spans="1:26" ht="13.2">
      <c r="A719" s="23"/>
      <c r="B719" s="23"/>
      <c r="D719" s="23"/>
      <c r="F719" s="23"/>
      <c r="H719" s="23"/>
      <c r="J719" s="23"/>
      <c r="L719" s="23"/>
      <c r="M719" s="23"/>
      <c r="N719" s="23"/>
      <c r="P719" s="23"/>
      <c r="R719" s="23"/>
      <c r="T719" s="23"/>
      <c r="V719" s="23"/>
      <c r="X719" s="23"/>
      <c r="Z719" s="23"/>
    </row>
    <row r="720" spans="1:26" ht="13.2">
      <c r="A720" s="23"/>
      <c r="B720" s="23"/>
      <c r="D720" s="23"/>
      <c r="F720" s="23"/>
      <c r="H720" s="23"/>
      <c r="J720" s="23"/>
      <c r="L720" s="23"/>
      <c r="M720" s="23"/>
      <c r="N720" s="23"/>
      <c r="P720" s="23"/>
      <c r="R720" s="23"/>
      <c r="T720" s="23"/>
      <c r="V720" s="23"/>
      <c r="X720" s="23"/>
      <c r="Z720" s="23"/>
    </row>
    <row r="721" spans="1:26" ht="13.2">
      <c r="A721" s="23"/>
      <c r="B721" s="23"/>
      <c r="D721" s="23"/>
      <c r="F721" s="23"/>
      <c r="H721" s="23"/>
      <c r="J721" s="23"/>
      <c r="L721" s="23"/>
      <c r="M721" s="23"/>
      <c r="N721" s="23"/>
      <c r="P721" s="23"/>
      <c r="R721" s="23"/>
      <c r="T721" s="23"/>
      <c r="V721" s="23"/>
      <c r="X721" s="23"/>
      <c r="Z721" s="23"/>
    </row>
    <row r="722" spans="1:26" ht="13.2">
      <c r="A722" s="23"/>
      <c r="B722" s="23"/>
      <c r="D722" s="23"/>
      <c r="F722" s="23"/>
      <c r="H722" s="23"/>
      <c r="J722" s="23"/>
      <c r="L722" s="23"/>
      <c r="M722" s="23"/>
      <c r="N722" s="23"/>
      <c r="P722" s="23"/>
      <c r="R722" s="23"/>
      <c r="T722" s="23"/>
      <c r="V722" s="23"/>
      <c r="X722" s="23"/>
      <c r="Z722" s="23"/>
    </row>
    <row r="723" spans="1:26" ht="13.2">
      <c r="A723" s="23"/>
      <c r="B723" s="23"/>
      <c r="D723" s="23"/>
      <c r="F723" s="23"/>
      <c r="H723" s="23"/>
      <c r="J723" s="23"/>
      <c r="L723" s="23"/>
      <c r="M723" s="23"/>
      <c r="N723" s="23"/>
      <c r="P723" s="23"/>
      <c r="R723" s="23"/>
      <c r="T723" s="23"/>
      <c r="V723" s="23"/>
      <c r="X723" s="23"/>
      <c r="Z723" s="23"/>
    </row>
    <row r="724" spans="1:26" ht="13.2">
      <c r="A724" s="23"/>
      <c r="B724" s="23"/>
      <c r="D724" s="23"/>
      <c r="F724" s="23"/>
      <c r="H724" s="23"/>
      <c r="J724" s="23"/>
      <c r="L724" s="23"/>
      <c r="M724" s="23"/>
      <c r="N724" s="23"/>
      <c r="P724" s="23"/>
      <c r="R724" s="23"/>
      <c r="T724" s="23"/>
      <c r="V724" s="23"/>
      <c r="X724" s="23"/>
      <c r="Z724" s="23"/>
    </row>
    <row r="725" spans="1:26" ht="13.2">
      <c r="A725" s="23"/>
      <c r="B725" s="23"/>
      <c r="D725" s="23"/>
      <c r="F725" s="23"/>
      <c r="H725" s="23"/>
      <c r="J725" s="23"/>
      <c r="L725" s="23"/>
      <c r="M725" s="23"/>
      <c r="N725" s="23"/>
      <c r="P725" s="23"/>
      <c r="R725" s="23"/>
      <c r="T725" s="23"/>
      <c r="V725" s="23"/>
      <c r="X725" s="23"/>
      <c r="Z725" s="23"/>
    </row>
    <row r="726" spans="1:26" ht="13.2">
      <c r="A726" s="23"/>
      <c r="B726" s="23"/>
      <c r="D726" s="23"/>
      <c r="F726" s="23"/>
      <c r="H726" s="23"/>
      <c r="J726" s="23"/>
      <c r="L726" s="23"/>
      <c r="M726" s="23"/>
      <c r="N726" s="23"/>
      <c r="P726" s="23"/>
      <c r="R726" s="23"/>
      <c r="T726" s="23"/>
      <c r="V726" s="23"/>
      <c r="X726" s="23"/>
      <c r="Z726" s="23"/>
    </row>
    <row r="727" spans="1:26" ht="13.2">
      <c r="A727" s="23"/>
      <c r="B727" s="23"/>
      <c r="D727" s="23"/>
      <c r="F727" s="23"/>
      <c r="H727" s="23"/>
      <c r="J727" s="23"/>
      <c r="L727" s="23"/>
      <c r="M727" s="23"/>
      <c r="N727" s="23"/>
      <c r="P727" s="23"/>
      <c r="R727" s="23"/>
      <c r="T727" s="23"/>
      <c r="V727" s="23"/>
      <c r="X727" s="23"/>
      <c r="Z727" s="23"/>
    </row>
    <row r="728" spans="1:26" ht="13.2">
      <c r="A728" s="23"/>
      <c r="B728" s="23"/>
      <c r="D728" s="23"/>
      <c r="F728" s="23"/>
      <c r="H728" s="23"/>
      <c r="J728" s="23"/>
      <c r="L728" s="23"/>
      <c r="M728" s="23"/>
      <c r="N728" s="23"/>
      <c r="P728" s="23"/>
      <c r="R728" s="23"/>
      <c r="T728" s="23"/>
      <c r="V728" s="23"/>
      <c r="X728" s="23"/>
      <c r="Z728" s="23"/>
    </row>
    <row r="729" spans="1:26" ht="13.2">
      <c r="A729" s="23"/>
      <c r="B729" s="23"/>
      <c r="D729" s="23"/>
      <c r="F729" s="23"/>
      <c r="H729" s="23"/>
      <c r="J729" s="23"/>
      <c r="L729" s="23"/>
      <c r="M729" s="23"/>
      <c r="N729" s="23"/>
      <c r="P729" s="23"/>
      <c r="R729" s="23"/>
      <c r="T729" s="23"/>
      <c r="V729" s="23"/>
      <c r="X729" s="23"/>
      <c r="Z729" s="23"/>
    </row>
    <row r="730" spans="1:26" ht="13.2">
      <c r="A730" s="23"/>
      <c r="B730" s="23"/>
      <c r="D730" s="23"/>
      <c r="F730" s="23"/>
      <c r="H730" s="23"/>
      <c r="J730" s="23"/>
      <c r="L730" s="23"/>
      <c r="M730" s="23"/>
      <c r="N730" s="23"/>
      <c r="P730" s="23"/>
      <c r="R730" s="23"/>
      <c r="T730" s="23"/>
      <c r="V730" s="23"/>
      <c r="X730" s="23"/>
      <c r="Z730" s="23"/>
    </row>
    <row r="731" spans="1:26" ht="13.2">
      <c r="A731" s="23"/>
      <c r="B731" s="23"/>
      <c r="D731" s="23"/>
      <c r="F731" s="23"/>
      <c r="H731" s="23"/>
      <c r="J731" s="23"/>
      <c r="L731" s="23"/>
      <c r="M731" s="23"/>
      <c r="N731" s="23"/>
      <c r="P731" s="23"/>
      <c r="R731" s="23"/>
      <c r="T731" s="23"/>
      <c r="V731" s="23"/>
      <c r="X731" s="23"/>
      <c r="Z731" s="23"/>
    </row>
    <row r="732" spans="1:26" ht="13.2">
      <c r="A732" s="23"/>
      <c r="B732" s="23"/>
      <c r="D732" s="23"/>
      <c r="F732" s="23"/>
      <c r="H732" s="23"/>
      <c r="J732" s="23"/>
      <c r="L732" s="23"/>
      <c r="M732" s="23"/>
      <c r="N732" s="23"/>
      <c r="P732" s="23"/>
      <c r="R732" s="23"/>
      <c r="T732" s="23"/>
      <c r="V732" s="23"/>
      <c r="X732" s="23"/>
      <c r="Z732" s="23"/>
    </row>
    <row r="733" spans="1:26" ht="13.2">
      <c r="A733" s="23"/>
      <c r="B733" s="23"/>
      <c r="D733" s="23"/>
      <c r="F733" s="23"/>
      <c r="H733" s="23"/>
      <c r="J733" s="23"/>
      <c r="L733" s="23"/>
      <c r="M733" s="23"/>
      <c r="N733" s="23"/>
      <c r="P733" s="23"/>
      <c r="R733" s="23"/>
      <c r="T733" s="23"/>
      <c r="V733" s="23"/>
      <c r="X733" s="23"/>
      <c r="Z733" s="23"/>
    </row>
    <row r="734" spans="1:26" ht="13.2">
      <c r="A734" s="23"/>
      <c r="B734" s="23"/>
      <c r="D734" s="23"/>
      <c r="F734" s="23"/>
      <c r="H734" s="23"/>
      <c r="J734" s="23"/>
      <c r="L734" s="23"/>
      <c r="M734" s="23"/>
      <c r="N734" s="23"/>
      <c r="P734" s="23"/>
      <c r="R734" s="23"/>
      <c r="T734" s="23"/>
      <c r="V734" s="23"/>
      <c r="X734" s="23"/>
      <c r="Z734" s="23"/>
    </row>
    <row r="735" spans="1:26" ht="13.2">
      <c r="A735" s="23"/>
      <c r="B735" s="23"/>
      <c r="D735" s="23"/>
      <c r="F735" s="23"/>
      <c r="H735" s="23"/>
      <c r="J735" s="23"/>
      <c r="L735" s="23"/>
      <c r="M735" s="23"/>
      <c r="N735" s="23"/>
      <c r="P735" s="23"/>
      <c r="R735" s="23"/>
      <c r="T735" s="23"/>
      <c r="V735" s="23"/>
      <c r="X735" s="23"/>
      <c r="Z735" s="23"/>
    </row>
    <row r="736" spans="1:26" ht="13.2">
      <c r="A736" s="23"/>
      <c r="B736" s="23"/>
      <c r="D736" s="23"/>
      <c r="F736" s="23"/>
      <c r="H736" s="23"/>
      <c r="J736" s="23"/>
      <c r="L736" s="23"/>
      <c r="M736" s="23"/>
      <c r="N736" s="23"/>
      <c r="P736" s="23"/>
      <c r="R736" s="23"/>
      <c r="T736" s="23"/>
      <c r="V736" s="23"/>
      <c r="X736" s="23"/>
      <c r="Z736" s="23"/>
    </row>
    <row r="737" spans="1:26" ht="13.2">
      <c r="A737" s="23"/>
      <c r="B737" s="23"/>
      <c r="D737" s="23"/>
      <c r="F737" s="23"/>
      <c r="H737" s="23"/>
      <c r="J737" s="23"/>
      <c r="L737" s="23"/>
      <c r="M737" s="23"/>
      <c r="N737" s="23"/>
      <c r="P737" s="23"/>
      <c r="R737" s="23"/>
      <c r="T737" s="23"/>
      <c r="V737" s="23"/>
      <c r="X737" s="23"/>
      <c r="Z737" s="23"/>
    </row>
    <row r="738" spans="1:26" ht="13.2">
      <c r="A738" s="23"/>
      <c r="B738" s="23"/>
      <c r="D738" s="23"/>
      <c r="F738" s="23"/>
      <c r="H738" s="23"/>
      <c r="J738" s="23"/>
      <c r="L738" s="23"/>
      <c r="M738" s="23"/>
      <c r="N738" s="23"/>
      <c r="P738" s="23"/>
      <c r="R738" s="23"/>
      <c r="T738" s="23"/>
      <c r="V738" s="23"/>
      <c r="X738" s="23"/>
      <c r="Z738" s="23"/>
    </row>
    <row r="739" spans="1:26" ht="13.2">
      <c r="A739" s="23"/>
      <c r="B739" s="23"/>
      <c r="D739" s="23"/>
      <c r="F739" s="23"/>
      <c r="H739" s="23"/>
      <c r="J739" s="23"/>
      <c r="L739" s="23"/>
      <c r="M739" s="23"/>
      <c r="N739" s="23"/>
      <c r="P739" s="23"/>
      <c r="R739" s="23"/>
      <c r="T739" s="23"/>
      <c r="V739" s="23"/>
      <c r="X739" s="23"/>
      <c r="Z739" s="23"/>
    </row>
    <row r="740" spans="1:26" ht="13.2">
      <c r="A740" s="23"/>
      <c r="B740" s="23"/>
      <c r="D740" s="23"/>
      <c r="F740" s="23"/>
      <c r="H740" s="23"/>
      <c r="J740" s="23"/>
      <c r="L740" s="23"/>
      <c r="M740" s="23"/>
      <c r="N740" s="23"/>
      <c r="P740" s="23"/>
      <c r="R740" s="23"/>
      <c r="T740" s="23"/>
      <c r="V740" s="23"/>
      <c r="X740" s="23"/>
      <c r="Z740" s="23"/>
    </row>
    <row r="741" spans="1:26" ht="13.2">
      <c r="A741" s="23"/>
      <c r="B741" s="23"/>
      <c r="D741" s="23"/>
      <c r="F741" s="23"/>
      <c r="H741" s="23"/>
      <c r="J741" s="23"/>
      <c r="L741" s="23"/>
      <c r="M741" s="23"/>
      <c r="N741" s="23"/>
      <c r="P741" s="23"/>
      <c r="R741" s="23"/>
      <c r="T741" s="23"/>
      <c r="V741" s="23"/>
      <c r="X741" s="23"/>
      <c r="Z741" s="23"/>
    </row>
    <row r="742" spans="1:26" ht="13.2">
      <c r="A742" s="23"/>
      <c r="B742" s="23"/>
      <c r="D742" s="23"/>
      <c r="F742" s="23"/>
      <c r="H742" s="23"/>
      <c r="J742" s="23"/>
      <c r="L742" s="23"/>
      <c r="M742" s="23"/>
      <c r="N742" s="23"/>
      <c r="P742" s="23"/>
      <c r="R742" s="23"/>
      <c r="T742" s="23"/>
      <c r="V742" s="23"/>
      <c r="X742" s="23"/>
      <c r="Z742" s="23"/>
    </row>
    <row r="743" spans="1:26" ht="13.2">
      <c r="A743" s="23"/>
      <c r="B743" s="23"/>
      <c r="D743" s="23"/>
      <c r="F743" s="23"/>
      <c r="H743" s="23"/>
      <c r="J743" s="23"/>
      <c r="L743" s="23"/>
      <c r="M743" s="23"/>
      <c r="N743" s="23"/>
      <c r="P743" s="23"/>
      <c r="R743" s="23"/>
      <c r="T743" s="23"/>
      <c r="V743" s="23"/>
      <c r="X743" s="23"/>
      <c r="Z743" s="23"/>
    </row>
    <row r="744" spans="1:26" ht="13.2">
      <c r="A744" s="23"/>
      <c r="B744" s="23"/>
      <c r="D744" s="23"/>
      <c r="F744" s="23"/>
      <c r="H744" s="23"/>
      <c r="J744" s="23"/>
      <c r="L744" s="23"/>
      <c r="M744" s="23"/>
      <c r="N744" s="23"/>
      <c r="P744" s="23"/>
      <c r="R744" s="23"/>
      <c r="T744" s="23"/>
      <c r="V744" s="23"/>
      <c r="X744" s="23"/>
      <c r="Z744" s="23"/>
    </row>
    <row r="745" spans="1:26" ht="13.2">
      <c r="A745" s="23"/>
      <c r="B745" s="23"/>
      <c r="D745" s="23"/>
      <c r="F745" s="23"/>
      <c r="H745" s="23"/>
      <c r="J745" s="23"/>
      <c r="L745" s="23"/>
      <c r="M745" s="23"/>
      <c r="N745" s="23"/>
      <c r="P745" s="23"/>
      <c r="R745" s="23"/>
      <c r="T745" s="23"/>
      <c r="V745" s="23"/>
      <c r="X745" s="23"/>
      <c r="Z745" s="23"/>
    </row>
    <row r="746" spans="1:26" ht="13.2">
      <c r="A746" s="23"/>
      <c r="B746" s="23"/>
      <c r="D746" s="23"/>
      <c r="F746" s="23"/>
      <c r="H746" s="23"/>
      <c r="J746" s="23"/>
      <c r="L746" s="23"/>
      <c r="M746" s="23"/>
      <c r="N746" s="23"/>
      <c r="P746" s="23"/>
      <c r="R746" s="23"/>
      <c r="T746" s="23"/>
      <c r="V746" s="23"/>
      <c r="X746" s="23"/>
      <c r="Z746" s="23"/>
    </row>
    <row r="747" spans="1:26" ht="13.2">
      <c r="A747" s="23"/>
      <c r="B747" s="23"/>
      <c r="D747" s="23"/>
      <c r="F747" s="23"/>
      <c r="H747" s="23"/>
      <c r="J747" s="23"/>
      <c r="L747" s="23"/>
      <c r="M747" s="23"/>
      <c r="N747" s="23"/>
      <c r="P747" s="23"/>
      <c r="R747" s="23"/>
      <c r="T747" s="23"/>
      <c r="V747" s="23"/>
      <c r="X747" s="23"/>
      <c r="Z747" s="23"/>
    </row>
    <row r="748" spans="1:26" ht="13.2">
      <c r="A748" s="23"/>
      <c r="B748" s="23"/>
      <c r="D748" s="23"/>
      <c r="F748" s="23"/>
      <c r="H748" s="23"/>
      <c r="J748" s="23"/>
      <c r="L748" s="23"/>
      <c r="M748" s="23"/>
      <c r="N748" s="23"/>
      <c r="P748" s="23"/>
      <c r="R748" s="23"/>
      <c r="T748" s="23"/>
      <c r="V748" s="23"/>
      <c r="X748" s="23"/>
      <c r="Z748" s="23"/>
    </row>
    <row r="749" spans="1:26" ht="13.2">
      <c r="A749" s="23"/>
      <c r="B749" s="23"/>
      <c r="D749" s="23"/>
      <c r="F749" s="23"/>
      <c r="H749" s="23"/>
      <c r="J749" s="23"/>
      <c r="L749" s="23"/>
      <c r="M749" s="23"/>
      <c r="N749" s="23"/>
      <c r="P749" s="23"/>
      <c r="R749" s="23"/>
      <c r="T749" s="23"/>
      <c r="V749" s="23"/>
      <c r="X749" s="23"/>
      <c r="Z749" s="23"/>
    </row>
    <row r="750" spans="1:26" ht="13.2">
      <c r="A750" s="23"/>
      <c r="B750" s="23"/>
      <c r="D750" s="23"/>
      <c r="F750" s="23"/>
      <c r="H750" s="23"/>
      <c r="J750" s="23"/>
      <c r="L750" s="23"/>
      <c r="M750" s="23"/>
      <c r="N750" s="23"/>
      <c r="P750" s="23"/>
      <c r="R750" s="23"/>
      <c r="T750" s="23"/>
      <c r="V750" s="23"/>
      <c r="X750" s="23"/>
      <c r="Z750" s="23"/>
    </row>
    <row r="751" spans="1:26" ht="13.2">
      <c r="A751" s="23"/>
      <c r="B751" s="23"/>
      <c r="D751" s="23"/>
      <c r="F751" s="23"/>
      <c r="H751" s="23"/>
      <c r="J751" s="23"/>
      <c r="L751" s="23"/>
      <c r="M751" s="23"/>
      <c r="N751" s="23"/>
      <c r="P751" s="23"/>
      <c r="R751" s="23"/>
      <c r="T751" s="23"/>
      <c r="V751" s="23"/>
      <c r="X751" s="23"/>
      <c r="Z751" s="23"/>
    </row>
    <row r="752" spans="1:26" ht="13.2">
      <c r="A752" s="23"/>
      <c r="B752" s="23"/>
      <c r="D752" s="23"/>
      <c r="F752" s="23"/>
      <c r="H752" s="23"/>
      <c r="J752" s="23"/>
      <c r="L752" s="23"/>
      <c r="M752" s="23"/>
      <c r="N752" s="23"/>
      <c r="P752" s="23"/>
      <c r="R752" s="23"/>
      <c r="T752" s="23"/>
      <c r="V752" s="23"/>
      <c r="X752" s="23"/>
      <c r="Z752" s="23"/>
    </row>
    <row r="753" spans="6:14" ht="13.2">
      <c r="F753" s="23"/>
      <c r="H753" s="23"/>
      <c r="J753" s="23"/>
      <c r="L753" s="23"/>
      <c r="M753" s="23"/>
      <c r="N753" s="23"/>
    </row>
    <row r="754" spans="6:14" ht="13.2">
      <c r="F754" s="23"/>
      <c r="H754" s="23"/>
      <c r="J754" s="23"/>
      <c r="L754" s="23"/>
      <c r="M754" s="23"/>
      <c r="N754" s="23"/>
    </row>
    <row r="755" spans="6:14" ht="13.2">
      <c r="F755" s="23"/>
      <c r="H755" s="23"/>
      <c r="J755" s="23"/>
      <c r="L755" s="23"/>
      <c r="M755" s="23"/>
      <c r="N755" s="23"/>
    </row>
    <row r="756" spans="6:14" ht="13.2">
      <c r="F756" s="23"/>
      <c r="H756" s="23"/>
      <c r="J756" s="23"/>
      <c r="L756" s="23"/>
      <c r="M756" s="23"/>
      <c r="N756" s="23"/>
    </row>
    <row r="757" spans="6:14" ht="13.2">
      <c r="F757" s="23"/>
      <c r="H757" s="23"/>
      <c r="J757" s="23"/>
      <c r="L757" s="23"/>
      <c r="M757" s="23"/>
      <c r="N757" s="23"/>
    </row>
    <row r="758" spans="6:14" ht="13.2">
      <c r="F758" s="23"/>
      <c r="H758" s="23"/>
      <c r="J758" s="23"/>
      <c r="L758" s="23"/>
      <c r="M758" s="23"/>
      <c r="N758" s="23"/>
    </row>
    <row r="759" spans="6:14" ht="13.2">
      <c r="F759" s="23"/>
      <c r="H759" s="23"/>
      <c r="J759" s="23"/>
      <c r="L759" s="23"/>
      <c r="M759" s="23"/>
      <c r="N759" s="23"/>
    </row>
    <row r="760" spans="6:14" ht="13.2">
      <c r="F760" s="23"/>
      <c r="H760" s="23"/>
      <c r="J760" s="23"/>
      <c r="L760" s="23"/>
      <c r="M760" s="23"/>
      <c r="N760" s="23"/>
    </row>
    <row r="761" spans="6:14" ht="13.2">
      <c r="F761" s="23"/>
      <c r="H761" s="23"/>
      <c r="J761" s="23"/>
      <c r="L761" s="23"/>
      <c r="M761" s="23"/>
      <c r="N761" s="23"/>
    </row>
    <row r="762" spans="6:14" ht="13.2">
      <c r="F762" s="23"/>
      <c r="H762" s="23"/>
      <c r="J762" s="23"/>
      <c r="L762" s="23"/>
      <c r="M762" s="23"/>
      <c r="N762" s="23"/>
    </row>
    <row r="763" spans="6:14" ht="13.2">
      <c r="F763" s="23"/>
      <c r="H763" s="23"/>
      <c r="J763" s="23"/>
      <c r="L763" s="23"/>
      <c r="M763" s="23"/>
      <c r="N763" s="23"/>
    </row>
    <row r="764" spans="6:14" ht="13.2">
      <c r="F764" s="23"/>
      <c r="H764" s="23"/>
      <c r="J764" s="23"/>
      <c r="L764" s="23"/>
      <c r="M764" s="23"/>
      <c r="N764" s="23"/>
    </row>
    <row r="765" spans="6:14" ht="13.2">
      <c r="F765" s="23"/>
      <c r="H765" s="23"/>
      <c r="J765" s="23"/>
      <c r="L765" s="23"/>
      <c r="M765" s="23"/>
      <c r="N765" s="23"/>
    </row>
    <row r="766" spans="6:14" ht="13.2">
      <c r="F766" s="23"/>
      <c r="H766" s="23"/>
      <c r="J766" s="23"/>
      <c r="L766" s="23"/>
      <c r="M766" s="23"/>
      <c r="N766" s="23"/>
    </row>
    <row r="767" spans="6:14" ht="13.2">
      <c r="F767" s="23"/>
      <c r="H767" s="23"/>
      <c r="J767" s="23"/>
      <c r="L767" s="23"/>
      <c r="M767" s="23"/>
      <c r="N767" s="23"/>
    </row>
    <row r="768" spans="6:14" ht="13.2">
      <c r="F768" s="23"/>
      <c r="H768" s="23"/>
      <c r="J768" s="23"/>
      <c r="L768" s="23"/>
      <c r="M768" s="23"/>
      <c r="N768" s="23"/>
    </row>
    <row r="769" spans="6:14" ht="13.2">
      <c r="F769" s="23"/>
      <c r="H769" s="23"/>
      <c r="J769" s="23"/>
      <c r="L769" s="23"/>
      <c r="M769" s="23"/>
      <c r="N769" s="23"/>
    </row>
    <row r="770" spans="6:14" ht="13.2">
      <c r="F770" s="23"/>
      <c r="H770" s="23"/>
      <c r="J770" s="23"/>
      <c r="L770" s="23"/>
      <c r="M770" s="23"/>
      <c r="N770" s="23"/>
    </row>
    <row r="771" spans="6:14" ht="13.2">
      <c r="F771" s="23"/>
      <c r="H771" s="23"/>
      <c r="J771" s="23"/>
      <c r="L771" s="23"/>
      <c r="M771" s="23"/>
      <c r="N771" s="23"/>
    </row>
    <row r="772" spans="6:14" ht="13.2">
      <c r="F772" s="23"/>
      <c r="H772" s="23"/>
      <c r="J772" s="23"/>
      <c r="L772" s="23"/>
      <c r="M772" s="23"/>
      <c r="N772" s="23"/>
    </row>
    <row r="773" spans="6:14" ht="13.2">
      <c r="F773" s="23"/>
      <c r="H773" s="23"/>
      <c r="J773" s="23"/>
      <c r="L773" s="23"/>
      <c r="M773" s="23"/>
      <c r="N773" s="23"/>
    </row>
    <row r="774" spans="6:14" ht="13.2">
      <c r="F774" s="23"/>
      <c r="H774" s="23"/>
      <c r="J774" s="23"/>
      <c r="L774" s="23"/>
      <c r="M774" s="23"/>
      <c r="N774" s="23"/>
    </row>
    <row r="775" spans="6:14" ht="13.2">
      <c r="F775" s="23"/>
      <c r="H775" s="23"/>
      <c r="J775" s="23"/>
      <c r="L775" s="23"/>
      <c r="M775" s="23"/>
      <c r="N775" s="23"/>
    </row>
    <row r="776" spans="6:14" ht="13.2">
      <c r="F776" s="23"/>
      <c r="H776" s="23"/>
      <c r="J776" s="23"/>
      <c r="L776" s="23"/>
      <c r="M776" s="23"/>
      <c r="N776" s="23"/>
    </row>
    <row r="777" spans="6:14" ht="13.2">
      <c r="F777" s="23"/>
      <c r="H777" s="23"/>
      <c r="J777" s="23"/>
      <c r="L777" s="23"/>
      <c r="M777" s="23"/>
      <c r="N777" s="23"/>
    </row>
    <row r="778" spans="6:14" ht="13.2">
      <c r="F778" s="23"/>
      <c r="H778" s="23"/>
      <c r="J778" s="23"/>
      <c r="L778" s="23"/>
      <c r="M778" s="23"/>
      <c r="N778" s="23"/>
    </row>
    <row r="779" spans="6:14" ht="13.2">
      <c r="F779" s="23"/>
      <c r="H779" s="23"/>
      <c r="J779" s="23"/>
      <c r="L779" s="23"/>
      <c r="M779" s="23"/>
      <c r="N779" s="23"/>
    </row>
    <row r="780" spans="6:14" ht="13.2">
      <c r="F780" s="23"/>
      <c r="H780" s="23"/>
      <c r="J780" s="23"/>
      <c r="L780" s="23"/>
      <c r="M780" s="23"/>
      <c r="N780" s="23"/>
    </row>
    <row r="781" spans="6:14" ht="13.2">
      <c r="F781" s="23"/>
      <c r="H781" s="23"/>
      <c r="J781" s="23"/>
      <c r="L781" s="23"/>
      <c r="M781" s="23"/>
      <c r="N781" s="23"/>
    </row>
    <row r="782" spans="6:14" ht="13.2">
      <c r="F782" s="23"/>
      <c r="H782" s="23"/>
      <c r="J782" s="23"/>
      <c r="L782" s="23"/>
      <c r="M782" s="23"/>
      <c r="N782" s="23"/>
    </row>
    <row r="783" spans="6:14" ht="13.2">
      <c r="F783" s="23"/>
      <c r="H783" s="23"/>
      <c r="J783" s="23"/>
      <c r="L783" s="23"/>
      <c r="M783" s="23"/>
      <c r="N783" s="23"/>
    </row>
    <row r="784" spans="6:14" ht="13.2">
      <c r="F784" s="23"/>
      <c r="H784" s="23"/>
      <c r="J784" s="23"/>
      <c r="L784" s="23"/>
      <c r="M784" s="23"/>
      <c r="N784" s="23"/>
    </row>
    <row r="785" spans="6:14" ht="13.2">
      <c r="F785" s="23"/>
      <c r="H785" s="23"/>
      <c r="J785" s="23"/>
      <c r="L785" s="23"/>
      <c r="M785" s="23"/>
      <c r="N785" s="23"/>
    </row>
    <row r="786" spans="6:14" ht="13.2">
      <c r="F786" s="23"/>
      <c r="H786" s="23"/>
      <c r="J786" s="23"/>
      <c r="L786" s="23"/>
      <c r="M786" s="23"/>
      <c r="N786" s="23"/>
    </row>
    <row r="787" spans="6:14" ht="13.2">
      <c r="F787" s="23"/>
      <c r="H787" s="23"/>
      <c r="J787" s="23"/>
      <c r="L787" s="23"/>
      <c r="M787" s="23"/>
      <c r="N787" s="23"/>
    </row>
    <row r="788" spans="6:14" ht="13.2">
      <c r="F788" s="23"/>
      <c r="H788" s="23"/>
      <c r="J788" s="23"/>
      <c r="L788" s="23"/>
      <c r="M788" s="23"/>
      <c r="N788" s="23"/>
    </row>
    <row r="789" spans="6:14" ht="13.2">
      <c r="F789" s="23"/>
      <c r="H789" s="23"/>
      <c r="J789" s="23"/>
      <c r="L789" s="23"/>
      <c r="M789" s="23"/>
      <c r="N789" s="23"/>
    </row>
    <row r="790" spans="6:14" ht="13.2">
      <c r="F790" s="23"/>
      <c r="H790" s="23"/>
      <c r="J790" s="23"/>
      <c r="L790" s="23"/>
      <c r="M790" s="23"/>
      <c r="N790" s="23"/>
    </row>
    <row r="791" spans="6:14" ht="13.2">
      <c r="F791" s="23"/>
      <c r="H791" s="23"/>
      <c r="J791" s="23"/>
      <c r="L791" s="23"/>
      <c r="M791" s="23"/>
      <c r="N791" s="23"/>
    </row>
    <row r="792" spans="6:14" ht="13.2">
      <c r="F792" s="23"/>
      <c r="H792" s="23"/>
      <c r="J792" s="23"/>
      <c r="L792" s="23"/>
      <c r="M792" s="23"/>
      <c r="N792" s="23"/>
    </row>
    <row r="793" spans="6:14" ht="13.2">
      <c r="F793" s="23"/>
      <c r="H793" s="23"/>
      <c r="J793" s="23"/>
      <c r="L793" s="23"/>
      <c r="M793" s="23"/>
      <c r="N793" s="23"/>
    </row>
    <row r="794" spans="6:14" ht="13.2">
      <c r="F794" s="23"/>
      <c r="H794" s="23"/>
      <c r="J794" s="23"/>
      <c r="L794" s="23"/>
      <c r="M794" s="23"/>
      <c r="N794" s="23"/>
    </row>
    <row r="795" spans="6:14" ht="13.2">
      <c r="F795" s="23"/>
      <c r="H795" s="23"/>
      <c r="J795" s="23"/>
      <c r="L795" s="23"/>
      <c r="M795" s="23"/>
      <c r="N795" s="23"/>
    </row>
    <row r="796" spans="6:14" ht="13.2">
      <c r="F796" s="23"/>
      <c r="H796" s="23"/>
      <c r="J796" s="23"/>
      <c r="L796" s="23"/>
      <c r="M796" s="23"/>
      <c r="N796" s="23"/>
    </row>
    <row r="797" spans="6:14" ht="13.2">
      <c r="F797" s="23"/>
      <c r="H797" s="23"/>
      <c r="J797" s="23"/>
      <c r="L797" s="23"/>
      <c r="M797" s="23"/>
      <c r="N797" s="23"/>
    </row>
    <row r="798" spans="6:14" ht="13.2">
      <c r="F798" s="23"/>
      <c r="H798" s="23"/>
      <c r="J798" s="23"/>
      <c r="L798" s="23"/>
      <c r="M798" s="23"/>
      <c r="N798" s="23"/>
    </row>
    <row r="799" spans="6:14" ht="13.2">
      <c r="F799" s="23"/>
      <c r="H799" s="23"/>
      <c r="J799" s="23"/>
      <c r="L799" s="23"/>
      <c r="M799" s="23"/>
      <c r="N799" s="23"/>
    </row>
    <row r="800" spans="6:14" ht="13.2">
      <c r="F800" s="23"/>
      <c r="H800" s="23"/>
      <c r="J800" s="23"/>
      <c r="L800" s="23"/>
      <c r="M800" s="23"/>
      <c r="N800" s="23"/>
    </row>
    <row r="801" spans="6:14" ht="13.2">
      <c r="F801" s="23"/>
      <c r="H801" s="23"/>
      <c r="J801" s="23"/>
      <c r="L801" s="23"/>
      <c r="M801" s="23"/>
      <c r="N801" s="23"/>
    </row>
    <row r="802" spans="6:14" ht="13.2">
      <c r="F802" s="23"/>
      <c r="H802" s="23"/>
      <c r="J802" s="23"/>
      <c r="L802" s="23"/>
      <c r="M802" s="23"/>
      <c r="N802" s="23"/>
    </row>
    <row r="803" spans="6:14" ht="13.2">
      <c r="F803" s="23"/>
      <c r="H803" s="23"/>
      <c r="J803" s="23"/>
      <c r="L803" s="23"/>
      <c r="M803" s="23"/>
      <c r="N803" s="23"/>
    </row>
    <row r="804" spans="6:14" ht="13.2">
      <c r="F804" s="23"/>
      <c r="H804" s="23"/>
      <c r="J804" s="23"/>
      <c r="L804" s="23"/>
      <c r="M804" s="23"/>
      <c r="N804" s="23"/>
    </row>
    <row r="805" spans="6:14" ht="13.2">
      <c r="F805" s="23"/>
      <c r="H805" s="23"/>
      <c r="J805" s="23"/>
      <c r="L805" s="23"/>
      <c r="M805" s="23"/>
      <c r="N805" s="23"/>
    </row>
    <row r="806" spans="6:14" ht="13.2">
      <c r="F806" s="23"/>
      <c r="H806" s="23"/>
      <c r="J806" s="23"/>
      <c r="L806" s="23"/>
      <c r="M806" s="23"/>
      <c r="N806" s="23"/>
    </row>
    <row r="807" spans="6:14" ht="13.2">
      <c r="F807" s="23"/>
      <c r="H807" s="23"/>
      <c r="J807" s="23"/>
      <c r="L807" s="23"/>
      <c r="M807" s="23"/>
      <c r="N807" s="23"/>
    </row>
    <row r="808" spans="6:14" ht="13.2">
      <c r="F808" s="23"/>
      <c r="H808" s="23"/>
      <c r="J808" s="23"/>
      <c r="L808" s="23"/>
      <c r="M808" s="23"/>
      <c r="N808" s="23"/>
    </row>
    <row r="809" spans="6:14" ht="13.2">
      <c r="F809" s="23"/>
      <c r="H809" s="23"/>
      <c r="J809" s="23"/>
      <c r="L809" s="23"/>
      <c r="M809" s="23"/>
      <c r="N809" s="23"/>
    </row>
    <row r="810" spans="6:14" ht="13.2">
      <c r="F810" s="23"/>
      <c r="H810" s="23"/>
      <c r="J810" s="23"/>
      <c r="L810" s="23"/>
      <c r="M810" s="23"/>
      <c r="N810" s="23"/>
    </row>
    <row r="811" spans="6:14" ht="13.2">
      <c r="F811" s="23"/>
      <c r="H811" s="23"/>
      <c r="J811" s="23"/>
      <c r="L811" s="23"/>
      <c r="M811" s="23"/>
      <c r="N811" s="23"/>
    </row>
    <row r="812" spans="6:14" ht="13.2">
      <c r="F812" s="23"/>
      <c r="H812" s="23"/>
      <c r="J812" s="23"/>
      <c r="L812" s="23"/>
      <c r="M812" s="23"/>
      <c r="N812" s="23"/>
    </row>
    <row r="813" spans="6:14" ht="13.2">
      <c r="F813" s="23"/>
      <c r="H813" s="23"/>
      <c r="J813" s="23"/>
      <c r="L813" s="23"/>
      <c r="M813" s="23"/>
      <c r="N813" s="23"/>
    </row>
    <row r="814" spans="6:14" ht="13.2">
      <c r="F814" s="23"/>
      <c r="H814" s="23"/>
      <c r="J814" s="23"/>
      <c r="L814" s="23"/>
      <c r="M814" s="23"/>
      <c r="N814" s="23"/>
    </row>
    <row r="815" spans="6:14" ht="13.2">
      <c r="F815" s="23"/>
      <c r="H815" s="23"/>
      <c r="J815" s="23"/>
      <c r="L815" s="23"/>
      <c r="M815" s="23"/>
      <c r="N815" s="23"/>
    </row>
    <row r="816" spans="6:14" ht="13.2">
      <c r="F816" s="23"/>
      <c r="H816" s="23"/>
      <c r="J816" s="23"/>
      <c r="L816" s="23"/>
      <c r="M816" s="23"/>
      <c r="N816" s="23"/>
    </row>
    <row r="817" spans="6:14" ht="13.2">
      <c r="F817" s="23"/>
      <c r="H817" s="23"/>
      <c r="J817" s="23"/>
      <c r="L817" s="23"/>
      <c r="M817" s="23"/>
      <c r="N817" s="23"/>
    </row>
    <row r="818" spans="6:14" ht="13.2">
      <c r="F818" s="23"/>
      <c r="H818" s="23"/>
      <c r="J818" s="23"/>
      <c r="L818" s="23"/>
      <c r="M818" s="23"/>
      <c r="N818" s="23"/>
    </row>
    <row r="819" spans="6:14" ht="13.2">
      <c r="F819" s="23"/>
      <c r="H819" s="23"/>
      <c r="J819" s="23"/>
      <c r="L819" s="23"/>
      <c r="M819" s="23"/>
      <c r="N819" s="23"/>
    </row>
    <row r="820" spans="6:14" ht="13.2">
      <c r="F820" s="23"/>
      <c r="H820" s="23"/>
      <c r="J820" s="23"/>
      <c r="L820" s="23"/>
      <c r="M820" s="23"/>
      <c r="N820" s="23"/>
    </row>
    <row r="821" spans="6:14" ht="13.2">
      <c r="F821" s="23"/>
      <c r="H821" s="23"/>
      <c r="J821" s="23"/>
      <c r="L821" s="23"/>
      <c r="M821" s="23"/>
      <c r="N821" s="23"/>
    </row>
    <row r="822" spans="6:14" ht="13.2">
      <c r="F822" s="23"/>
      <c r="H822" s="23"/>
      <c r="J822" s="23"/>
      <c r="L822" s="23"/>
      <c r="M822" s="23"/>
      <c r="N822" s="23"/>
    </row>
    <row r="823" spans="6:14" ht="13.2">
      <c r="F823" s="23"/>
      <c r="H823" s="23"/>
      <c r="J823" s="23"/>
      <c r="L823" s="23"/>
      <c r="M823" s="23"/>
      <c r="N823" s="23"/>
    </row>
    <row r="824" spans="6:14" ht="13.2">
      <c r="F824" s="23"/>
      <c r="H824" s="23"/>
      <c r="J824" s="23"/>
      <c r="L824" s="23"/>
      <c r="M824" s="23"/>
      <c r="N824" s="23"/>
    </row>
    <row r="825" spans="6:14" ht="13.2">
      <c r="F825" s="23"/>
      <c r="H825" s="23"/>
      <c r="J825" s="23"/>
      <c r="L825" s="23"/>
      <c r="M825" s="23"/>
      <c r="N825" s="23"/>
    </row>
    <row r="826" spans="6:14" ht="13.2">
      <c r="F826" s="23"/>
      <c r="H826" s="23"/>
      <c r="J826" s="23"/>
      <c r="L826" s="23"/>
      <c r="M826" s="23"/>
      <c r="N826" s="23"/>
    </row>
    <row r="827" spans="6:14" ht="13.2">
      <c r="F827" s="23"/>
      <c r="H827" s="23"/>
      <c r="J827" s="23"/>
      <c r="L827" s="23"/>
      <c r="M827" s="23"/>
      <c r="N827" s="23"/>
    </row>
    <row r="828" spans="6:14" ht="13.2">
      <c r="F828" s="23"/>
      <c r="H828" s="23"/>
      <c r="J828" s="23"/>
      <c r="L828" s="23"/>
      <c r="M828" s="23"/>
      <c r="N828" s="23"/>
    </row>
    <row r="829" spans="6:14" ht="13.2">
      <c r="F829" s="23"/>
      <c r="H829" s="23"/>
      <c r="J829" s="23"/>
      <c r="L829" s="23"/>
      <c r="M829" s="23"/>
      <c r="N829" s="23"/>
    </row>
    <row r="830" spans="6:14" ht="13.2">
      <c r="F830" s="23"/>
      <c r="H830" s="23"/>
      <c r="J830" s="23"/>
      <c r="L830" s="23"/>
      <c r="M830" s="23"/>
      <c r="N830" s="23"/>
    </row>
    <row r="831" spans="6:14" ht="13.2">
      <c r="F831" s="23"/>
      <c r="H831" s="23"/>
      <c r="J831" s="23"/>
      <c r="L831" s="23"/>
      <c r="M831" s="23"/>
      <c r="N831" s="23"/>
    </row>
    <row r="832" spans="6:14" ht="13.2">
      <c r="F832" s="23"/>
      <c r="H832" s="23"/>
      <c r="J832" s="23"/>
      <c r="L832" s="23"/>
      <c r="M832" s="23"/>
      <c r="N832" s="23"/>
    </row>
    <row r="833" spans="6:14" ht="13.2">
      <c r="F833" s="23"/>
      <c r="H833" s="23"/>
      <c r="J833" s="23"/>
      <c r="L833" s="23"/>
      <c r="M833" s="23"/>
      <c r="N833" s="23"/>
    </row>
    <row r="834" spans="6:14" ht="13.2">
      <c r="F834" s="23"/>
      <c r="H834" s="23"/>
      <c r="J834" s="23"/>
      <c r="L834" s="23"/>
      <c r="M834" s="23"/>
      <c r="N834" s="23"/>
    </row>
    <row r="835" spans="6:14" ht="13.2">
      <c r="F835" s="23"/>
      <c r="H835" s="23"/>
      <c r="J835" s="23"/>
      <c r="L835" s="23"/>
      <c r="M835" s="23"/>
      <c r="N835" s="23"/>
    </row>
    <row r="836" spans="6:14" ht="13.2">
      <c r="F836" s="23"/>
      <c r="H836" s="23"/>
      <c r="J836" s="23"/>
      <c r="L836" s="23"/>
      <c r="M836" s="23"/>
      <c r="N836" s="23"/>
    </row>
    <row r="837" spans="6:14" ht="13.2">
      <c r="F837" s="23"/>
      <c r="H837" s="23"/>
      <c r="J837" s="23"/>
      <c r="L837" s="23"/>
      <c r="M837" s="23"/>
      <c r="N837" s="23"/>
    </row>
    <row r="838" spans="6:14" ht="13.2">
      <c r="F838" s="23"/>
      <c r="H838" s="23"/>
      <c r="J838" s="23"/>
      <c r="L838" s="23"/>
      <c r="M838" s="23"/>
      <c r="N838" s="23"/>
    </row>
    <row r="839" spans="6:14" ht="13.2">
      <c r="F839" s="23"/>
      <c r="H839" s="23"/>
      <c r="J839" s="23"/>
      <c r="L839" s="23"/>
      <c r="M839" s="23"/>
      <c r="N839" s="23"/>
    </row>
    <row r="840" spans="6:14" ht="13.2">
      <c r="F840" s="23"/>
      <c r="H840" s="23"/>
      <c r="J840" s="23"/>
      <c r="L840" s="23"/>
      <c r="M840" s="23"/>
      <c r="N840" s="23"/>
    </row>
    <row r="841" spans="6:14" ht="13.2">
      <c r="F841" s="23"/>
      <c r="H841" s="23"/>
      <c r="J841" s="23"/>
      <c r="L841" s="23"/>
      <c r="M841" s="23"/>
      <c r="N841" s="23"/>
    </row>
    <row r="842" spans="6:14" ht="13.2">
      <c r="F842" s="23"/>
      <c r="H842" s="23"/>
      <c r="J842" s="23"/>
      <c r="L842" s="23"/>
      <c r="M842" s="23"/>
      <c r="N842" s="23"/>
    </row>
    <row r="843" spans="6:14" ht="13.2">
      <c r="F843" s="23"/>
      <c r="H843" s="23"/>
      <c r="J843" s="23"/>
      <c r="L843" s="23"/>
      <c r="M843" s="23"/>
      <c r="N843" s="23"/>
    </row>
    <row r="844" spans="6:14" ht="13.2">
      <c r="F844" s="23"/>
      <c r="H844" s="23"/>
      <c r="J844" s="23"/>
      <c r="L844" s="23"/>
      <c r="M844" s="23"/>
      <c r="N844" s="23"/>
    </row>
    <row r="845" spans="6:14" ht="13.2">
      <c r="F845" s="23"/>
      <c r="H845" s="23"/>
      <c r="J845" s="23"/>
      <c r="L845" s="23"/>
      <c r="M845" s="23"/>
      <c r="N845" s="23"/>
    </row>
    <row r="846" spans="6:14" ht="13.2">
      <c r="F846" s="23"/>
      <c r="H846" s="23"/>
      <c r="J846" s="23"/>
      <c r="L846" s="23"/>
      <c r="M846" s="23"/>
      <c r="N846" s="23"/>
    </row>
    <row r="847" spans="6:14" ht="13.2">
      <c r="F847" s="23"/>
      <c r="H847" s="23"/>
      <c r="J847" s="23"/>
      <c r="L847" s="23"/>
      <c r="M847" s="23"/>
      <c r="N847" s="23"/>
    </row>
    <row r="848" spans="6:14" ht="13.2">
      <c r="F848" s="23"/>
      <c r="H848" s="23"/>
      <c r="J848" s="23"/>
      <c r="L848" s="23"/>
      <c r="M848" s="23"/>
      <c r="N848" s="23"/>
    </row>
    <row r="849" spans="6:14" ht="13.2">
      <c r="F849" s="23"/>
      <c r="H849" s="23"/>
      <c r="J849" s="23"/>
      <c r="L849" s="23"/>
      <c r="M849" s="23"/>
      <c r="N849" s="23"/>
    </row>
    <row r="850" spans="6:14" ht="13.2">
      <c r="F850" s="23"/>
      <c r="H850" s="23"/>
      <c r="J850" s="23"/>
      <c r="L850" s="23"/>
      <c r="M850" s="23"/>
      <c r="N850" s="23"/>
    </row>
    <row r="851" spans="6:14" ht="13.2">
      <c r="F851" s="23"/>
      <c r="H851" s="23"/>
      <c r="J851" s="23"/>
      <c r="L851" s="23"/>
      <c r="M851" s="23"/>
      <c r="N851" s="23"/>
    </row>
    <row r="852" spans="6:14" ht="13.2">
      <c r="F852" s="23"/>
      <c r="H852" s="23"/>
      <c r="J852" s="23"/>
      <c r="L852" s="23"/>
      <c r="M852" s="23"/>
      <c r="N852" s="23"/>
    </row>
    <row r="853" spans="6:14" ht="13.2">
      <c r="F853" s="23"/>
      <c r="H853" s="23"/>
      <c r="J853" s="23"/>
      <c r="L853" s="23"/>
      <c r="M853" s="23"/>
      <c r="N853" s="23"/>
    </row>
    <row r="854" spans="6:14" ht="13.2">
      <c r="F854" s="23"/>
      <c r="H854" s="23"/>
      <c r="J854" s="23"/>
      <c r="L854" s="23"/>
      <c r="M854" s="23"/>
      <c r="N854" s="23"/>
    </row>
    <row r="855" spans="6:14" ht="13.2">
      <c r="F855" s="23"/>
      <c r="H855" s="23"/>
      <c r="J855" s="23"/>
      <c r="L855" s="23"/>
      <c r="M855" s="23"/>
      <c r="N855" s="23"/>
    </row>
    <row r="856" spans="6:14" ht="13.2">
      <c r="F856" s="23"/>
      <c r="H856" s="23"/>
      <c r="J856" s="23"/>
      <c r="L856" s="23"/>
      <c r="M856" s="23"/>
      <c r="N856" s="23"/>
    </row>
    <row r="857" spans="6:14" ht="13.2">
      <c r="F857" s="23"/>
      <c r="H857" s="23"/>
      <c r="J857" s="23"/>
      <c r="L857" s="23"/>
      <c r="M857" s="23"/>
      <c r="N857" s="23"/>
    </row>
    <row r="858" spans="6:14" ht="13.2">
      <c r="F858" s="23"/>
      <c r="H858" s="23"/>
      <c r="J858" s="23"/>
      <c r="L858" s="23"/>
      <c r="M858" s="23"/>
      <c r="N858" s="23"/>
    </row>
    <row r="859" spans="6:14" ht="13.2">
      <c r="F859" s="23"/>
      <c r="H859" s="23"/>
      <c r="J859" s="23"/>
      <c r="L859" s="23"/>
      <c r="M859" s="23"/>
      <c r="N859" s="23"/>
    </row>
    <row r="860" spans="6:14" ht="13.2">
      <c r="F860" s="23"/>
      <c r="H860" s="23"/>
      <c r="J860" s="23"/>
      <c r="L860" s="23"/>
      <c r="M860" s="23"/>
      <c r="N860" s="23"/>
    </row>
    <row r="861" spans="6:14" ht="13.2">
      <c r="F861" s="23"/>
      <c r="H861" s="23"/>
      <c r="J861" s="23"/>
      <c r="L861" s="23"/>
      <c r="M861" s="23"/>
      <c r="N861" s="23"/>
    </row>
    <row r="862" spans="6:14" ht="13.2">
      <c r="F862" s="23"/>
      <c r="H862" s="23"/>
      <c r="J862" s="23"/>
      <c r="L862" s="23"/>
      <c r="M862" s="23"/>
      <c r="N862" s="23"/>
    </row>
    <row r="863" spans="6:14" ht="13.2">
      <c r="F863" s="23"/>
      <c r="H863" s="23"/>
      <c r="J863" s="23"/>
      <c r="L863" s="23"/>
      <c r="M863" s="23"/>
      <c r="N863" s="23"/>
    </row>
    <row r="864" spans="6:14" ht="13.2">
      <c r="F864" s="23"/>
      <c r="H864" s="23"/>
      <c r="J864" s="23"/>
      <c r="L864" s="23"/>
      <c r="M864" s="23"/>
      <c r="N864" s="23"/>
    </row>
    <row r="865" spans="6:14" ht="13.2">
      <c r="F865" s="23"/>
      <c r="H865" s="23"/>
      <c r="J865" s="23"/>
      <c r="L865" s="23"/>
      <c r="M865" s="23"/>
      <c r="N865" s="23"/>
    </row>
    <row r="866" spans="6:14" ht="13.2">
      <c r="F866" s="23"/>
      <c r="H866" s="23"/>
      <c r="J866" s="23"/>
      <c r="L866" s="23"/>
      <c r="M866" s="23"/>
      <c r="N866" s="23"/>
    </row>
    <row r="867" spans="6:14" ht="13.2">
      <c r="F867" s="23"/>
      <c r="H867" s="23"/>
      <c r="J867" s="23"/>
      <c r="L867" s="23"/>
      <c r="M867" s="23"/>
      <c r="N867" s="23"/>
    </row>
    <row r="868" spans="6:14" ht="13.2">
      <c r="F868" s="23"/>
      <c r="H868" s="23"/>
      <c r="J868" s="23"/>
      <c r="L868" s="23"/>
      <c r="M868" s="23"/>
      <c r="N868" s="23"/>
    </row>
    <row r="869" spans="6:14" ht="13.2">
      <c r="F869" s="23"/>
      <c r="H869" s="23"/>
      <c r="J869" s="23"/>
      <c r="L869" s="23"/>
      <c r="M869" s="23"/>
      <c r="N869" s="23"/>
    </row>
    <row r="870" spans="6:14" ht="13.2">
      <c r="F870" s="23"/>
      <c r="H870" s="23"/>
      <c r="J870" s="23"/>
      <c r="L870" s="23"/>
      <c r="M870" s="23"/>
      <c r="N870" s="23"/>
    </row>
    <row r="871" spans="6:14" ht="13.2">
      <c r="F871" s="23"/>
      <c r="H871" s="23"/>
      <c r="J871" s="23"/>
      <c r="L871" s="23"/>
      <c r="M871" s="23"/>
      <c r="N871" s="23"/>
    </row>
    <row r="872" spans="6:14" ht="13.2">
      <c r="F872" s="23"/>
      <c r="H872" s="23"/>
      <c r="J872" s="23"/>
      <c r="L872" s="23"/>
      <c r="M872" s="23"/>
      <c r="N872" s="23"/>
    </row>
    <row r="873" spans="6:14" ht="13.2">
      <c r="F873" s="23"/>
      <c r="H873" s="23"/>
      <c r="J873" s="23"/>
      <c r="L873" s="23"/>
      <c r="M873" s="23"/>
      <c r="N873" s="23"/>
    </row>
    <row r="874" spans="6:14" ht="13.2">
      <c r="F874" s="23"/>
      <c r="H874" s="23"/>
      <c r="J874" s="23"/>
      <c r="L874" s="23"/>
      <c r="M874" s="23"/>
      <c r="N874" s="23"/>
    </row>
    <row r="875" spans="6:14" ht="13.2">
      <c r="F875" s="23"/>
      <c r="H875" s="23"/>
      <c r="J875" s="23"/>
      <c r="L875" s="23"/>
      <c r="M875" s="23"/>
      <c r="N875" s="23"/>
    </row>
    <row r="876" spans="6:14" ht="13.2">
      <c r="F876" s="23"/>
      <c r="H876" s="23"/>
      <c r="J876" s="23"/>
      <c r="L876" s="23"/>
      <c r="M876" s="23"/>
      <c r="N876" s="23"/>
    </row>
    <row r="877" spans="6:14" ht="13.2">
      <c r="F877" s="23"/>
      <c r="H877" s="23"/>
      <c r="J877" s="23"/>
      <c r="L877" s="23"/>
      <c r="M877" s="23"/>
      <c r="N877" s="23"/>
    </row>
    <row r="878" spans="6:14" ht="13.2">
      <c r="F878" s="23"/>
      <c r="H878" s="23"/>
      <c r="J878" s="23"/>
      <c r="L878" s="23"/>
      <c r="M878" s="23"/>
      <c r="N878" s="23"/>
    </row>
    <row r="879" spans="6:14" ht="13.2">
      <c r="F879" s="23"/>
      <c r="H879" s="23"/>
      <c r="J879" s="23"/>
      <c r="L879" s="23"/>
      <c r="M879" s="23"/>
      <c r="N879" s="23"/>
    </row>
    <row r="880" spans="6:14" ht="13.2">
      <c r="F880" s="23"/>
      <c r="H880" s="23"/>
      <c r="J880" s="23"/>
      <c r="L880" s="23"/>
      <c r="M880" s="23"/>
      <c r="N880" s="23"/>
    </row>
    <row r="881" spans="6:14" ht="13.2">
      <c r="F881" s="23"/>
      <c r="H881" s="23"/>
      <c r="J881" s="23"/>
      <c r="L881" s="23"/>
      <c r="M881" s="23"/>
      <c r="N881" s="23"/>
    </row>
    <row r="882" spans="6:14" ht="13.2">
      <c r="F882" s="23"/>
      <c r="H882" s="23"/>
      <c r="J882" s="23"/>
      <c r="L882" s="23"/>
      <c r="M882" s="23"/>
      <c r="N882" s="23"/>
    </row>
    <row r="883" spans="6:14" ht="13.2">
      <c r="F883" s="23"/>
      <c r="H883" s="23"/>
      <c r="J883" s="23"/>
      <c r="L883" s="23"/>
      <c r="M883" s="23"/>
      <c r="N883" s="23"/>
    </row>
    <row r="884" spans="6:14" ht="13.2">
      <c r="F884" s="23"/>
      <c r="H884" s="23"/>
      <c r="J884" s="23"/>
      <c r="L884" s="23"/>
      <c r="M884" s="23"/>
      <c r="N884" s="23"/>
    </row>
    <row r="885" spans="6:14" ht="13.2">
      <c r="F885" s="23"/>
      <c r="H885" s="23"/>
      <c r="J885" s="23"/>
      <c r="L885" s="23"/>
      <c r="M885" s="23"/>
      <c r="N885" s="23"/>
    </row>
    <row r="886" spans="6:14" ht="13.2">
      <c r="F886" s="23"/>
      <c r="H886" s="23"/>
      <c r="J886" s="23"/>
      <c r="L886" s="23"/>
      <c r="M886" s="23"/>
      <c r="N886" s="23"/>
    </row>
    <row r="887" spans="6:14" ht="13.2">
      <c r="F887" s="23"/>
      <c r="H887" s="23"/>
      <c r="J887" s="23"/>
      <c r="L887" s="23"/>
      <c r="M887" s="23"/>
      <c r="N887" s="23"/>
    </row>
    <row r="888" spans="6:14" ht="13.2">
      <c r="F888" s="23"/>
      <c r="H888" s="23"/>
      <c r="J888" s="23"/>
      <c r="L888" s="23"/>
      <c r="M888" s="23"/>
      <c r="N888" s="23"/>
    </row>
    <row r="889" spans="6:14" ht="13.2">
      <c r="F889" s="23"/>
      <c r="H889" s="23"/>
      <c r="J889" s="23"/>
      <c r="L889" s="23"/>
      <c r="M889" s="23"/>
      <c r="N889" s="23"/>
    </row>
    <row r="890" spans="6:14" ht="13.2">
      <c r="F890" s="23"/>
      <c r="H890" s="23"/>
      <c r="J890" s="23"/>
      <c r="L890" s="23"/>
      <c r="M890" s="23"/>
      <c r="N890" s="23"/>
    </row>
    <row r="891" spans="6:14" ht="13.2">
      <c r="F891" s="23"/>
      <c r="H891" s="23"/>
      <c r="J891" s="23"/>
      <c r="L891" s="23"/>
      <c r="M891" s="23"/>
      <c r="N891" s="23"/>
    </row>
    <row r="892" spans="6:14" ht="13.2">
      <c r="F892" s="23"/>
      <c r="H892" s="23"/>
      <c r="J892" s="23"/>
      <c r="L892" s="23"/>
      <c r="M892" s="23"/>
      <c r="N892" s="23"/>
    </row>
    <row r="893" spans="6:14" ht="13.2">
      <c r="F893" s="23"/>
      <c r="H893" s="23"/>
      <c r="J893" s="23"/>
      <c r="L893" s="23"/>
      <c r="M893" s="23"/>
      <c r="N893" s="23"/>
    </row>
    <row r="894" spans="6:14" ht="13.2">
      <c r="F894" s="23"/>
      <c r="H894" s="23"/>
      <c r="J894" s="23"/>
      <c r="L894" s="23"/>
      <c r="M894" s="23"/>
      <c r="N894" s="23"/>
    </row>
    <row r="895" spans="6:14" ht="13.2">
      <c r="F895" s="23"/>
      <c r="H895" s="23"/>
      <c r="J895" s="23"/>
      <c r="L895" s="23"/>
      <c r="M895" s="23"/>
      <c r="N895" s="23"/>
    </row>
    <row r="896" spans="6:14" ht="13.2">
      <c r="F896" s="23"/>
      <c r="H896" s="23"/>
      <c r="J896" s="23"/>
      <c r="L896" s="23"/>
      <c r="M896" s="23"/>
      <c r="N896" s="23"/>
    </row>
    <row r="897" spans="6:14" ht="13.2">
      <c r="F897" s="23"/>
      <c r="H897" s="23"/>
      <c r="J897" s="23"/>
      <c r="L897" s="23"/>
      <c r="M897" s="23"/>
      <c r="N897" s="23"/>
    </row>
    <row r="898" spans="6:14" ht="13.2">
      <c r="F898" s="23"/>
      <c r="H898" s="23"/>
      <c r="J898" s="23"/>
      <c r="L898" s="23"/>
      <c r="M898" s="23"/>
      <c r="N898" s="23"/>
    </row>
    <row r="899" spans="6:14" ht="13.2">
      <c r="F899" s="23"/>
      <c r="H899" s="23"/>
      <c r="J899" s="23"/>
      <c r="L899" s="23"/>
      <c r="M899" s="23"/>
      <c r="N899" s="23"/>
    </row>
    <row r="900" spans="6:14" ht="13.2">
      <c r="F900" s="23"/>
      <c r="H900" s="23"/>
      <c r="J900" s="23"/>
      <c r="L900" s="23"/>
      <c r="M900" s="23"/>
      <c r="N900" s="23"/>
    </row>
    <row r="901" spans="6:14" ht="13.2">
      <c r="F901" s="23"/>
      <c r="H901" s="23"/>
      <c r="J901" s="23"/>
      <c r="L901" s="23"/>
      <c r="M901" s="23"/>
      <c r="N901" s="23"/>
    </row>
    <row r="902" spans="6:14" ht="13.2">
      <c r="F902" s="23"/>
      <c r="H902" s="23"/>
      <c r="J902" s="23"/>
      <c r="L902" s="23"/>
      <c r="M902" s="23"/>
      <c r="N902" s="23"/>
    </row>
    <row r="903" spans="6:14" ht="13.2">
      <c r="F903" s="23"/>
      <c r="H903" s="23"/>
      <c r="J903" s="23"/>
      <c r="L903" s="23"/>
      <c r="M903" s="23"/>
      <c r="N903" s="23"/>
    </row>
    <row r="904" spans="6:14" ht="13.2">
      <c r="F904" s="23"/>
      <c r="H904" s="23"/>
      <c r="J904" s="23"/>
      <c r="L904" s="23"/>
      <c r="M904" s="23"/>
      <c r="N904" s="23"/>
    </row>
    <row r="905" spans="6:14" ht="13.2">
      <c r="F905" s="23"/>
      <c r="H905" s="23"/>
      <c r="J905" s="23"/>
      <c r="L905" s="23"/>
      <c r="M905" s="23"/>
      <c r="N905" s="23"/>
    </row>
    <row r="906" spans="6:14" ht="13.2">
      <c r="F906" s="23"/>
      <c r="H906" s="23"/>
      <c r="J906" s="23"/>
      <c r="L906" s="23"/>
      <c r="M906" s="23"/>
      <c r="N906" s="23"/>
    </row>
    <row r="907" spans="6:14" ht="13.2">
      <c r="F907" s="23"/>
      <c r="H907" s="23"/>
      <c r="J907" s="23"/>
      <c r="L907" s="23"/>
      <c r="M907" s="23"/>
      <c r="N907" s="23"/>
    </row>
    <row r="908" spans="6:14" ht="13.2">
      <c r="F908" s="23"/>
      <c r="H908" s="23"/>
      <c r="J908" s="23"/>
      <c r="L908" s="23"/>
      <c r="M908" s="23"/>
      <c r="N908" s="23"/>
    </row>
    <row r="909" spans="6:14" ht="13.2">
      <c r="F909" s="23"/>
      <c r="H909" s="23"/>
      <c r="J909" s="23"/>
      <c r="L909" s="23"/>
      <c r="M909" s="23"/>
      <c r="N909" s="23"/>
    </row>
    <row r="910" spans="6:14" ht="13.2">
      <c r="F910" s="23"/>
      <c r="H910" s="23"/>
      <c r="J910" s="23"/>
      <c r="L910" s="23"/>
      <c r="M910" s="23"/>
      <c r="N910" s="23"/>
    </row>
    <row r="911" spans="6:14" ht="13.2">
      <c r="F911" s="23"/>
      <c r="H911" s="23"/>
      <c r="J911" s="23"/>
      <c r="L911" s="23"/>
      <c r="M911" s="23"/>
      <c r="N911" s="23"/>
    </row>
    <row r="912" spans="6:14" ht="13.2">
      <c r="F912" s="23"/>
      <c r="H912" s="23"/>
      <c r="J912" s="23"/>
      <c r="L912" s="23"/>
      <c r="M912" s="23"/>
      <c r="N912" s="23"/>
    </row>
    <row r="913" spans="6:14" ht="13.2">
      <c r="F913" s="23"/>
      <c r="H913" s="23"/>
      <c r="J913" s="23"/>
      <c r="L913" s="23"/>
      <c r="M913" s="23"/>
      <c r="N913" s="23"/>
    </row>
    <row r="914" spans="6:14" ht="13.2">
      <c r="F914" s="23"/>
      <c r="H914" s="23"/>
      <c r="J914" s="23"/>
      <c r="L914" s="23"/>
      <c r="M914" s="23"/>
      <c r="N914" s="23"/>
    </row>
    <row r="915" spans="6:14" ht="13.2">
      <c r="F915" s="23"/>
      <c r="H915" s="23"/>
      <c r="J915" s="23"/>
      <c r="L915" s="23"/>
      <c r="M915" s="23"/>
      <c r="N915" s="23"/>
    </row>
    <row r="916" spans="6:14" ht="13.2">
      <c r="F916" s="23"/>
      <c r="H916" s="23"/>
      <c r="J916" s="23"/>
      <c r="L916" s="23"/>
      <c r="M916" s="23"/>
      <c r="N916" s="23"/>
    </row>
    <row r="917" spans="6:14" ht="13.2">
      <c r="F917" s="23"/>
      <c r="H917" s="23"/>
      <c r="J917" s="23"/>
      <c r="L917" s="23"/>
      <c r="M917" s="23"/>
      <c r="N917" s="23"/>
    </row>
    <row r="918" spans="6:14" ht="13.2">
      <c r="F918" s="23"/>
      <c r="H918" s="23"/>
      <c r="J918" s="23"/>
      <c r="L918" s="23"/>
      <c r="M918" s="23"/>
      <c r="N918" s="23"/>
    </row>
    <row r="919" spans="6:14" ht="13.2">
      <c r="F919" s="23"/>
      <c r="H919" s="23"/>
      <c r="J919" s="23"/>
      <c r="L919" s="23"/>
      <c r="M919" s="23"/>
      <c r="N919" s="23"/>
    </row>
    <row r="920" spans="6:14" ht="13.2">
      <c r="F920" s="23"/>
      <c r="H920" s="23"/>
      <c r="J920" s="23"/>
      <c r="L920" s="23"/>
      <c r="M920" s="23"/>
      <c r="N920" s="23"/>
    </row>
    <row r="921" spans="6:14" ht="13.2">
      <c r="F921" s="23"/>
      <c r="H921" s="23"/>
      <c r="J921" s="23"/>
      <c r="L921" s="23"/>
      <c r="M921" s="23"/>
      <c r="N921" s="23"/>
    </row>
    <row r="922" spans="6:14" ht="13.2">
      <c r="F922" s="23"/>
      <c r="H922" s="23"/>
      <c r="J922" s="23"/>
      <c r="L922" s="23"/>
      <c r="M922" s="23"/>
      <c r="N922" s="23"/>
    </row>
    <row r="923" spans="6:14" ht="13.2">
      <c r="F923" s="23"/>
      <c r="H923" s="23"/>
      <c r="J923" s="23"/>
      <c r="L923" s="23"/>
      <c r="M923" s="23"/>
      <c r="N923" s="23"/>
    </row>
    <row r="924" spans="6:14" ht="13.2">
      <c r="F924" s="23"/>
      <c r="H924" s="23"/>
      <c r="J924" s="23"/>
      <c r="L924" s="23"/>
      <c r="M924" s="23"/>
      <c r="N924" s="23"/>
    </row>
    <row r="925" spans="6:14" ht="13.2">
      <c r="F925" s="23"/>
      <c r="H925" s="23"/>
      <c r="J925" s="23"/>
      <c r="L925" s="23"/>
      <c r="M925" s="23"/>
      <c r="N925" s="23"/>
    </row>
    <row r="926" spans="6:14" ht="13.2">
      <c r="F926" s="23"/>
      <c r="H926" s="23"/>
      <c r="J926" s="23"/>
      <c r="L926" s="23"/>
      <c r="M926" s="23"/>
      <c r="N926" s="23"/>
    </row>
    <row r="927" spans="6:14" ht="13.2">
      <c r="F927" s="23"/>
      <c r="H927" s="23"/>
      <c r="J927" s="23"/>
      <c r="L927" s="23"/>
      <c r="M927" s="23"/>
      <c r="N927" s="23"/>
    </row>
    <row r="928" spans="6:14" ht="13.2">
      <c r="F928" s="23"/>
      <c r="H928" s="23"/>
      <c r="J928" s="23"/>
      <c r="L928" s="23"/>
      <c r="M928" s="23"/>
      <c r="N928" s="23"/>
    </row>
    <row r="929" spans="6:14" ht="13.2">
      <c r="F929" s="23"/>
      <c r="H929" s="23"/>
      <c r="J929" s="23"/>
      <c r="L929" s="23"/>
      <c r="M929" s="23"/>
      <c r="N929" s="23"/>
    </row>
    <row r="930" spans="6:14" ht="13.2">
      <c r="F930" s="23"/>
      <c r="H930" s="23"/>
      <c r="J930" s="23"/>
      <c r="L930" s="23"/>
      <c r="M930" s="23"/>
      <c r="N930" s="23"/>
    </row>
    <row r="931" spans="6:14" ht="13.2">
      <c r="F931" s="23"/>
      <c r="H931" s="23"/>
      <c r="J931" s="23"/>
      <c r="L931" s="23"/>
      <c r="M931" s="23"/>
      <c r="N931" s="23"/>
    </row>
    <row r="932" spans="6:14" ht="13.2">
      <c r="F932" s="23"/>
      <c r="H932" s="23"/>
      <c r="J932" s="23"/>
      <c r="L932" s="23"/>
      <c r="M932" s="23"/>
      <c r="N932" s="23"/>
    </row>
    <row r="933" spans="6:14" ht="13.2">
      <c r="F933" s="23"/>
      <c r="H933" s="23"/>
      <c r="J933" s="23"/>
      <c r="L933" s="23"/>
      <c r="M933" s="23"/>
      <c r="N933" s="23"/>
    </row>
    <row r="934" spans="6:14" ht="13.2">
      <c r="F934" s="23"/>
      <c r="H934" s="23"/>
      <c r="J934" s="23"/>
      <c r="L934" s="23"/>
      <c r="M934" s="23"/>
      <c r="N934" s="23"/>
    </row>
    <row r="935" spans="6:14" ht="13.2">
      <c r="F935" s="23"/>
      <c r="H935" s="23"/>
      <c r="J935" s="23"/>
      <c r="L935" s="23"/>
      <c r="M935" s="23"/>
      <c r="N935" s="23"/>
    </row>
    <row r="936" spans="6:14" ht="13.2">
      <c r="F936" s="23"/>
      <c r="H936" s="23"/>
      <c r="J936" s="23"/>
      <c r="L936" s="23"/>
      <c r="M936" s="23"/>
      <c r="N936" s="23"/>
    </row>
    <row r="937" spans="6:14" ht="13.2">
      <c r="F937" s="23"/>
      <c r="H937" s="23"/>
      <c r="J937" s="23"/>
      <c r="L937" s="23"/>
      <c r="M937" s="23"/>
      <c r="N937" s="23"/>
    </row>
    <row r="938" spans="6:14" ht="13.2">
      <c r="F938" s="23"/>
      <c r="H938" s="23"/>
      <c r="J938" s="23"/>
      <c r="L938" s="23"/>
      <c r="M938" s="23"/>
      <c r="N938" s="23"/>
    </row>
    <row r="939" spans="6:14" ht="13.2">
      <c r="F939" s="23"/>
      <c r="H939" s="23"/>
      <c r="J939" s="23"/>
      <c r="L939" s="23"/>
      <c r="M939" s="23"/>
      <c r="N939" s="23"/>
    </row>
    <row r="940" spans="6:14" ht="13.2">
      <c r="F940" s="23"/>
      <c r="H940" s="23"/>
      <c r="J940" s="23"/>
      <c r="L940" s="23"/>
      <c r="M940" s="23"/>
      <c r="N940" s="23"/>
    </row>
    <row r="941" spans="6:14" ht="13.2">
      <c r="F941" s="23"/>
      <c r="H941" s="23"/>
      <c r="J941" s="23"/>
      <c r="L941" s="23"/>
      <c r="M941" s="23"/>
      <c r="N941" s="23"/>
    </row>
    <row r="942" spans="6:14" ht="13.2">
      <c r="F942" s="23"/>
      <c r="H942" s="23"/>
      <c r="J942" s="23"/>
      <c r="L942" s="23"/>
      <c r="M942" s="23"/>
      <c r="N942" s="23"/>
    </row>
    <row r="943" spans="6:14" ht="13.2">
      <c r="F943" s="23"/>
      <c r="H943" s="23"/>
      <c r="J943" s="23"/>
      <c r="L943" s="23"/>
      <c r="M943" s="23"/>
      <c r="N943" s="23"/>
    </row>
    <row r="944" spans="6:14" ht="13.2">
      <c r="F944" s="23"/>
      <c r="H944" s="23"/>
      <c r="J944" s="23"/>
      <c r="L944" s="23"/>
      <c r="M944" s="23"/>
      <c r="N944" s="23"/>
    </row>
    <row r="945" spans="6:14" ht="13.2">
      <c r="F945" s="23"/>
      <c r="H945" s="23"/>
      <c r="J945" s="23"/>
      <c r="L945" s="23"/>
      <c r="M945" s="23"/>
      <c r="N945" s="23"/>
    </row>
    <row r="946" spans="6:14" ht="13.2">
      <c r="F946" s="23"/>
      <c r="H946" s="23"/>
      <c r="J946" s="23"/>
      <c r="L946" s="23"/>
      <c r="M946" s="23"/>
      <c r="N946" s="23"/>
    </row>
    <row r="947" spans="6:14" ht="13.2">
      <c r="F947" s="23"/>
      <c r="H947" s="23"/>
      <c r="J947" s="23"/>
      <c r="L947" s="23"/>
      <c r="M947" s="23"/>
      <c r="N947" s="23"/>
    </row>
    <row r="948" spans="6:14" ht="13.2">
      <c r="F948" s="23"/>
      <c r="H948" s="23"/>
      <c r="J948" s="23"/>
      <c r="L948" s="23"/>
      <c r="M948" s="23"/>
      <c r="N948" s="23"/>
    </row>
    <row r="949" spans="6:14" ht="13.2">
      <c r="F949" s="23"/>
      <c r="H949" s="23"/>
      <c r="J949" s="23"/>
      <c r="L949" s="23"/>
      <c r="M949" s="23"/>
      <c r="N949" s="23"/>
    </row>
    <row r="950" spans="6:14" ht="13.2">
      <c r="F950" s="23"/>
      <c r="H950" s="23"/>
      <c r="J950" s="23"/>
      <c r="L950" s="23"/>
      <c r="M950" s="23"/>
      <c r="N950" s="23"/>
    </row>
    <row r="951" spans="6:14" ht="13.2">
      <c r="F951" s="23"/>
      <c r="H951" s="23"/>
      <c r="J951" s="23"/>
      <c r="L951" s="23"/>
      <c r="M951" s="23"/>
      <c r="N951" s="23"/>
    </row>
    <row r="952" spans="6:14" ht="13.2">
      <c r="F952" s="23"/>
      <c r="H952" s="23"/>
      <c r="J952" s="23"/>
      <c r="L952" s="23"/>
      <c r="M952" s="23"/>
      <c r="N952" s="23"/>
    </row>
    <row r="953" spans="6:14" ht="13.2">
      <c r="F953" s="23"/>
      <c r="H953" s="23"/>
      <c r="J953" s="23"/>
      <c r="L953" s="23"/>
      <c r="M953" s="23"/>
      <c r="N953" s="23"/>
    </row>
    <row r="954" spans="6:14" ht="13.2">
      <c r="F954" s="23"/>
      <c r="H954" s="23"/>
      <c r="J954" s="23"/>
      <c r="L954" s="23"/>
      <c r="M954" s="23"/>
      <c r="N954" s="23"/>
    </row>
    <row r="955" spans="6:14" ht="13.2">
      <c r="F955" s="23"/>
      <c r="H955" s="23"/>
      <c r="J955" s="23"/>
      <c r="L955" s="23"/>
      <c r="M955" s="23"/>
      <c r="N955" s="23"/>
    </row>
    <row r="956" spans="6:14" ht="13.2">
      <c r="F956" s="23"/>
      <c r="H956" s="23"/>
      <c r="J956" s="23"/>
      <c r="L956" s="23"/>
      <c r="M956" s="23"/>
      <c r="N956" s="23"/>
    </row>
    <row r="957" spans="6:14" ht="13.2">
      <c r="F957" s="23"/>
      <c r="H957" s="23"/>
      <c r="J957" s="23"/>
      <c r="L957" s="23"/>
      <c r="M957" s="23"/>
      <c r="N957" s="23"/>
    </row>
    <row r="958" spans="6:14" ht="13.2">
      <c r="F958" s="23"/>
      <c r="H958" s="23"/>
      <c r="J958" s="23"/>
      <c r="L958" s="23"/>
      <c r="M958" s="23"/>
      <c r="N958" s="23"/>
    </row>
    <row r="959" spans="6:14" ht="13.2">
      <c r="F959" s="23"/>
      <c r="H959" s="23"/>
      <c r="J959" s="23"/>
      <c r="L959" s="23"/>
      <c r="M959" s="23"/>
      <c r="N959" s="23"/>
    </row>
    <row r="960" spans="6:14" ht="13.2">
      <c r="F960" s="23"/>
      <c r="H960" s="23"/>
      <c r="J960" s="23"/>
      <c r="L960" s="23"/>
      <c r="M960" s="23"/>
      <c r="N960" s="23"/>
    </row>
    <row r="961" spans="6:14" ht="13.2">
      <c r="F961" s="23"/>
      <c r="H961" s="23"/>
      <c r="J961" s="23"/>
      <c r="L961" s="23"/>
      <c r="M961" s="23"/>
      <c r="N961" s="23"/>
    </row>
    <row r="962" spans="6:14" ht="13.2">
      <c r="F962" s="23"/>
      <c r="H962" s="23"/>
      <c r="J962" s="23"/>
      <c r="L962" s="23"/>
      <c r="M962" s="23"/>
      <c r="N962" s="23"/>
    </row>
    <row r="963" spans="6:14" ht="13.2">
      <c r="F963" s="23"/>
      <c r="H963" s="23"/>
      <c r="J963" s="23"/>
      <c r="L963" s="23"/>
      <c r="M963" s="23"/>
      <c r="N963" s="23"/>
    </row>
    <row r="964" spans="6:14" ht="13.2">
      <c r="F964" s="23"/>
      <c r="H964" s="23"/>
      <c r="J964" s="23"/>
      <c r="L964" s="23"/>
      <c r="M964" s="23"/>
      <c r="N964" s="23"/>
    </row>
    <row r="965" spans="6:14" ht="13.2">
      <c r="F965" s="23"/>
      <c r="H965" s="23"/>
      <c r="J965" s="23"/>
      <c r="L965" s="23"/>
      <c r="M965" s="23"/>
      <c r="N965" s="23"/>
    </row>
    <row r="966" spans="6:14" ht="13.2">
      <c r="F966" s="23"/>
      <c r="H966" s="23"/>
      <c r="J966" s="23"/>
      <c r="L966" s="23"/>
      <c r="M966" s="23"/>
      <c r="N966" s="23"/>
    </row>
    <row r="967" spans="6:14" ht="13.2">
      <c r="F967" s="23"/>
      <c r="H967" s="23"/>
      <c r="J967" s="23"/>
      <c r="L967" s="23"/>
      <c r="M967" s="23"/>
      <c r="N967" s="23"/>
    </row>
    <row r="968" spans="6:14" ht="13.2">
      <c r="F968" s="23"/>
      <c r="H968" s="23"/>
      <c r="J968" s="23"/>
      <c r="L968" s="23"/>
      <c r="M968" s="23"/>
      <c r="N968" s="23"/>
    </row>
    <row r="969" spans="6:14" ht="13.2">
      <c r="F969" s="23"/>
      <c r="H969" s="23"/>
      <c r="J969" s="23"/>
      <c r="L969" s="23"/>
      <c r="M969" s="23"/>
      <c r="N969" s="23"/>
    </row>
    <row r="970" spans="6:14" ht="13.2">
      <c r="F970" s="23"/>
      <c r="H970" s="23"/>
      <c r="J970" s="23"/>
      <c r="L970" s="23"/>
      <c r="M970" s="23"/>
      <c r="N970" s="23"/>
    </row>
    <row r="971" spans="6:14" ht="13.2">
      <c r="F971" s="23"/>
      <c r="H971" s="23"/>
      <c r="J971" s="23"/>
      <c r="L971" s="23"/>
      <c r="M971" s="23"/>
      <c r="N971" s="23"/>
    </row>
    <row r="972" spans="6:14" ht="13.2">
      <c r="F972" s="23"/>
      <c r="H972" s="23"/>
      <c r="J972" s="23"/>
      <c r="L972" s="23"/>
      <c r="M972" s="23"/>
      <c r="N972" s="23"/>
    </row>
    <row r="973" spans="6:14" ht="13.2">
      <c r="F973" s="23"/>
      <c r="H973" s="23"/>
      <c r="J973" s="23"/>
      <c r="L973" s="23"/>
      <c r="M973" s="23"/>
      <c r="N973" s="23"/>
    </row>
    <row r="974" spans="6:14" ht="13.2">
      <c r="F974" s="23"/>
      <c r="H974" s="23"/>
      <c r="J974" s="23"/>
      <c r="L974" s="23"/>
      <c r="M974" s="23"/>
      <c r="N974" s="23"/>
    </row>
    <row r="975" spans="6:14" ht="13.2">
      <c r="F975" s="23"/>
      <c r="H975" s="23"/>
      <c r="J975" s="23"/>
      <c r="L975" s="23"/>
      <c r="M975" s="23"/>
      <c r="N975" s="23"/>
    </row>
    <row r="976" spans="6:14" ht="13.2">
      <c r="F976" s="23"/>
      <c r="H976" s="23"/>
      <c r="J976" s="23"/>
      <c r="L976" s="23"/>
      <c r="M976" s="23"/>
      <c r="N976" s="23"/>
    </row>
    <row r="977" spans="6:14" ht="13.2">
      <c r="F977" s="23"/>
      <c r="H977" s="23"/>
      <c r="J977" s="23"/>
      <c r="L977" s="23"/>
      <c r="M977" s="23"/>
      <c r="N977" s="23"/>
    </row>
    <row r="978" spans="6:14" ht="13.2">
      <c r="F978" s="23"/>
      <c r="H978" s="23"/>
      <c r="J978" s="23"/>
      <c r="L978" s="23"/>
      <c r="M978" s="23"/>
      <c r="N978" s="23"/>
    </row>
    <row r="979" spans="6:14" ht="13.2">
      <c r="F979" s="23"/>
      <c r="H979" s="23"/>
      <c r="J979" s="23"/>
      <c r="L979" s="23"/>
      <c r="M979" s="23"/>
      <c r="N979" s="23"/>
    </row>
    <row r="980" spans="6:14" ht="13.2">
      <c r="F980" s="23"/>
      <c r="H980" s="23"/>
      <c r="J980" s="23"/>
      <c r="L980" s="23"/>
      <c r="M980" s="23"/>
      <c r="N980" s="23"/>
    </row>
    <row r="981" spans="6:14" ht="13.2">
      <c r="F981" s="23"/>
      <c r="H981" s="23"/>
      <c r="J981" s="23"/>
      <c r="L981" s="23"/>
      <c r="M981" s="23"/>
      <c r="N981" s="23"/>
    </row>
    <row r="982" spans="6:14" ht="13.2">
      <c r="F982" s="23"/>
      <c r="H982" s="23"/>
      <c r="J982" s="23"/>
      <c r="L982" s="23"/>
      <c r="M982" s="23"/>
      <c r="N982" s="23"/>
    </row>
    <row r="983" spans="6:14" ht="13.2">
      <c r="F983" s="23"/>
      <c r="H983" s="23"/>
      <c r="J983" s="23"/>
      <c r="L983" s="23"/>
      <c r="M983" s="23"/>
      <c r="N983" s="23"/>
    </row>
    <row r="984" spans="6:14" ht="13.2">
      <c r="F984" s="23"/>
      <c r="H984" s="23"/>
      <c r="J984" s="23"/>
      <c r="L984" s="23"/>
      <c r="M984" s="23"/>
      <c r="N984" s="23"/>
    </row>
    <row r="985" spans="6:14" ht="13.2">
      <c r="F985" s="23"/>
      <c r="H985" s="23"/>
      <c r="J985" s="23"/>
      <c r="L985" s="23"/>
      <c r="M985" s="23"/>
      <c r="N985" s="23"/>
    </row>
    <row r="986" spans="6:14" ht="13.2">
      <c r="F986" s="23"/>
      <c r="H986" s="23"/>
      <c r="J986" s="23"/>
      <c r="L986" s="23"/>
      <c r="M986" s="23"/>
      <c r="N986" s="23"/>
    </row>
    <row r="987" spans="6:14" ht="13.2">
      <c r="F987" s="23"/>
      <c r="H987" s="23"/>
      <c r="J987" s="23"/>
      <c r="L987" s="23"/>
      <c r="M987" s="23"/>
      <c r="N987" s="23"/>
    </row>
    <row r="988" spans="6:14" ht="13.2">
      <c r="F988" s="23"/>
      <c r="H988" s="23"/>
      <c r="J988" s="23"/>
      <c r="L988" s="23"/>
      <c r="M988" s="23"/>
      <c r="N988" s="23"/>
    </row>
    <row r="989" spans="6:14" ht="13.2">
      <c r="F989" s="23"/>
      <c r="H989" s="23"/>
      <c r="J989" s="23"/>
      <c r="L989" s="23"/>
      <c r="M989" s="23"/>
      <c r="N989" s="23"/>
    </row>
    <row r="990" spans="6:14" ht="13.2">
      <c r="F990" s="23"/>
      <c r="H990" s="23"/>
      <c r="J990" s="23"/>
      <c r="L990" s="23"/>
      <c r="M990" s="23"/>
      <c r="N990" s="23"/>
    </row>
    <row r="991" spans="6:14" ht="13.2">
      <c r="F991" s="23"/>
      <c r="H991" s="23"/>
      <c r="J991" s="23"/>
      <c r="L991" s="23"/>
      <c r="M991" s="23"/>
      <c r="N991" s="23"/>
    </row>
    <row r="992" spans="6:14" ht="13.2">
      <c r="F992" s="23"/>
      <c r="H992" s="23"/>
      <c r="J992" s="23"/>
      <c r="L992" s="23"/>
      <c r="M992" s="23"/>
      <c r="N992" s="23"/>
    </row>
    <row r="993" spans="6:14" ht="13.2">
      <c r="F993" s="23"/>
      <c r="H993" s="23"/>
      <c r="J993" s="23"/>
      <c r="L993" s="23"/>
      <c r="M993" s="23"/>
      <c r="N993" s="23"/>
    </row>
    <row r="994" spans="6:14" ht="13.2">
      <c r="F994" s="23"/>
      <c r="H994" s="23"/>
      <c r="J994" s="23"/>
      <c r="L994" s="23"/>
      <c r="M994" s="23"/>
      <c r="N994" s="23"/>
    </row>
    <row r="995" spans="6:14" ht="13.2">
      <c r="F995" s="23"/>
      <c r="H995" s="23"/>
      <c r="J995" s="23"/>
      <c r="L995" s="23"/>
      <c r="M995" s="23"/>
      <c r="N995" s="23"/>
    </row>
    <row r="996" spans="6:14" ht="13.2">
      <c r="F996" s="23"/>
      <c r="H996" s="23"/>
      <c r="J996" s="23"/>
      <c r="L996" s="23"/>
      <c r="M996" s="23"/>
      <c r="N996" s="23"/>
    </row>
    <row r="997" spans="6:14" ht="13.2">
      <c r="F997" s="23"/>
      <c r="H997" s="23"/>
      <c r="J997" s="23"/>
      <c r="L997" s="23"/>
      <c r="M997" s="23"/>
      <c r="N997" s="23"/>
    </row>
    <row r="998" spans="6:14" ht="13.2">
      <c r="F998" s="23"/>
      <c r="H998" s="23"/>
      <c r="J998" s="23"/>
      <c r="L998" s="23"/>
      <c r="M998" s="23"/>
      <c r="N998" s="23"/>
    </row>
    <row r="999" spans="6:14" ht="13.2">
      <c r="F999" s="23"/>
      <c r="H999" s="23"/>
      <c r="J999" s="23"/>
      <c r="L999" s="23"/>
      <c r="M999" s="23"/>
      <c r="N999" s="23"/>
    </row>
    <row r="1000" spans="6:14" ht="13.2">
      <c r="F1000" s="23"/>
      <c r="H1000" s="23"/>
      <c r="J1000" s="23"/>
      <c r="L1000" s="23"/>
      <c r="N1000" s="23"/>
    </row>
    <row r="1001" spans="6:14" ht="13.2">
      <c r="F1001" s="23"/>
      <c r="H1001" s="23"/>
      <c r="J1001" s="23"/>
      <c r="L1001" s="23"/>
      <c r="N1001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50"/>
  <sheetViews>
    <sheetView workbookViewId="0"/>
  </sheetViews>
  <sheetFormatPr defaultColWidth="12.6640625" defaultRowHeight="15.75" customHeight="1"/>
  <sheetData>
    <row r="1" spans="1:2">
      <c r="B1" s="10"/>
    </row>
    <row r="2" spans="1:2">
      <c r="B2" s="10"/>
    </row>
    <row r="3" spans="1:2">
      <c r="B3" s="10"/>
    </row>
    <row r="4" spans="1:2">
      <c r="B4" s="10"/>
    </row>
    <row r="5" spans="1:2">
      <c r="B5" s="10"/>
    </row>
    <row r="6" spans="1:2">
      <c r="A6" s="28"/>
      <c r="B6" s="10"/>
    </row>
    <row r="7" spans="1:2">
      <c r="A7" s="28"/>
      <c r="B7" s="10"/>
    </row>
    <row r="8" spans="1:2">
      <c r="A8" s="28"/>
      <c r="B8" s="10"/>
    </row>
    <row r="9" spans="1:2">
      <c r="A9" s="28"/>
      <c r="B9" s="10"/>
    </row>
    <row r="10" spans="1:2">
      <c r="A10" s="28"/>
      <c r="B10" s="10"/>
    </row>
    <row r="11" spans="1:2">
      <c r="A11" s="28"/>
      <c r="B11" s="10"/>
    </row>
    <row r="12" spans="1:2">
      <c r="A12" s="28"/>
      <c r="B12" s="10"/>
    </row>
    <row r="13" spans="1:2">
      <c r="A13" s="28"/>
      <c r="B13" s="10"/>
    </row>
    <row r="14" spans="1:2">
      <c r="A14" s="28"/>
      <c r="B14" s="10"/>
    </row>
    <row r="15" spans="1:2">
      <c r="A15" s="28"/>
      <c r="B15" s="10"/>
    </row>
    <row r="16" spans="1:2">
      <c r="A16" s="28"/>
      <c r="B16" s="10"/>
    </row>
    <row r="17" spans="1:2">
      <c r="A17" s="28"/>
      <c r="B17" s="10"/>
    </row>
    <row r="18" spans="1:2">
      <c r="A18" s="29"/>
      <c r="B18" s="10"/>
    </row>
    <row r="19" spans="1:2">
      <c r="A19" s="29"/>
      <c r="B19" s="10"/>
    </row>
    <row r="20" spans="1:2">
      <c r="A20" s="29"/>
      <c r="B20" s="10"/>
    </row>
    <row r="21" spans="1:2">
      <c r="A21" s="29"/>
      <c r="B21" s="10"/>
    </row>
    <row r="22" spans="1:2">
      <c r="A22" s="29"/>
      <c r="B22" s="10"/>
    </row>
    <row r="23" spans="1:2">
      <c r="A23" s="28"/>
      <c r="B23" s="10"/>
    </row>
    <row r="24" spans="1:2">
      <c r="A24" s="28"/>
      <c r="B24" s="10"/>
    </row>
    <row r="25" spans="1:2">
      <c r="A25" s="28"/>
      <c r="B25" s="10"/>
    </row>
    <row r="26" spans="1:2">
      <c r="A26" s="28"/>
      <c r="B26" s="10"/>
    </row>
    <row r="27" spans="1:2">
      <c r="A27" s="28"/>
      <c r="B27" s="10"/>
    </row>
    <row r="28" spans="1:2">
      <c r="A28" s="28"/>
      <c r="B28" s="10"/>
    </row>
    <row r="29" spans="1:2">
      <c r="A29" s="28"/>
      <c r="B29" s="10"/>
    </row>
    <row r="30" spans="1:2">
      <c r="A30" s="28"/>
      <c r="B30" s="10"/>
    </row>
    <row r="31" spans="1:2">
      <c r="A31" s="28"/>
      <c r="B31" s="10"/>
    </row>
    <row r="32" spans="1:2">
      <c r="A32" s="28"/>
      <c r="B32" s="10"/>
    </row>
    <row r="33" spans="1:2">
      <c r="A33" s="28"/>
      <c r="B33" s="10"/>
    </row>
    <row r="34" spans="1:2">
      <c r="A34" s="28"/>
      <c r="B34" s="10"/>
    </row>
    <row r="35" spans="1:2">
      <c r="A35" s="28"/>
      <c r="B35" s="10"/>
    </row>
    <row r="36" spans="1:2">
      <c r="A36" s="28"/>
      <c r="B36" s="10"/>
    </row>
    <row r="37" spans="1:2">
      <c r="A37" s="29"/>
      <c r="B37" s="10"/>
    </row>
    <row r="38" spans="1:2">
      <c r="A38" s="29"/>
      <c r="B38" s="10"/>
    </row>
    <row r="39" spans="1:2">
      <c r="A39" s="29"/>
      <c r="B39" s="10"/>
    </row>
    <row r="40" spans="1:2">
      <c r="A40" s="29"/>
      <c r="B40" s="10"/>
    </row>
    <row r="41" spans="1:2">
      <c r="A41" s="29"/>
      <c r="B41" s="10"/>
    </row>
    <row r="42" spans="1:2">
      <c r="A42" s="29"/>
      <c r="B42" s="10"/>
    </row>
    <row r="43" spans="1:2">
      <c r="A43" s="29"/>
      <c r="B43" s="10"/>
    </row>
    <row r="44" spans="1:2">
      <c r="A44" s="28"/>
      <c r="B44" s="10"/>
    </row>
    <row r="45" spans="1:2">
      <c r="A45" s="28"/>
      <c r="B45" s="10"/>
    </row>
    <row r="46" spans="1:2">
      <c r="A46" s="28"/>
      <c r="B46" s="10"/>
    </row>
    <row r="47" spans="1:2">
      <c r="A47" s="28"/>
      <c r="B47" s="10"/>
    </row>
    <row r="48" spans="1:2">
      <c r="A48" s="28"/>
      <c r="B48" s="10"/>
    </row>
    <row r="49" spans="1:2">
      <c r="A49" s="28"/>
      <c r="B49" s="10"/>
    </row>
    <row r="50" spans="1:2">
      <c r="A50" s="28"/>
      <c r="B50" s="10"/>
    </row>
    <row r="51" spans="1:2">
      <c r="A51" s="28"/>
      <c r="B51" s="10"/>
    </row>
    <row r="52" spans="1:2">
      <c r="A52" s="28"/>
      <c r="B52" s="10"/>
    </row>
    <row r="53" spans="1:2">
      <c r="A53" s="28"/>
      <c r="B53" s="10"/>
    </row>
    <row r="54" spans="1:2">
      <c r="A54" s="28"/>
      <c r="B54" s="10"/>
    </row>
    <row r="55" spans="1:2">
      <c r="A55" s="28"/>
      <c r="B55" s="10"/>
    </row>
    <row r="56" spans="1:2">
      <c r="A56" s="30"/>
      <c r="B56" s="10"/>
    </row>
    <row r="57" spans="1:2">
      <c r="A57" s="30"/>
      <c r="B57" s="10"/>
    </row>
    <row r="58" spans="1:2">
      <c r="A58" s="30"/>
      <c r="B58" s="10"/>
    </row>
    <row r="59" spans="1:2">
      <c r="A59" s="30"/>
      <c r="B59" s="10"/>
    </row>
    <row r="60" spans="1:2">
      <c r="A60" s="30"/>
      <c r="B60" s="10"/>
    </row>
    <row r="61" spans="1:2">
      <c r="A61" s="30"/>
      <c r="B61" s="10"/>
    </row>
    <row r="62" spans="1:2">
      <c r="A62" s="31"/>
      <c r="B62" s="10"/>
    </row>
    <row r="63" spans="1:2">
      <c r="A63" s="31"/>
      <c r="B63" s="10"/>
    </row>
    <row r="64" spans="1:2">
      <c r="A64" s="31"/>
      <c r="B64" s="10"/>
    </row>
    <row r="65" spans="1:2">
      <c r="A65" s="31"/>
      <c r="B65" s="10"/>
    </row>
    <row r="66" spans="1:2">
      <c r="A66" s="31"/>
      <c r="B66" s="10"/>
    </row>
    <row r="67" spans="1:2">
      <c r="A67" s="31"/>
      <c r="B67" s="10"/>
    </row>
    <row r="68" spans="1:2">
      <c r="A68" s="31"/>
      <c r="B68" s="10"/>
    </row>
    <row r="69" spans="1:2">
      <c r="A69" s="31"/>
      <c r="B69" s="10"/>
    </row>
    <row r="70" spans="1:2">
      <c r="A70" s="31"/>
      <c r="B70" s="10"/>
    </row>
    <row r="71" spans="1:2">
      <c r="A71" s="31"/>
      <c r="B71" s="10"/>
    </row>
    <row r="72" spans="1:2">
      <c r="A72" s="31"/>
      <c r="B72" s="10"/>
    </row>
    <row r="73" spans="1:2">
      <c r="A73" s="31"/>
      <c r="B73" s="10"/>
    </row>
    <row r="74" spans="1:2">
      <c r="A74" s="31"/>
      <c r="B74" s="10"/>
    </row>
    <row r="75" spans="1:2">
      <c r="A75" s="31"/>
      <c r="B75" s="10"/>
    </row>
    <row r="76" spans="1:2">
      <c r="A76" s="31"/>
      <c r="B76" s="10"/>
    </row>
    <row r="77" spans="1:2">
      <c r="A77" s="29"/>
      <c r="B77" s="10"/>
    </row>
    <row r="78" spans="1:2">
      <c r="A78" s="29"/>
      <c r="B78" s="10"/>
    </row>
    <row r="79" spans="1:2">
      <c r="A79" s="29"/>
      <c r="B79" s="10"/>
    </row>
    <row r="80" spans="1:2">
      <c r="A80" s="29"/>
      <c r="B80" s="10"/>
    </row>
    <row r="81" spans="1:2">
      <c r="A81" s="29"/>
      <c r="B81" s="10"/>
    </row>
    <row r="82" spans="1:2">
      <c r="A82" s="29"/>
      <c r="B82" s="10"/>
    </row>
    <row r="83" spans="1:2">
      <c r="A83" s="28"/>
      <c r="B83" s="10"/>
    </row>
    <row r="84" spans="1:2">
      <c r="A84" s="28"/>
      <c r="B84" s="10"/>
    </row>
    <row r="85" spans="1:2">
      <c r="A85" s="28"/>
      <c r="B85" s="10"/>
    </row>
    <row r="86" spans="1:2">
      <c r="A86" s="28"/>
      <c r="B86" s="10"/>
    </row>
    <row r="87" spans="1:2">
      <c r="A87" s="28"/>
      <c r="B87" s="10"/>
    </row>
    <row r="88" spans="1:2">
      <c r="A88" s="28"/>
      <c r="B88" s="10"/>
    </row>
    <row r="89" spans="1:2">
      <c r="A89" s="28"/>
      <c r="B89" s="10"/>
    </row>
    <row r="90" spans="1:2">
      <c r="A90" s="28"/>
      <c r="B90" s="10"/>
    </row>
    <row r="91" spans="1:2">
      <c r="A91" s="28"/>
      <c r="B91" s="10"/>
    </row>
    <row r="92" spans="1:2">
      <c r="A92" s="28"/>
      <c r="B92" s="10"/>
    </row>
    <row r="93" spans="1:2">
      <c r="A93" s="28"/>
      <c r="B93" s="10"/>
    </row>
    <row r="94" spans="1:2">
      <c r="A94" s="28"/>
      <c r="B94" s="10"/>
    </row>
    <row r="95" spans="1:2">
      <c r="A95" s="28"/>
      <c r="B95" s="10"/>
    </row>
    <row r="96" spans="1:2">
      <c r="A96" s="28"/>
      <c r="B96" s="10"/>
    </row>
    <row r="97" spans="1:2">
      <c r="A97" s="29"/>
      <c r="B97" s="10"/>
    </row>
    <row r="98" spans="1:2">
      <c r="A98" s="26"/>
      <c r="B98" s="26"/>
    </row>
    <row r="99" spans="1:2">
      <c r="A99" s="29"/>
    </row>
    <row r="100" spans="1:2">
      <c r="A100" s="29"/>
    </row>
    <row r="101" spans="1:2">
      <c r="A101" s="29"/>
    </row>
    <row r="102" spans="1:2">
      <c r="A102" s="28"/>
    </row>
    <row r="103" spans="1:2">
      <c r="A103" s="28"/>
    </row>
    <row r="104" spans="1:2">
      <c r="A104" s="28"/>
    </row>
    <row r="105" spans="1:2">
      <c r="A105" s="28"/>
    </row>
    <row r="106" spans="1:2">
      <c r="A106" s="28"/>
    </row>
    <row r="107" spans="1:2">
      <c r="A107" s="28"/>
    </row>
    <row r="108" spans="1:2">
      <c r="A108" s="28"/>
    </row>
    <row r="109" spans="1:2">
      <c r="A109" s="28"/>
    </row>
    <row r="110" spans="1:2">
      <c r="A110" s="28"/>
    </row>
    <row r="111" spans="1:2">
      <c r="A111" s="28"/>
    </row>
    <row r="112" spans="1:2">
      <c r="A112" s="28"/>
    </row>
    <row r="113" spans="1:1">
      <c r="A113" s="28"/>
    </row>
    <row r="114" spans="1:1">
      <c r="A114" s="28"/>
    </row>
    <row r="115" spans="1:1">
      <c r="A115" s="28"/>
    </row>
    <row r="116" spans="1:1">
      <c r="A116" s="28"/>
    </row>
    <row r="117" spans="1:1">
      <c r="A117" s="28"/>
    </row>
    <row r="118" spans="1:1">
      <c r="A118" s="29"/>
    </row>
    <row r="119" spans="1:1">
      <c r="A119" s="29"/>
    </row>
    <row r="120" spans="1:1">
      <c r="A120" s="29"/>
    </row>
    <row r="121" spans="1:1">
      <c r="A121" s="29"/>
    </row>
    <row r="122" spans="1:1">
      <c r="A122" s="29"/>
    </row>
    <row r="123" spans="1:1">
      <c r="A123" s="29"/>
    </row>
    <row r="124" spans="1:1">
      <c r="A124" s="29"/>
    </row>
    <row r="125" spans="1:1">
      <c r="A125" s="28"/>
    </row>
    <row r="126" spans="1:1">
      <c r="A126" s="28"/>
    </row>
    <row r="127" spans="1:1">
      <c r="A127" s="28"/>
    </row>
    <row r="128" spans="1:1">
      <c r="A128" s="28"/>
    </row>
    <row r="129" spans="1:1">
      <c r="A129" s="28"/>
    </row>
    <row r="130" spans="1:1">
      <c r="A130" s="28"/>
    </row>
    <row r="131" spans="1:1">
      <c r="A131" s="28"/>
    </row>
    <row r="132" spans="1:1">
      <c r="A132" s="28"/>
    </row>
    <row r="133" spans="1:1">
      <c r="A133" s="28"/>
    </row>
    <row r="134" spans="1:1">
      <c r="A134" s="28"/>
    </row>
    <row r="135" spans="1:1">
      <c r="A135" s="28"/>
    </row>
    <row r="136" spans="1:1">
      <c r="A136" s="28"/>
    </row>
    <row r="137" spans="1:1">
      <c r="A137" s="28"/>
    </row>
    <row r="138" spans="1:1">
      <c r="A138" s="28"/>
    </row>
    <row r="139" spans="1:1">
      <c r="A139" s="28"/>
    </row>
    <row r="140" spans="1:1">
      <c r="A140" s="29"/>
    </row>
    <row r="141" spans="1:1">
      <c r="A141" s="29"/>
    </row>
    <row r="142" spans="1:1">
      <c r="A142" s="29"/>
    </row>
    <row r="143" spans="1:1">
      <c r="A143" s="29"/>
    </row>
    <row r="144" spans="1:1">
      <c r="A144" s="29"/>
    </row>
    <row r="145" spans="1:1">
      <c r="A145" s="29"/>
    </row>
    <row r="146" spans="1:1">
      <c r="A146" s="28"/>
    </row>
    <row r="147" spans="1:1">
      <c r="A147" s="28"/>
    </row>
    <row r="148" spans="1:1">
      <c r="A148" s="28"/>
    </row>
    <row r="149" spans="1:1">
      <c r="A149" s="28"/>
    </row>
    <row r="150" spans="1:1">
      <c r="A150" s="28"/>
    </row>
    <row r="151" spans="1:1">
      <c r="A151" s="28"/>
    </row>
    <row r="152" spans="1:1">
      <c r="A152" s="28"/>
    </row>
    <row r="153" spans="1:1">
      <c r="A153" s="28"/>
    </row>
    <row r="154" spans="1:1">
      <c r="A154" s="28"/>
    </row>
    <row r="155" spans="1:1">
      <c r="A155" s="28"/>
    </row>
    <row r="156" spans="1:1">
      <c r="A156" s="28"/>
    </row>
    <row r="157" spans="1:1">
      <c r="A157" s="28"/>
    </row>
    <row r="158" spans="1:1">
      <c r="A158" s="28"/>
    </row>
    <row r="159" spans="1:1">
      <c r="A159" s="29"/>
    </row>
    <row r="160" spans="1:1">
      <c r="A160" s="29"/>
    </row>
    <row r="161" spans="1:1">
      <c r="A161" s="29"/>
    </row>
    <row r="162" spans="1:1">
      <c r="A162" s="29"/>
    </row>
    <row r="163" spans="1:1">
      <c r="A163" s="29"/>
    </row>
    <row r="164" spans="1:1">
      <c r="A164" s="29"/>
    </row>
    <row r="165" spans="1:1">
      <c r="A165" s="28"/>
    </row>
    <row r="166" spans="1:1">
      <c r="A166" s="28"/>
    </row>
    <row r="167" spans="1:1">
      <c r="A167" s="28"/>
    </row>
    <row r="168" spans="1:1">
      <c r="A168" s="28"/>
    </row>
    <row r="169" spans="1:1">
      <c r="A169" s="28"/>
    </row>
    <row r="170" spans="1:1">
      <c r="A170" s="28"/>
    </row>
    <row r="171" spans="1:1">
      <c r="A171" s="28"/>
    </row>
    <row r="172" spans="1:1">
      <c r="A172" s="28"/>
    </row>
    <row r="173" spans="1:1">
      <c r="A173" s="28"/>
    </row>
    <row r="174" spans="1:1">
      <c r="A174" s="28"/>
    </row>
    <row r="175" spans="1:1">
      <c r="A175" s="28"/>
    </row>
    <row r="176" spans="1:1">
      <c r="A176" s="28"/>
    </row>
    <row r="177" spans="1:1">
      <c r="A177" s="28"/>
    </row>
    <row r="178" spans="1:1">
      <c r="A178" s="28"/>
    </row>
    <row r="179" spans="1:1">
      <c r="A179" s="28"/>
    </row>
    <row r="180" spans="1:1">
      <c r="A180" s="28"/>
    </row>
    <row r="181" spans="1:1">
      <c r="A181" s="29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>
      <c r="A186" s="29"/>
    </row>
    <row r="187" spans="1:1">
      <c r="A187" s="28"/>
    </row>
    <row r="188" spans="1:1">
      <c r="A188" s="28"/>
    </row>
    <row r="189" spans="1:1">
      <c r="A189" s="28"/>
    </row>
    <row r="190" spans="1:1">
      <c r="A190" s="28"/>
    </row>
    <row r="191" spans="1:1">
      <c r="A191" s="28"/>
    </row>
    <row r="192" spans="1:1">
      <c r="A192" s="28"/>
    </row>
    <row r="193" spans="1:1">
      <c r="A193" s="28"/>
    </row>
    <row r="194" spans="1:1">
      <c r="A194" s="28"/>
    </row>
    <row r="195" spans="1:1">
      <c r="A195" s="28"/>
    </row>
    <row r="196" spans="1:1">
      <c r="A196" s="28"/>
    </row>
    <row r="197" spans="1:1">
      <c r="A197" s="28"/>
    </row>
    <row r="198" spans="1:1">
      <c r="A198" s="28"/>
    </row>
    <row r="199" spans="1:1">
      <c r="A199" s="28"/>
    </row>
    <row r="200" spans="1:1">
      <c r="A200" s="28"/>
    </row>
    <row r="201" spans="1:1">
      <c r="A201" s="28"/>
    </row>
    <row r="202" spans="1:1">
      <c r="A202" s="29"/>
    </row>
    <row r="203" spans="1:1">
      <c r="A203" s="29"/>
    </row>
    <row r="204" spans="1:1">
      <c r="A204" s="29"/>
    </row>
    <row r="205" spans="1:1">
      <c r="A205" s="29"/>
    </row>
    <row r="206" spans="1:1">
      <c r="A206" s="29"/>
    </row>
    <row r="207" spans="1:1">
      <c r="A207" s="29"/>
    </row>
    <row r="208" spans="1:1">
      <c r="A208" s="28"/>
    </row>
    <row r="209" spans="1:1">
      <c r="A209" s="28"/>
    </row>
    <row r="210" spans="1:1">
      <c r="A210" s="28"/>
    </row>
    <row r="211" spans="1:1">
      <c r="A211" s="28"/>
    </row>
    <row r="212" spans="1:1">
      <c r="A212" s="28"/>
    </row>
    <row r="213" spans="1:1">
      <c r="A213" s="28"/>
    </row>
    <row r="214" spans="1:1">
      <c r="A214" s="28"/>
    </row>
    <row r="215" spans="1:1">
      <c r="A215" s="28"/>
    </row>
    <row r="216" spans="1:1">
      <c r="A216" s="28"/>
    </row>
    <row r="217" spans="1:1">
      <c r="A217" s="28"/>
    </row>
    <row r="218" spans="1:1">
      <c r="A218" s="28"/>
    </row>
    <row r="219" spans="1:1">
      <c r="A219" s="28"/>
    </row>
    <row r="220" spans="1:1">
      <c r="A220" s="28"/>
    </row>
    <row r="221" spans="1:1">
      <c r="A221" s="28"/>
    </row>
    <row r="222" spans="1:1">
      <c r="A222" s="29"/>
    </row>
    <row r="223" spans="1:1">
      <c r="A223" s="29"/>
    </row>
    <row r="224" spans="1:1">
      <c r="A224" s="29"/>
    </row>
    <row r="225" spans="1:1">
      <c r="A225" s="29"/>
    </row>
    <row r="226" spans="1:1">
      <c r="A226" s="29"/>
    </row>
    <row r="227" spans="1:1">
      <c r="A227" s="29"/>
    </row>
    <row r="228" spans="1:1">
      <c r="A228" s="29"/>
    </row>
    <row r="229" spans="1:1">
      <c r="A229" s="28"/>
    </row>
    <row r="230" spans="1:1">
      <c r="A230" s="28"/>
    </row>
    <row r="231" spans="1:1">
      <c r="A231" s="28"/>
    </row>
    <row r="232" spans="1:1">
      <c r="A232" s="28"/>
    </row>
    <row r="233" spans="1:1">
      <c r="A233" s="28"/>
    </row>
    <row r="234" spans="1:1">
      <c r="A234" s="28"/>
    </row>
    <row r="235" spans="1:1">
      <c r="A235" s="28"/>
    </row>
    <row r="236" spans="1:1">
      <c r="A236" s="28"/>
    </row>
    <row r="237" spans="1:1">
      <c r="A237" s="28"/>
    </row>
    <row r="238" spans="1:1">
      <c r="A238" s="28"/>
    </row>
    <row r="239" spans="1:1">
      <c r="A239" s="28"/>
    </row>
    <row r="240" spans="1:1">
      <c r="A240" s="28"/>
    </row>
    <row r="241" spans="1:1">
      <c r="A241" s="28"/>
    </row>
    <row r="242" spans="1:1">
      <c r="A242" s="28"/>
    </row>
    <row r="243" spans="1:1">
      <c r="A243" s="28"/>
    </row>
    <row r="244" spans="1:1">
      <c r="A244" s="29"/>
    </row>
    <row r="245" spans="1:1">
      <c r="A245" s="29"/>
    </row>
    <row r="246" spans="1:1">
      <c r="A246" s="29"/>
    </row>
    <row r="247" spans="1:1">
      <c r="A247" s="29"/>
    </row>
    <row r="248" spans="1:1">
      <c r="A248" s="29"/>
    </row>
    <row r="249" spans="1:1">
      <c r="A249" s="29"/>
    </row>
    <row r="250" spans="1:1">
      <c r="A250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2"/>
  <sheetViews>
    <sheetView workbookViewId="0">
      <selection activeCell="J19" sqref="I19:J21"/>
    </sheetView>
  </sheetViews>
  <sheetFormatPr defaultColWidth="12.6640625" defaultRowHeight="15.75" customHeight="1"/>
  <cols>
    <col min="3" max="3" width="16.21875" customWidth="1"/>
    <col min="5" max="5" width="14.44140625" customWidth="1"/>
    <col min="9" max="9" width="14.88671875" customWidth="1"/>
  </cols>
  <sheetData>
    <row r="1" spans="1:19" ht="14.4" thickBot="1">
      <c r="A1" s="32" t="s">
        <v>0</v>
      </c>
      <c r="B1" s="33" t="s">
        <v>54</v>
      </c>
      <c r="C1" s="5" t="s">
        <v>55</v>
      </c>
      <c r="D1" s="23" t="s">
        <v>56</v>
      </c>
      <c r="E1" s="5" t="s">
        <v>57</v>
      </c>
      <c r="F1" s="23" t="s">
        <v>59</v>
      </c>
      <c r="G1" s="5" t="s">
        <v>60</v>
      </c>
      <c r="H1" s="61" t="s">
        <v>62</v>
      </c>
      <c r="I1" s="5" t="s">
        <v>69</v>
      </c>
    </row>
    <row r="2" spans="1:19" ht="13.8" thickBot="1">
      <c r="A2" s="6">
        <v>45443</v>
      </c>
      <c r="B2" s="35">
        <v>657.52838134765602</v>
      </c>
      <c r="D2" s="24">
        <v>94.339401245117188</v>
      </c>
      <c r="F2" s="36">
        <v>77.769599914550696</v>
      </c>
      <c r="H2" s="62">
        <v>132.43699649999999</v>
      </c>
    </row>
    <row r="3" spans="1:19" ht="13.8" thickBot="1">
      <c r="A3" s="12">
        <v>45446</v>
      </c>
      <c r="B3" s="35">
        <v>667.13879394531205</v>
      </c>
      <c r="C3" s="5">
        <f t="shared" ref="C3:C247" si="0">LN(B3/B2)</f>
        <v>1.4510182475003873E-2</v>
      </c>
      <c r="D3" s="24">
        <v>96.867599487304688</v>
      </c>
      <c r="E3" s="5">
        <f t="shared" ref="E3:E247" si="1">LN(D3/D2)</f>
        <v>2.6446161306746853E-2</v>
      </c>
      <c r="F3" s="36">
        <v>79.357398986816406</v>
      </c>
      <c r="G3" s="5">
        <f t="shared" ref="G3:G246" si="2">LN(F3/F2)</f>
        <v>2.0211079352409927E-2</v>
      </c>
      <c r="H3" s="62">
        <v>136.40199279999999</v>
      </c>
      <c r="I3" s="5">
        <f t="shared" ref="I3:I247" si="3">LN(H3/H2)</f>
        <v>2.9499321045319334E-2</v>
      </c>
    </row>
    <row r="4" spans="1:19" ht="13.8" thickBot="1">
      <c r="A4" s="12">
        <v>45447</v>
      </c>
      <c r="B4" s="35">
        <v>646.87579345703102</v>
      </c>
      <c r="C4" s="5">
        <f t="shared" si="0"/>
        <v>-3.0843808089860914E-2</v>
      </c>
      <c r="D4" s="24">
        <v>91.740303039550781</v>
      </c>
      <c r="E4" s="5">
        <f t="shared" si="1"/>
        <v>-5.4383299959367019E-2</v>
      </c>
      <c r="F4" s="36">
        <v>76.033798217773395</v>
      </c>
      <c r="G4" s="5">
        <f t="shared" si="2"/>
        <v>-4.2783732753412088E-2</v>
      </c>
      <c r="H4" s="62">
        <v>127.3799973</v>
      </c>
      <c r="I4" s="5">
        <f t="shared" si="3"/>
        <v>-6.8431631526512243E-2</v>
      </c>
    </row>
    <row r="5" spans="1:19" ht="13.8" thickBot="1">
      <c r="A5" s="12">
        <v>45448</v>
      </c>
      <c r="B5" s="35">
        <v>660.18817138671795</v>
      </c>
      <c r="C5" s="5">
        <f t="shared" si="0"/>
        <v>2.0370599493333821E-2</v>
      </c>
      <c r="D5" s="24">
        <v>96.496902465820313</v>
      </c>
      <c r="E5" s="5">
        <f t="shared" si="1"/>
        <v>5.0549116622989304E-2</v>
      </c>
      <c r="F5" s="36">
        <v>78.089599609375</v>
      </c>
      <c r="G5" s="5">
        <f t="shared" si="2"/>
        <v>2.6678925542016937E-2</v>
      </c>
      <c r="H5" s="62">
        <v>131.83099369999999</v>
      </c>
      <c r="I5" s="5">
        <f t="shared" si="3"/>
        <v>3.434602773266645E-2</v>
      </c>
      <c r="K5" s="5" t="s">
        <v>70</v>
      </c>
      <c r="L5" s="5" t="s">
        <v>71</v>
      </c>
      <c r="N5" s="5" t="s">
        <v>72</v>
      </c>
    </row>
    <row r="6" spans="1:19" ht="13.8" thickBot="1">
      <c r="A6" s="12">
        <v>45449</v>
      </c>
      <c r="B6" s="35">
        <v>665.17028808593705</v>
      </c>
      <c r="C6" s="5">
        <f t="shared" si="0"/>
        <v>7.5181776380594239E-3</v>
      </c>
      <c r="D6" s="24">
        <v>98.37359619140625</v>
      </c>
      <c r="E6" s="5">
        <f t="shared" si="1"/>
        <v>1.9261527632778205E-2</v>
      </c>
      <c r="F6" s="36">
        <v>78.815498352050696</v>
      </c>
      <c r="G6" s="5">
        <f t="shared" si="2"/>
        <v>9.2527767550796853E-3</v>
      </c>
      <c r="H6" s="62">
        <v>134.85499569999999</v>
      </c>
      <c r="I6" s="5">
        <f t="shared" si="3"/>
        <v>2.2679343767867843E-2</v>
      </c>
      <c r="K6" s="5">
        <f>C251</f>
        <v>0.13764899029097766</v>
      </c>
      <c r="L6" s="5">
        <v>0.25</v>
      </c>
      <c r="N6" s="5">
        <f t="shared" ref="N6:N9" si="4">K6*L6</f>
        <v>3.4412247572744414E-2</v>
      </c>
    </row>
    <row r="7" spans="1:19" ht="13.8" thickBot="1">
      <c r="A7" s="12">
        <v>45450</v>
      </c>
      <c r="B7" s="35">
        <v>670.51708984375</v>
      </c>
      <c r="C7" s="5">
        <f t="shared" si="0"/>
        <v>8.0061104207248095E-3</v>
      </c>
      <c r="D7" s="24">
        <v>100.22830200195313</v>
      </c>
      <c r="E7" s="5">
        <f t="shared" si="1"/>
        <v>1.8678167214390973E-2</v>
      </c>
      <c r="F7" s="36">
        <v>79.765296936035099</v>
      </c>
      <c r="G7" s="5">
        <f t="shared" si="2"/>
        <v>1.1978877262223233E-2</v>
      </c>
      <c r="H7" s="62">
        <v>136.76400760000001</v>
      </c>
      <c r="I7" s="5">
        <f t="shared" si="3"/>
        <v>1.4056772984442656E-2</v>
      </c>
      <c r="K7" s="5">
        <f>E251</f>
        <v>0.21559877155901619</v>
      </c>
      <c r="L7" s="5">
        <v>0.25</v>
      </c>
      <c r="N7" s="5">
        <f t="shared" si="4"/>
        <v>5.3899692889754047E-2</v>
      </c>
    </row>
    <row r="8" spans="1:19" ht="13.8" thickBot="1">
      <c r="A8" s="13">
        <v>45453</v>
      </c>
      <c r="B8" s="35">
        <v>671.83197021484295</v>
      </c>
      <c r="C8" s="5">
        <f t="shared" si="0"/>
        <v>1.9590743283644557E-3</v>
      </c>
      <c r="D8" s="24">
        <v>99.856399536132813</v>
      </c>
      <c r="E8" s="5">
        <f t="shared" si="1"/>
        <v>-3.7174545705147585E-3</v>
      </c>
      <c r="F8" s="36">
        <v>80.150001525878906</v>
      </c>
      <c r="G8" s="5">
        <f t="shared" si="2"/>
        <v>4.8113637116393108E-3</v>
      </c>
      <c r="H8" s="62">
        <v>137.64300539999999</v>
      </c>
      <c r="I8" s="5">
        <f t="shared" si="3"/>
        <v>6.4065476814372671E-3</v>
      </c>
      <c r="K8" s="5">
        <f>G251</f>
        <v>0.16166850642599195</v>
      </c>
      <c r="L8" s="5">
        <v>0.25</v>
      </c>
      <c r="N8" s="5">
        <f t="shared" si="4"/>
        <v>4.0417126606497988E-2</v>
      </c>
    </row>
    <row r="9" spans="1:19" ht="13.8" thickBot="1">
      <c r="A9" s="13">
        <v>45454</v>
      </c>
      <c r="B9" s="35">
        <v>671.77947998046795</v>
      </c>
      <c r="C9" s="5">
        <f t="shared" si="0"/>
        <v>-7.8133056091602912E-5</v>
      </c>
      <c r="D9" s="24">
        <v>100.69300079345703</v>
      </c>
      <c r="E9" s="5">
        <f t="shared" si="1"/>
        <v>8.343142475525301E-3</v>
      </c>
      <c r="F9" s="36">
        <v>80.258598327636705</v>
      </c>
      <c r="G9" s="5">
        <f t="shared" si="2"/>
        <v>1.3540024468520337E-3</v>
      </c>
      <c r="H9" s="62">
        <v>138.80499270000001</v>
      </c>
      <c r="I9" s="5">
        <f t="shared" si="3"/>
        <v>8.4066019736641039E-3</v>
      </c>
      <c r="K9" s="5">
        <f>I251</f>
        <v>0.13250107544002288</v>
      </c>
      <c r="L9" s="5">
        <v>0.25</v>
      </c>
      <c r="N9" s="5">
        <f t="shared" si="4"/>
        <v>3.3125268860005719E-2</v>
      </c>
    </row>
    <row r="10" spans="1:19" ht="13.8" thickBot="1">
      <c r="A10" s="13">
        <v>45455</v>
      </c>
      <c r="B10" s="35">
        <v>673.66107177734295</v>
      </c>
      <c r="C10" s="5">
        <f t="shared" si="0"/>
        <v>2.7969916932904853E-3</v>
      </c>
      <c r="D10" s="24">
        <v>101.427001953125</v>
      </c>
      <c r="E10" s="5">
        <f t="shared" si="1"/>
        <v>7.2630553765912756E-3</v>
      </c>
      <c r="F10" s="36">
        <v>80.744796752929602</v>
      </c>
      <c r="G10" s="5">
        <f t="shared" si="2"/>
        <v>6.0396229902135662E-3</v>
      </c>
      <c r="H10" s="62">
        <v>140.30799870000001</v>
      </c>
      <c r="I10" s="5">
        <f t="shared" si="3"/>
        <v>1.0769979000583137E-2</v>
      </c>
    </row>
    <row r="11" spans="1:19" ht="13.8" thickBot="1">
      <c r="A11" s="13">
        <v>45456</v>
      </c>
      <c r="B11" s="35">
        <v>674.055908203125</v>
      </c>
      <c r="C11" s="5">
        <f t="shared" si="0"/>
        <v>5.8593375752231047E-4</v>
      </c>
      <c r="D11" s="24">
        <v>102.35379791259766</v>
      </c>
      <c r="E11" s="5">
        <f t="shared" si="1"/>
        <v>9.0960713690194563E-3</v>
      </c>
      <c r="F11" s="36">
        <v>80.583900451660099</v>
      </c>
      <c r="G11" s="5">
        <f t="shared" si="2"/>
        <v>-1.9946402270947213E-3</v>
      </c>
      <c r="H11" s="62">
        <v>141.68600459999999</v>
      </c>
      <c r="I11" s="5">
        <f t="shared" si="3"/>
        <v>9.7733771119748181E-3</v>
      </c>
      <c r="M11" s="5" t="s">
        <v>29</v>
      </c>
      <c r="N11" s="5">
        <f>SUM(N6:N9)</f>
        <v>0.16185433592900217</v>
      </c>
    </row>
    <row r="12" spans="1:19" ht="13.8" thickBot="1">
      <c r="A12" s="13">
        <v>45457</v>
      </c>
      <c r="B12" s="35">
        <v>675.92437744140602</v>
      </c>
      <c r="C12" s="5">
        <f t="shared" si="0"/>
        <v>2.768144766653058E-3</v>
      </c>
      <c r="D12" s="24">
        <v>103.63120269775391</v>
      </c>
      <c r="E12" s="5">
        <f t="shared" si="1"/>
        <v>1.2403050291974064E-2</v>
      </c>
      <c r="F12" s="36">
        <v>80.759803771972599</v>
      </c>
      <c r="G12" s="5">
        <f t="shared" si="2"/>
        <v>2.1804803708108883E-3</v>
      </c>
      <c r="H12" s="62">
        <v>143.55499270000001</v>
      </c>
      <c r="I12" s="5">
        <f t="shared" si="3"/>
        <v>1.3104812178772133E-2</v>
      </c>
    </row>
    <row r="13" spans="1:19" ht="13.8" thickBot="1">
      <c r="A13" s="13">
        <v>45461</v>
      </c>
      <c r="B13" s="35">
        <v>676.56298828125</v>
      </c>
      <c r="C13" s="5">
        <f t="shared" si="0"/>
        <v>9.4435024457619062E-4</v>
      </c>
      <c r="D13" s="24">
        <v>105.32240295410156</v>
      </c>
      <c r="E13" s="5">
        <f t="shared" si="1"/>
        <v>1.6187681291559061E-2</v>
      </c>
      <c r="F13" s="36">
        <v>80.962196350097599</v>
      </c>
      <c r="G13" s="5">
        <f t="shared" si="2"/>
        <v>2.5029703272982664E-3</v>
      </c>
      <c r="H13" s="62">
        <v>145.0249939</v>
      </c>
      <c r="I13" s="5">
        <f t="shared" si="3"/>
        <v>1.0187913112205607E-2</v>
      </c>
      <c r="M13" s="5" t="s">
        <v>32</v>
      </c>
      <c r="N13" s="5">
        <v>5.5E-2</v>
      </c>
      <c r="S13" s="5" t="e">
        <f>SQRT(VARP(#REF!)*252)</f>
        <v>#REF!</v>
      </c>
    </row>
    <row r="14" spans="1:19" ht="13.8" thickBot="1">
      <c r="A14" s="13">
        <v>45462</v>
      </c>
      <c r="B14" s="35">
        <v>675.3583984375</v>
      </c>
      <c r="C14" s="5">
        <f t="shared" si="0"/>
        <v>-1.7820417287067204E-3</v>
      </c>
      <c r="D14" s="24">
        <v>105.00299835205078</v>
      </c>
      <c r="E14" s="5">
        <f t="shared" si="1"/>
        <v>-3.0372446276638026E-3</v>
      </c>
      <c r="F14" s="36">
        <v>81.007499694824205</v>
      </c>
      <c r="G14" s="5">
        <f t="shared" si="2"/>
        <v>5.5940520991595714E-4</v>
      </c>
      <c r="H14" s="62">
        <v>143.75799559999999</v>
      </c>
      <c r="I14" s="5">
        <f t="shared" si="3"/>
        <v>-8.7747995945584266E-3</v>
      </c>
      <c r="Q14" s="5" t="s">
        <v>73</v>
      </c>
      <c r="R14" s="37" t="e">
        <f>(#REF!-N13)/S13</f>
        <v>#REF!</v>
      </c>
    </row>
    <row r="15" spans="1:19" ht="13.8" thickBot="1">
      <c r="A15" s="13">
        <v>45463</v>
      </c>
      <c r="B15" s="35">
        <v>677.09442138671795</v>
      </c>
      <c r="C15" s="5">
        <f t="shared" si="0"/>
        <v>2.5672228668221363E-3</v>
      </c>
      <c r="D15" s="24">
        <v>105.78350067138672</v>
      </c>
      <c r="E15" s="5">
        <f t="shared" si="1"/>
        <v>7.4056534937978254E-3</v>
      </c>
      <c r="F15" s="36">
        <v>81.335098266601506</v>
      </c>
      <c r="G15" s="5">
        <f t="shared" si="2"/>
        <v>4.035897177501269E-3</v>
      </c>
      <c r="H15" s="62">
        <v>144.65199279999999</v>
      </c>
      <c r="I15" s="5">
        <f t="shared" si="3"/>
        <v>6.1995083337760123E-3</v>
      </c>
    </row>
    <row r="16" spans="1:19" ht="13.8" thickBot="1">
      <c r="A16" s="13">
        <v>45464</v>
      </c>
      <c r="B16" s="35">
        <v>675.8837890625</v>
      </c>
      <c r="C16" s="5">
        <f t="shared" si="0"/>
        <v>-1.7895818838263252E-3</v>
      </c>
      <c r="D16" s="24">
        <v>105.70439910888672</v>
      </c>
      <c r="E16" s="5">
        <f t="shared" si="1"/>
        <v>-7.4804815094190499E-4</v>
      </c>
      <c r="F16" s="36">
        <v>81.254203796386705</v>
      </c>
      <c r="G16" s="5">
        <f t="shared" si="2"/>
        <v>-9.9507748496842829E-4</v>
      </c>
      <c r="H16" s="62">
        <v>144.11099239999999</v>
      </c>
      <c r="I16" s="5">
        <f t="shared" si="3"/>
        <v>-3.747024796854802E-3</v>
      </c>
      <c r="K16" s="5" t="s">
        <v>74</v>
      </c>
      <c r="L16" s="5">
        <f t="array" ref="L16">MMULT(TRANSPOSE(L6:L9), MMULT(M21:P24,L6:L9))</f>
        <v>7.7904412828807006E-5</v>
      </c>
    </row>
    <row r="17" spans="1:17" ht="13.8" thickBot="1">
      <c r="A17" s="13">
        <v>45467</v>
      </c>
      <c r="B17" s="35">
        <v>676.40008544921795</v>
      </c>
      <c r="C17" s="5">
        <f t="shared" si="0"/>
        <v>7.6359175988982802E-4</v>
      </c>
      <c r="D17" s="24">
        <v>106.52799987792969</v>
      </c>
      <c r="E17" s="5">
        <f t="shared" si="1"/>
        <v>7.7613494202264637E-3</v>
      </c>
      <c r="F17" s="36">
        <v>81.498298645019503</v>
      </c>
      <c r="G17" s="5">
        <f t="shared" si="2"/>
        <v>2.9995856038061231E-3</v>
      </c>
      <c r="H17" s="62">
        <v>144.80099490000001</v>
      </c>
      <c r="I17" s="5">
        <f t="shared" si="3"/>
        <v>4.7765675515889965E-3</v>
      </c>
      <c r="K17" s="5" t="s">
        <v>75</v>
      </c>
      <c r="L17" s="5">
        <f>SQRT(L16)</f>
        <v>8.8263476494418128E-3</v>
      </c>
    </row>
    <row r="18" spans="1:17" ht="13.8" thickBot="1">
      <c r="A18" s="13">
        <v>45468</v>
      </c>
      <c r="B18" s="35">
        <v>677.50732421875</v>
      </c>
      <c r="C18" s="5">
        <f t="shared" si="0"/>
        <v>1.6356199965680311E-3</v>
      </c>
      <c r="D18" s="24">
        <v>106.08439636230469</v>
      </c>
      <c r="E18" s="5">
        <f t="shared" si="1"/>
        <v>-4.1728908302214249E-3</v>
      </c>
      <c r="F18" s="36">
        <v>81.774200439453097</v>
      </c>
      <c r="G18" s="5">
        <f t="shared" si="2"/>
        <v>3.3796513018926012E-3</v>
      </c>
      <c r="H18" s="62">
        <v>144.88999939999999</v>
      </c>
      <c r="I18" s="5">
        <f t="shared" si="3"/>
        <v>6.144789071928586E-4</v>
      </c>
      <c r="K18" s="5" t="s">
        <v>76</v>
      </c>
      <c r="L18" s="5">
        <f>SQRT(252)*L17</f>
        <v>0.14011392519253527</v>
      </c>
    </row>
    <row r="19" spans="1:17" ht="13.8" thickBot="1">
      <c r="A19" s="13">
        <v>45469</v>
      </c>
      <c r="B19" s="35">
        <v>678.57550048828102</v>
      </c>
      <c r="C19" s="5">
        <f t="shared" si="0"/>
        <v>1.5753853245386654E-3</v>
      </c>
      <c r="D19" s="24">
        <v>106.42749786376953</v>
      </c>
      <c r="E19" s="5">
        <f t="shared" si="1"/>
        <v>3.2290126708180338E-3</v>
      </c>
      <c r="F19" s="36">
        <v>81.768997192382798</v>
      </c>
      <c r="G19" s="5">
        <f t="shared" si="2"/>
        <v>-6.3631470429773262E-5</v>
      </c>
      <c r="H19" s="62">
        <v>144.47000120000001</v>
      </c>
      <c r="I19" s="5">
        <f t="shared" si="3"/>
        <v>-2.9029478440455313E-3</v>
      </c>
      <c r="K19" s="5" t="s">
        <v>77</v>
      </c>
      <c r="L19" s="5">
        <f>(N11-N13)/L18</f>
        <v>0.76262466976191001</v>
      </c>
    </row>
    <row r="20" spans="1:17" ht="13.8" thickBot="1">
      <c r="A20" s="13">
        <v>45470</v>
      </c>
      <c r="B20" s="35">
        <v>680.693603515625</v>
      </c>
      <c r="C20" s="5">
        <f t="shared" si="0"/>
        <v>3.1165348134452194E-3</v>
      </c>
      <c r="D20" s="24">
        <v>107.26059722900391</v>
      </c>
      <c r="E20" s="5">
        <f t="shared" si="1"/>
        <v>7.7973795016010898E-3</v>
      </c>
      <c r="F20" s="36">
        <v>82.055702209472599</v>
      </c>
      <c r="G20" s="5">
        <f t="shared" si="2"/>
        <v>3.5001475459958825E-3</v>
      </c>
      <c r="H20" s="62">
        <v>144.43600459999999</v>
      </c>
      <c r="I20" s="5">
        <f t="shared" si="3"/>
        <v>-2.3534713349282948E-4</v>
      </c>
      <c r="L20" s="38"/>
      <c r="M20" s="39" t="s">
        <v>78</v>
      </c>
      <c r="N20" s="39" t="s">
        <v>79</v>
      </c>
      <c r="O20" s="39" t="s">
        <v>80</v>
      </c>
      <c r="P20" s="39" t="s">
        <v>40</v>
      </c>
    </row>
    <row r="21" spans="1:17" ht="13.8" thickBot="1">
      <c r="A21" s="13">
        <v>45471</v>
      </c>
      <c r="B21" s="35">
        <v>680.08819580078102</v>
      </c>
      <c r="C21" s="5">
        <f t="shared" si="0"/>
        <v>-8.8979402148322293E-4</v>
      </c>
      <c r="D21" s="24">
        <v>108.30590057373047</v>
      </c>
      <c r="E21" s="5">
        <f t="shared" si="1"/>
        <v>9.6982745324737142E-3</v>
      </c>
      <c r="F21" s="36">
        <v>81.938499450683594</v>
      </c>
      <c r="G21" s="5">
        <f t="shared" si="2"/>
        <v>-1.4293527156055482E-3</v>
      </c>
      <c r="H21" s="62">
        <v>145.1119995</v>
      </c>
      <c r="I21" s="5">
        <f t="shared" si="3"/>
        <v>4.6693198960337939E-3</v>
      </c>
      <c r="L21" s="37" t="s">
        <v>78</v>
      </c>
      <c r="M21" s="37">
        <f>VARP($C$3:$C$247)</f>
        <v>2.6304771104653489E-5</v>
      </c>
      <c r="N21" s="37">
        <f>_xlfn.COVARIANCE.P(C3:C247,E3:E247)</f>
        <v>4.8548628111690863E-5</v>
      </c>
      <c r="O21" s="37">
        <f>_xlfn.COVARIANCE.P(C3:C247,G3:G247)</f>
        <v>3.3261212596926566E-5</v>
      </c>
      <c r="P21" s="37">
        <f>_xlfn.COVARIANCE.P(C3:C247,I3:I247)</f>
        <v>5.4481517549709058E-5</v>
      </c>
      <c r="Q21" s="40"/>
    </row>
    <row r="22" spans="1:17" ht="13.8" thickBot="1">
      <c r="A22" s="12">
        <v>45474</v>
      </c>
      <c r="B22" s="35">
        <v>682.048828125</v>
      </c>
      <c r="C22" s="5">
        <f t="shared" si="0"/>
        <v>2.8787613049261985E-3</v>
      </c>
      <c r="D22" s="24">
        <v>108.94249725341797</v>
      </c>
      <c r="E22" s="5">
        <f t="shared" si="1"/>
        <v>5.8605587715004088E-3</v>
      </c>
      <c r="F22" s="36">
        <v>82.505401611328097</v>
      </c>
      <c r="G22" s="5">
        <f t="shared" si="2"/>
        <v>6.8948061044652315E-3</v>
      </c>
      <c r="H22" s="62">
        <v>146.63299559999999</v>
      </c>
      <c r="I22" s="5">
        <f t="shared" si="3"/>
        <v>1.0426981823119205E-2</v>
      </c>
      <c r="L22" s="41" t="s">
        <v>79</v>
      </c>
      <c r="M22" s="41">
        <f>_xlfn.COVARIANCE.P(E3:E247,C3:C247)</f>
        <v>4.8548628111690863E-5</v>
      </c>
      <c r="N22" s="37">
        <f>VARP($E$3:$E$247)</f>
        <v>1.6255758532583857E-4</v>
      </c>
      <c r="O22" s="37">
        <f>_xlfn.COVARIANCE.P(E3:E247,G3:G247)</f>
        <v>6.9128112991718825E-5</v>
      </c>
      <c r="P22" s="37">
        <f>_xlfn.COVARIANCE.P(E3:E247,I3:I247)</f>
        <v>1.4278398702542231E-4</v>
      </c>
    </row>
    <row r="23" spans="1:17" ht="13.8" thickBot="1">
      <c r="A23" s="12">
        <v>45475</v>
      </c>
      <c r="B23" s="35">
        <v>682.02307128906205</v>
      </c>
      <c r="C23" s="5">
        <f t="shared" si="0"/>
        <v>-3.7764630958381293E-5</v>
      </c>
      <c r="D23" s="24">
        <v>108.35759735107422</v>
      </c>
      <c r="E23" s="5">
        <f t="shared" si="1"/>
        <v>-5.3833507616606949E-3</v>
      </c>
      <c r="F23" s="36">
        <v>82.525497436523395</v>
      </c>
      <c r="G23" s="5">
        <f t="shared" si="2"/>
        <v>2.435401541233915E-4</v>
      </c>
      <c r="H23" s="62">
        <v>146.64199830000001</v>
      </c>
      <c r="I23" s="5">
        <f t="shared" si="3"/>
        <v>6.1394255835707859E-5</v>
      </c>
      <c r="L23" s="41" t="s">
        <v>80</v>
      </c>
      <c r="M23" s="41">
        <f>_xlfn.COVARIANCE.P(G3:G247,C3:C247)</f>
        <v>3.3261212596926566E-5</v>
      </c>
      <c r="N23" s="37">
        <f>_xlfn.COVARIANCE.P(G3:G247,E3:E247)</f>
        <v>6.9128112991718825E-5</v>
      </c>
      <c r="O23" s="37">
        <f>VARP($G$3:$G$247)</f>
        <v>5.4411410878546821E-5</v>
      </c>
      <c r="P23" s="37">
        <f>_xlfn.COVARIANCE.P(G3:G247,I3:I247)</f>
        <v>7.4774512460078793E-5</v>
      </c>
    </row>
    <row r="24" spans="1:17" ht="13.8" thickBot="1">
      <c r="A24" s="12">
        <v>45476</v>
      </c>
      <c r="B24" s="35">
        <v>685.720703125</v>
      </c>
      <c r="C24" s="5">
        <f t="shared" si="0"/>
        <v>5.4069203799635215E-3</v>
      </c>
      <c r="D24" s="24">
        <v>109.18309783935547</v>
      </c>
      <c r="E24" s="5">
        <f t="shared" si="1"/>
        <v>7.5894255087719346E-3</v>
      </c>
      <c r="F24" s="36">
        <v>83.287902832031193</v>
      </c>
      <c r="G24" s="5">
        <f t="shared" si="2"/>
        <v>9.1960090933585689E-3</v>
      </c>
      <c r="H24" s="62">
        <v>148.32099909999999</v>
      </c>
      <c r="I24" s="5">
        <f t="shared" si="3"/>
        <v>1.1384607216959861E-2</v>
      </c>
      <c r="L24" s="42" t="s">
        <v>40</v>
      </c>
      <c r="M24" s="41">
        <f>_xlfn.COVARIANCE.P(I3:I247,C3:C247)</f>
        <v>5.4481517549709058E-5</v>
      </c>
      <c r="N24" s="37">
        <f>_xlfn.COVARIANCE.P(I3:I247,E3:E247)</f>
        <v>1.4278398702542231E-4</v>
      </c>
      <c r="O24" s="37">
        <f>_xlfn.COVARIANCE.P(I3:I247,G3:G247)</f>
        <v>7.4774512460078793E-5</v>
      </c>
      <c r="P24" s="37">
        <f>VARP($I$3:$I$247)</f>
        <v>1.5724089648078043E-4</v>
      </c>
    </row>
    <row r="25" spans="1:17" ht="13.8" thickBot="1">
      <c r="A25" s="12">
        <v>45477</v>
      </c>
      <c r="B25" s="35">
        <v>686.541015625</v>
      </c>
      <c r="C25" s="5">
        <f t="shared" si="0"/>
        <v>1.195562896643565E-3</v>
      </c>
      <c r="D25" s="24">
        <v>110.08889770507813</v>
      </c>
      <c r="E25" s="5">
        <f t="shared" si="1"/>
        <v>8.2619307214450502E-3</v>
      </c>
      <c r="F25" s="36">
        <v>83.819000244140597</v>
      </c>
      <c r="G25" s="5">
        <f t="shared" si="2"/>
        <v>6.3564004900917206E-3</v>
      </c>
      <c r="H25" s="62">
        <v>148.9219971</v>
      </c>
      <c r="I25" s="5">
        <f t="shared" si="3"/>
        <v>4.043821564630035E-3</v>
      </c>
    </row>
    <row r="26" spans="1:17" ht="13.8" thickBot="1">
      <c r="A26" s="12">
        <v>45478</v>
      </c>
      <c r="B26" s="35">
        <v>688.984375</v>
      </c>
      <c r="C26" s="5">
        <f t="shared" si="0"/>
        <v>3.5526235451310458E-3</v>
      </c>
      <c r="D26" s="24">
        <v>109.98680114746094</v>
      </c>
      <c r="E26" s="5">
        <f t="shared" si="1"/>
        <v>-9.278313368885128E-4</v>
      </c>
      <c r="F26" s="36">
        <v>83.920501708984304</v>
      </c>
      <c r="G26" s="5">
        <f t="shared" si="2"/>
        <v>1.2102274783282506E-3</v>
      </c>
      <c r="H26" s="62">
        <v>149.34100340000001</v>
      </c>
      <c r="I26" s="5">
        <f t="shared" si="3"/>
        <v>2.8096450108630617E-3</v>
      </c>
    </row>
    <row r="27" spans="1:17" ht="13.8" thickBot="1">
      <c r="A27" s="12">
        <v>45481</v>
      </c>
      <c r="B27" s="35">
        <v>689.47210693359295</v>
      </c>
      <c r="C27" s="5">
        <f t="shared" si="0"/>
        <v>7.0764940400905123E-4</v>
      </c>
      <c r="D27" s="24">
        <v>109.19619750976563</v>
      </c>
      <c r="E27" s="5">
        <f t="shared" si="1"/>
        <v>-7.2141276591699737E-3</v>
      </c>
      <c r="F27" s="36">
        <v>83.978401184082003</v>
      </c>
      <c r="G27" s="5">
        <f t="shared" si="2"/>
        <v>6.8969452920967069E-4</v>
      </c>
      <c r="H27" s="62">
        <v>148.4940033</v>
      </c>
      <c r="I27" s="5">
        <f t="shared" si="3"/>
        <v>-5.687728872256834E-3</v>
      </c>
    </row>
    <row r="28" spans="1:17" ht="13.8" thickBot="1">
      <c r="A28" s="12">
        <v>45482</v>
      </c>
      <c r="B28" s="35">
        <v>692.15020751953102</v>
      </c>
      <c r="C28" s="5">
        <f t="shared" si="0"/>
        <v>3.8767525858065311E-3</v>
      </c>
      <c r="D28" s="24">
        <v>110.01000213623047</v>
      </c>
      <c r="E28" s="5">
        <f t="shared" si="1"/>
        <v>7.4250488044705935E-3</v>
      </c>
      <c r="F28" s="36">
        <v>84.363998413085895</v>
      </c>
      <c r="G28" s="5">
        <f t="shared" si="2"/>
        <v>4.5811144939273711E-3</v>
      </c>
      <c r="H28" s="62">
        <v>149.15199279999999</v>
      </c>
      <c r="I28" s="5">
        <f t="shared" si="3"/>
        <v>4.421296308221411E-3</v>
      </c>
    </row>
    <row r="29" spans="1:17" ht="13.8" thickBot="1">
      <c r="A29" s="13">
        <v>45483</v>
      </c>
      <c r="B29" s="35">
        <v>692.70281982421795</v>
      </c>
      <c r="C29" s="5">
        <f t="shared" si="0"/>
        <v>7.9808084050372993E-4</v>
      </c>
      <c r="D29" s="24">
        <v>109.64559936523438</v>
      </c>
      <c r="E29" s="5">
        <f t="shared" si="1"/>
        <v>-3.3179495793225094E-3</v>
      </c>
      <c r="F29" s="36">
        <v>84.197402954101506</v>
      </c>
      <c r="G29" s="5">
        <f t="shared" si="2"/>
        <v>-1.9766745159593099E-3</v>
      </c>
      <c r="H29" s="62">
        <v>148.65800479999999</v>
      </c>
      <c r="I29" s="5">
        <f t="shared" si="3"/>
        <v>-3.3174739399961426E-3</v>
      </c>
    </row>
    <row r="30" spans="1:17" ht="13.8" thickBot="1">
      <c r="A30" s="13">
        <v>45484</v>
      </c>
      <c r="B30" s="35">
        <v>693.34649658203102</v>
      </c>
      <c r="C30" s="5">
        <f t="shared" si="0"/>
        <v>9.2879350895636406E-4</v>
      </c>
      <c r="D30" s="24">
        <v>109.54920196533203</v>
      </c>
      <c r="E30" s="5">
        <f t="shared" si="1"/>
        <v>-8.7955923709693911E-4</v>
      </c>
      <c r="F30" s="36">
        <v>84.009498596191406</v>
      </c>
      <c r="G30" s="5">
        <f t="shared" si="2"/>
        <v>-2.2342060205782391E-3</v>
      </c>
      <c r="H30" s="62">
        <v>148.89900209999999</v>
      </c>
      <c r="I30" s="5">
        <f t="shared" si="3"/>
        <v>1.619839876778259E-3</v>
      </c>
    </row>
    <row r="31" spans="1:17" ht="13.8" thickBot="1">
      <c r="A31" s="13">
        <v>45485</v>
      </c>
      <c r="B31" s="35">
        <v>694.24279785156205</v>
      </c>
      <c r="C31" s="5">
        <f t="shared" si="0"/>
        <v>1.2918828327435281E-3</v>
      </c>
      <c r="D31" s="24">
        <v>110.54859924316406</v>
      </c>
      <c r="E31" s="5">
        <f t="shared" si="1"/>
        <v>9.0814550706849947E-3</v>
      </c>
      <c r="F31" s="36">
        <v>84.106796264648395</v>
      </c>
      <c r="G31" s="5">
        <f t="shared" si="2"/>
        <v>1.1575044453716462E-3</v>
      </c>
      <c r="H31" s="62">
        <v>149.2279968</v>
      </c>
      <c r="I31" s="5">
        <f t="shared" si="3"/>
        <v>2.2070784247228614E-3</v>
      </c>
    </row>
    <row r="32" spans="1:17" ht="13.8" thickBot="1">
      <c r="A32" s="13">
        <v>45488</v>
      </c>
      <c r="B32" s="35">
        <v>696.02288818359295</v>
      </c>
      <c r="C32" s="5">
        <f t="shared" si="0"/>
        <v>2.5607929803351539E-3</v>
      </c>
      <c r="D32" s="24">
        <v>111.49349975585938</v>
      </c>
      <c r="E32" s="5">
        <f t="shared" si="1"/>
        <v>8.5110546229210538E-3</v>
      </c>
      <c r="F32" s="36">
        <v>84.311798095703097</v>
      </c>
      <c r="G32" s="5">
        <f t="shared" si="2"/>
        <v>2.4344334790108555E-3</v>
      </c>
      <c r="H32" s="62">
        <v>149.98800660000001</v>
      </c>
      <c r="I32" s="5">
        <f t="shared" si="3"/>
        <v>5.0800186206730194E-3</v>
      </c>
    </row>
    <row r="33" spans="1:9" ht="13.8" thickBot="1">
      <c r="A33" s="13">
        <v>45489</v>
      </c>
      <c r="B33" s="35">
        <v>697.19580078125</v>
      </c>
      <c r="C33" s="5">
        <f t="shared" si="0"/>
        <v>1.6837455369321146E-3</v>
      </c>
      <c r="D33" s="24">
        <v>111.36540222167969</v>
      </c>
      <c r="E33" s="5">
        <f t="shared" si="1"/>
        <v>-1.1495843078308317E-3</v>
      </c>
      <c r="F33" s="36">
        <v>84.305900573730398</v>
      </c>
      <c r="G33" s="5">
        <f t="shared" si="2"/>
        <v>-6.9951399190524151E-5</v>
      </c>
      <c r="H33" s="62">
        <v>150.0720062</v>
      </c>
      <c r="I33" s="5">
        <f t="shared" si="3"/>
        <v>5.5988534700405015E-4</v>
      </c>
    </row>
    <row r="34" spans="1:9" ht="13.8" thickBot="1">
      <c r="A34" s="13">
        <v>45491</v>
      </c>
      <c r="B34" s="35">
        <v>698.25787353515602</v>
      </c>
      <c r="C34" s="5">
        <f t="shared" si="0"/>
        <v>1.5221902074254912E-3</v>
      </c>
      <c r="D34" s="24">
        <v>110.84839630126953</v>
      </c>
      <c r="E34" s="5">
        <f t="shared" si="1"/>
        <v>-4.6532380682412404E-3</v>
      </c>
      <c r="F34" s="36">
        <v>84.000198364257798</v>
      </c>
      <c r="G34" s="5">
        <f t="shared" si="2"/>
        <v>-3.6326971819142569E-3</v>
      </c>
      <c r="H34" s="62">
        <v>148.82600400000001</v>
      </c>
      <c r="I34" s="5">
        <f t="shared" si="3"/>
        <v>-8.3373550515125298E-3</v>
      </c>
    </row>
    <row r="35" spans="1:9" ht="13.8" thickBot="1">
      <c r="A35" s="13">
        <v>45492</v>
      </c>
      <c r="B35" s="35">
        <v>692.08502197265602</v>
      </c>
      <c r="C35" s="5">
        <f t="shared" si="0"/>
        <v>-8.8796686664944589E-3</v>
      </c>
      <c r="D35" s="24">
        <v>109.35160064697266</v>
      </c>
      <c r="E35" s="5">
        <f t="shared" si="1"/>
        <v>-1.3595083822928034E-2</v>
      </c>
      <c r="F35" s="36">
        <v>83.261901855468693</v>
      </c>
      <c r="G35" s="5">
        <f t="shared" si="2"/>
        <v>-8.8280764469311854E-3</v>
      </c>
      <c r="H35" s="62">
        <v>145.7279968</v>
      </c>
      <c r="I35" s="5">
        <f t="shared" si="3"/>
        <v>-2.1036016712539397E-2</v>
      </c>
    </row>
    <row r="36" spans="1:9" ht="13.8" thickBot="1">
      <c r="A36" s="13">
        <v>45495</v>
      </c>
      <c r="B36" s="35">
        <v>693.28271484375</v>
      </c>
      <c r="C36" s="5">
        <f t="shared" si="0"/>
        <v>1.7290617323555144E-3</v>
      </c>
      <c r="D36" s="24">
        <v>110.24040222167969</v>
      </c>
      <c r="E36" s="5">
        <f t="shared" si="1"/>
        <v>8.0950710107923901E-3</v>
      </c>
      <c r="F36" s="36">
        <v>83.782897949218693</v>
      </c>
      <c r="G36" s="5">
        <f t="shared" si="2"/>
        <v>6.2378210361024857E-3</v>
      </c>
      <c r="H36" s="62">
        <v>147.42399599999999</v>
      </c>
      <c r="I36" s="5">
        <f t="shared" si="3"/>
        <v>1.1570913138325263E-2</v>
      </c>
    </row>
    <row r="37" spans="1:9" ht="13.8" thickBot="1">
      <c r="A37" s="13">
        <v>45496</v>
      </c>
      <c r="B37" s="35">
        <v>689.63171386718705</v>
      </c>
      <c r="C37" s="5">
        <f t="shared" si="0"/>
        <v>-5.2801668466265833E-3</v>
      </c>
      <c r="D37" s="24">
        <v>110.18409729003906</v>
      </c>
      <c r="E37" s="5">
        <f t="shared" si="1"/>
        <v>-5.1087726627449331E-4</v>
      </c>
      <c r="F37" s="36">
        <v>83.840400695800696</v>
      </c>
      <c r="G37" s="5">
        <f t="shared" si="2"/>
        <v>6.8609494387114524E-4</v>
      </c>
      <c r="H37" s="62">
        <v>146.90699770000001</v>
      </c>
      <c r="I37" s="5">
        <f t="shared" si="3"/>
        <v>-3.5130437689279456E-3</v>
      </c>
    </row>
    <row r="38" spans="1:9" ht="13.8" thickBot="1">
      <c r="A38" s="13">
        <v>45497</v>
      </c>
      <c r="B38" s="35">
        <v>691.09661865234295</v>
      </c>
      <c r="C38" s="5">
        <f t="shared" si="0"/>
        <v>2.1219313029355643E-3</v>
      </c>
      <c r="D38" s="24">
        <v>111.57949829101563</v>
      </c>
      <c r="E38" s="5">
        <f t="shared" si="1"/>
        <v>1.258474740868735E-2</v>
      </c>
      <c r="F38" s="36">
        <v>83.311096191406193</v>
      </c>
      <c r="G38" s="5">
        <f t="shared" si="2"/>
        <v>-6.3332519714657878E-3</v>
      </c>
      <c r="H38" s="62">
        <v>147.69500729999999</v>
      </c>
      <c r="I38" s="5">
        <f t="shared" si="3"/>
        <v>5.3496681350350727E-3</v>
      </c>
    </row>
    <row r="39" spans="1:9" ht="13.8" thickBot="1">
      <c r="A39" s="13">
        <v>45498</v>
      </c>
      <c r="B39" s="35">
        <v>689.96569824218705</v>
      </c>
      <c r="C39" s="5">
        <f t="shared" si="0"/>
        <v>-1.6377547183855381E-3</v>
      </c>
      <c r="D39" s="24">
        <v>110.95500183105469</v>
      </c>
      <c r="E39" s="5">
        <f t="shared" si="1"/>
        <v>-5.6125957906284392E-3</v>
      </c>
      <c r="F39" s="36">
        <v>82.956497192382798</v>
      </c>
      <c r="G39" s="5">
        <f t="shared" si="2"/>
        <v>-4.2654077012725397E-3</v>
      </c>
      <c r="H39" s="62">
        <v>147.46699520000001</v>
      </c>
      <c r="I39" s="5">
        <f t="shared" si="3"/>
        <v>-1.5449966013539151E-3</v>
      </c>
    </row>
    <row r="40" spans="1:9" ht="13.8" thickBot="1">
      <c r="A40" s="13">
        <v>45499</v>
      </c>
      <c r="B40" s="35">
        <v>694.27917480468705</v>
      </c>
      <c r="C40" s="5">
        <f t="shared" si="0"/>
        <v>6.2322651261666456E-3</v>
      </c>
      <c r="D40" s="24">
        <v>112.08480072021484</v>
      </c>
      <c r="E40" s="5">
        <f t="shared" si="1"/>
        <v>1.013100387918903E-2</v>
      </c>
      <c r="F40" s="36">
        <v>84.010597229003906</v>
      </c>
      <c r="G40" s="5">
        <f t="shared" si="2"/>
        <v>1.2626608194179807E-2</v>
      </c>
      <c r="H40" s="62">
        <v>150.4869995</v>
      </c>
      <c r="I40" s="5">
        <f t="shared" si="3"/>
        <v>2.0272309012349585E-2</v>
      </c>
    </row>
    <row r="41" spans="1:9" ht="13.8" thickBot="1">
      <c r="A41" s="13">
        <v>45502</v>
      </c>
      <c r="B41" s="35">
        <v>694.57269287109295</v>
      </c>
      <c r="C41" s="5">
        <f t="shared" si="0"/>
        <v>4.2267728849579934E-4</v>
      </c>
      <c r="D41" s="24">
        <v>112.75160217285156</v>
      </c>
      <c r="E41" s="5">
        <f t="shared" si="1"/>
        <v>5.9314541507912728E-3</v>
      </c>
      <c r="F41" s="36">
        <v>84.230300903320298</v>
      </c>
      <c r="G41" s="5">
        <f t="shared" si="2"/>
        <v>2.6117763474336067E-3</v>
      </c>
      <c r="H41" s="62">
        <v>151.56799319999999</v>
      </c>
      <c r="I41" s="5">
        <f t="shared" si="3"/>
        <v>7.1576258708415542E-3</v>
      </c>
    </row>
    <row r="42" spans="1:9" ht="13.8" thickBot="1">
      <c r="A42" s="13">
        <v>45503</v>
      </c>
      <c r="B42" s="35">
        <v>696.63092041015602</v>
      </c>
      <c r="C42" s="5">
        <f t="shared" si="0"/>
        <v>2.958918480510545E-3</v>
      </c>
      <c r="D42" s="24">
        <v>113.2947998046875</v>
      </c>
      <c r="E42" s="5">
        <f t="shared" si="1"/>
        <v>4.8060811644615549E-3</v>
      </c>
      <c r="F42" s="36">
        <v>84.454902648925696</v>
      </c>
      <c r="G42" s="5">
        <f t="shared" si="2"/>
        <v>2.6629707123596541E-3</v>
      </c>
      <c r="H42" s="62">
        <v>151.7120056</v>
      </c>
      <c r="I42" s="5">
        <f t="shared" si="3"/>
        <v>9.4969936292469889E-4</v>
      </c>
    </row>
    <row r="43" spans="1:9" ht="13.8" thickBot="1">
      <c r="A43" s="13">
        <v>45504</v>
      </c>
      <c r="B43" s="35">
        <v>700.21490478515602</v>
      </c>
      <c r="C43" s="5">
        <f t="shared" si="0"/>
        <v>5.1315502041078863E-3</v>
      </c>
      <c r="D43" s="24">
        <v>113.84960174560547</v>
      </c>
      <c r="E43" s="5">
        <f t="shared" si="1"/>
        <v>4.8850250362547695E-3</v>
      </c>
      <c r="F43" s="36">
        <v>84.901298522949205</v>
      </c>
      <c r="G43" s="5">
        <f t="shared" si="2"/>
        <v>5.2716925006606108E-3</v>
      </c>
      <c r="H43" s="62">
        <v>152.07400509999999</v>
      </c>
      <c r="I43" s="5">
        <f t="shared" si="3"/>
        <v>2.3832543869238554E-3</v>
      </c>
    </row>
    <row r="44" spans="1:9" ht="13.8" thickBot="1">
      <c r="A44" s="12">
        <v>45505</v>
      </c>
      <c r="B44" s="35">
        <v>700.78948974609295</v>
      </c>
      <c r="C44" s="5">
        <f t="shared" si="0"/>
        <v>8.2024723890252837E-4</v>
      </c>
      <c r="D44" s="24">
        <v>113.12539672851563</v>
      </c>
      <c r="E44" s="5">
        <f t="shared" si="1"/>
        <v>-6.3813854349716636E-3</v>
      </c>
      <c r="F44" s="36">
        <v>85.3406982421875</v>
      </c>
      <c r="G44" s="5">
        <f t="shared" si="2"/>
        <v>5.1620716780849596E-3</v>
      </c>
      <c r="H44" s="62">
        <v>151.36700440000001</v>
      </c>
      <c r="I44" s="5">
        <f t="shared" si="3"/>
        <v>-4.6598973587660868E-3</v>
      </c>
    </row>
    <row r="45" spans="1:9" ht="13.8" thickBot="1">
      <c r="A45" s="12">
        <v>45506</v>
      </c>
      <c r="B45" s="35">
        <v>696.87829589843705</v>
      </c>
      <c r="C45" s="5">
        <f t="shared" si="0"/>
        <v>-5.5967578236314642E-3</v>
      </c>
      <c r="D45" s="24">
        <v>112.68710327148438</v>
      </c>
      <c r="E45" s="5">
        <f t="shared" si="1"/>
        <v>-3.8819286570197613E-3</v>
      </c>
      <c r="F45" s="36">
        <v>84.446601867675696</v>
      </c>
      <c r="G45" s="5">
        <f t="shared" si="2"/>
        <v>-1.0532055562003945E-2</v>
      </c>
      <c r="H45" s="62">
        <v>149.05700680000001</v>
      </c>
      <c r="I45" s="5">
        <f t="shared" si="3"/>
        <v>-1.5378551912471738E-2</v>
      </c>
    </row>
    <row r="46" spans="1:9" ht="13.8" thickBot="1">
      <c r="A46" s="12">
        <v>45509</v>
      </c>
      <c r="B46" s="35">
        <v>686.48876953125</v>
      </c>
      <c r="C46" s="5">
        <f t="shared" si="0"/>
        <v>-1.5020918125656115E-2</v>
      </c>
      <c r="D46" s="24">
        <v>109.65879821777344</v>
      </c>
      <c r="E46" s="5">
        <f t="shared" si="1"/>
        <v>-2.724126960023086E-2</v>
      </c>
      <c r="F46" s="36">
        <v>82.247901916503906</v>
      </c>
      <c r="G46" s="5">
        <f t="shared" si="2"/>
        <v>-2.6381523344606632E-2</v>
      </c>
      <c r="H46" s="62">
        <v>143.92599490000001</v>
      </c>
      <c r="I46" s="5">
        <f t="shared" si="3"/>
        <v>-3.5029585581350844E-2</v>
      </c>
    </row>
    <row r="47" spans="1:9" ht="13.8" thickBot="1">
      <c r="A47" s="12">
        <v>45510</v>
      </c>
      <c r="B47" s="35">
        <v>685.12322998046795</v>
      </c>
      <c r="C47" s="5">
        <f t="shared" si="0"/>
        <v>-1.9911461877365551E-3</v>
      </c>
      <c r="D47" s="24">
        <v>109.07890319824219</v>
      </c>
      <c r="E47" s="5">
        <f t="shared" si="1"/>
        <v>-5.3022078438730849E-3</v>
      </c>
      <c r="F47" s="36">
        <v>82.185699462890597</v>
      </c>
      <c r="G47" s="5">
        <f t="shared" si="2"/>
        <v>-7.565662499456065E-4</v>
      </c>
      <c r="H47" s="62">
        <v>143.3399963</v>
      </c>
      <c r="I47" s="5">
        <f t="shared" si="3"/>
        <v>-4.0798384130662111E-3</v>
      </c>
    </row>
    <row r="48" spans="1:9" ht="13.8" thickBot="1">
      <c r="A48" s="12">
        <v>45511</v>
      </c>
      <c r="B48" s="35">
        <v>690.22161865234295</v>
      </c>
      <c r="C48" s="5">
        <f t="shared" si="0"/>
        <v>7.4140126103843899E-3</v>
      </c>
      <c r="D48" s="24">
        <v>111.83660125732422</v>
      </c>
      <c r="E48" s="5">
        <f t="shared" si="1"/>
        <v>2.4967385788437987E-2</v>
      </c>
      <c r="F48" s="36">
        <v>83.418601989746094</v>
      </c>
      <c r="G48" s="5">
        <f t="shared" si="2"/>
        <v>1.4890015478114416E-2</v>
      </c>
      <c r="H48" s="62">
        <v>146.4810028</v>
      </c>
      <c r="I48" s="5">
        <f t="shared" si="3"/>
        <v>2.1676341575601814E-2</v>
      </c>
    </row>
    <row r="49" spans="1:9" ht="13.8" thickBot="1">
      <c r="A49" s="12">
        <v>45512</v>
      </c>
      <c r="B49" s="35">
        <v>688.36602783203102</v>
      </c>
      <c r="C49" s="5">
        <f t="shared" si="0"/>
        <v>-2.6920188145609669E-3</v>
      </c>
      <c r="D49" s="24">
        <v>110.84339904785156</v>
      </c>
      <c r="E49" s="5">
        <f t="shared" si="1"/>
        <v>-8.9205029127511926E-3</v>
      </c>
      <c r="F49" s="36">
        <v>83.282997131347599</v>
      </c>
      <c r="G49" s="5">
        <f t="shared" si="2"/>
        <v>-1.6269176663457447E-3</v>
      </c>
      <c r="H49" s="62">
        <v>146.07099909999999</v>
      </c>
      <c r="I49" s="5">
        <f t="shared" si="3"/>
        <v>-2.8029476179997339E-3</v>
      </c>
    </row>
    <row r="50" spans="1:9" ht="13.8" thickBot="1">
      <c r="A50" s="12">
        <v>45513</v>
      </c>
      <c r="B50" s="35">
        <v>691.51837158203102</v>
      </c>
      <c r="C50" s="5">
        <f t="shared" si="0"/>
        <v>4.5690048170887263E-3</v>
      </c>
      <c r="D50" s="24">
        <v>111.52870178222656</v>
      </c>
      <c r="E50" s="5">
        <f t="shared" si="1"/>
        <v>6.1635870809211056E-3</v>
      </c>
      <c r="F50" s="36">
        <v>83.838798522949205</v>
      </c>
      <c r="G50" s="5">
        <f t="shared" si="2"/>
        <v>6.6514776074338916E-3</v>
      </c>
      <c r="H50" s="62">
        <v>147.56799319999999</v>
      </c>
      <c r="I50" s="5">
        <f t="shared" si="3"/>
        <v>1.0196241702288916E-2</v>
      </c>
    </row>
    <row r="51" spans="1:9" ht="13.8" thickBot="1">
      <c r="A51" s="13">
        <v>45516</v>
      </c>
      <c r="B51" s="35">
        <v>692.70880126953102</v>
      </c>
      <c r="C51" s="5">
        <f t="shared" si="0"/>
        <v>1.7199922156211527E-3</v>
      </c>
      <c r="D51" s="24">
        <v>111.71620178222656</v>
      </c>
      <c r="E51" s="5">
        <f t="shared" si="1"/>
        <v>1.6797699843911647E-3</v>
      </c>
      <c r="F51" s="36">
        <v>83.717201232910099</v>
      </c>
      <c r="G51" s="5">
        <f t="shared" si="2"/>
        <v>-1.4514229459163018E-3</v>
      </c>
      <c r="H51" s="62">
        <v>147.95500179999999</v>
      </c>
      <c r="I51" s="5">
        <f t="shared" si="3"/>
        <v>2.6191452292054665E-3</v>
      </c>
    </row>
    <row r="52" spans="1:9" ht="13.8" thickBot="1">
      <c r="A52" s="13">
        <v>45517</v>
      </c>
      <c r="B52" s="35">
        <v>689.10931396484295</v>
      </c>
      <c r="C52" s="5">
        <f t="shared" si="0"/>
        <v>-5.2097962914713445E-3</v>
      </c>
      <c r="D52" s="24">
        <v>111.06379699707031</v>
      </c>
      <c r="E52" s="5">
        <f t="shared" si="1"/>
        <v>-5.8569589167434318E-3</v>
      </c>
      <c r="F52" s="36">
        <v>83.102897644042898</v>
      </c>
      <c r="G52" s="5">
        <f t="shared" si="2"/>
        <v>-7.3648963133265662E-3</v>
      </c>
      <c r="H52" s="62">
        <v>147.29200739999999</v>
      </c>
      <c r="I52" s="5">
        <f t="shared" si="3"/>
        <v>-4.4911243381606973E-3</v>
      </c>
    </row>
    <row r="53" spans="1:9" ht="13.8" thickBot="1">
      <c r="A53" s="13">
        <v>45518</v>
      </c>
      <c r="B53" s="35">
        <v>688.24542236328102</v>
      </c>
      <c r="C53" s="5">
        <f t="shared" si="0"/>
        <v>-1.2544215256383526E-3</v>
      </c>
      <c r="D53" s="24">
        <v>111.10579681396484</v>
      </c>
      <c r="E53" s="5">
        <f t="shared" si="1"/>
        <v>3.7808789829780321E-4</v>
      </c>
      <c r="F53" s="36">
        <v>82.998100280761705</v>
      </c>
      <c r="G53" s="5">
        <f t="shared" si="2"/>
        <v>-1.261851265145328E-3</v>
      </c>
      <c r="H53" s="62">
        <v>146.8370056</v>
      </c>
      <c r="I53" s="5">
        <f t="shared" si="3"/>
        <v>-3.0938951469354032E-3</v>
      </c>
    </row>
    <row r="54" spans="1:9" ht="13.8" thickBot="1">
      <c r="A54" s="13">
        <v>45520</v>
      </c>
      <c r="B54" s="35">
        <v>693.648193359375</v>
      </c>
      <c r="C54" s="5">
        <f t="shared" si="0"/>
        <v>7.8194131055581845E-3</v>
      </c>
      <c r="D54" s="24">
        <v>112.95770263671875</v>
      </c>
      <c r="E54" s="5">
        <f t="shared" si="1"/>
        <v>1.6530563862596694E-2</v>
      </c>
      <c r="F54" s="36">
        <v>84.380798339843693</v>
      </c>
      <c r="G54" s="5">
        <f t="shared" si="2"/>
        <v>1.6522148545258217E-2</v>
      </c>
      <c r="H54" s="62">
        <v>149.44599909999999</v>
      </c>
      <c r="I54" s="5">
        <f t="shared" si="3"/>
        <v>1.7611951388218493E-2</v>
      </c>
    </row>
    <row r="55" spans="1:9" ht="13.8" thickBot="1">
      <c r="A55" s="13">
        <v>45523</v>
      </c>
      <c r="B55" s="35">
        <v>695.70422363281205</v>
      </c>
      <c r="C55" s="5">
        <f t="shared" si="0"/>
        <v>2.9596979847026309E-3</v>
      </c>
      <c r="D55" s="24">
        <v>113.03230285644531</v>
      </c>
      <c r="E55" s="5">
        <f t="shared" si="1"/>
        <v>6.6020815631616131E-4</v>
      </c>
      <c r="F55" s="36">
        <v>84.681900024414006</v>
      </c>
      <c r="G55" s="5">
        <f t="shared" si="2"/>
        <v>3.5620158183593104E-3</v>
      </c>
      <c r="H55" s="62">
        <v>149.40499879999999</v>
      </c>
      <c r="I55" s="5">
        <f t="shared" si="3"/>
        <v>-2.7438623625379718E-4</v>
      </c>
    </row>
    <row r="56" spans="1:9" ht="13.8" thickBot="1">
      <c r="A56" s="13">
        <v>45524</v>
      </c>
      <c r="B56" s="35">
        <v>698.54962158203102</v>
      </c>
      <c r="C56" s="5">
        <f t="shared" si="0"/>
        <v>4.081612411168673E-3</v>
      </c>
      <c r="D56" s="24">
        <v>113.93299865722656</v>
      </c>
      <c r="E56" s="5">
        <f t="shared" si="1"/>
        <v>7.9369006892368518E-3</v>
      </c>
      <c r="F56" s="36">
        <v>85.160697937011705</v>
      </c>
      <c r="G56" s="5">
        <f t="shared" si="2"/>
        <v>5.6381518736732857E-3</v>
      </c>
      <c r="H56" s="62">
        <v>150.29800420000001</v>
      </c>
      <c r="I56" s="5">
        <f t="shared" si="3"/>
        <v>5.9592865859986709E-3</v>
      </c>
    </row>
    <row r="57" spans="1:9" ht="13.8" thickBot="1">
      <c r="A57" s="13">
        <v>45525</v>
      </c>
      <c r="B57" s="35">
        <v>699.72021484375</v>
      </c>
      <c r="C57" s="5">
        <f t="shared" si="0"/>
        <v>1.6743456873596671E-3</v>
      </c>
      <c r="D57" s="24">
        <v>113.81590270996094</v>
      </c>
      <c r="E57" s="5">
        <f t="shared" si="1"/>
        <v>-1.0282899884969778E-3</v>
      </c>
      <c r="F57" s="36">
        <v>85.312400817871094</v>
      </c>
      <c r="G57" s="5">
        <f t="shared" si="2"/>
        <v>1.7797872158417675E-3</v>
      </c>
      <c r="H57" s="62">
        <v>151.23199460000001</v>
      </c>
      <c r="I57" s="5">
        <f t="shared" si="3"/>
        <v>6.1950279627298972E-3</v>
      </c>
    </row>
    <row r="58" spans="1:9" ht="13.8" thickBot="1">
      <c r="A58" s="13">
        <v>45526</v>
      </c>
      <c r="B58" s="35">
        <v>700.36370849609295</v>
      </c>
      <c r="C58" s="5">
        <f t="shared" si="0"/>
        <v>9.1922160797169731E-4</v>
      </c>
      <c r="D58" s="24">
        <v>115.22689819335938</v>
      </c>
      <c r="E58" s="5">
        <f t="shared" si="1"/>
        <v>1.2320957721322483E-2</v>
      </c>
      <c r="F58" s="36">
        <v>85.277603149414006</v>
      </c>
      <c r="G58" s="5">
        <f t="shared" si="2"/>
        <v>-4.0796844047676702E-4</v>
      </c>
      <c r="H58" s="62">
        <v>151.87899780000001</v>
      </c>
      <c r="I58" s="5">
        <f t="shared" si="3"/>
        <v>4.2690908536195653E-3</v>
      </c>
    </row>
    <row r="59" spans="1:9" ht="13.8" thickBot="1">
      <c r="A59" s="13">
        <v>45527</v>
      </c>
      <c r="B59" s="35">
        <v>701.256103515625</v>
      </c>
      <c r="C59" s="5">
        <f t="shared" si="0"/>
        <v>1.2733768921762299E-3</v>
      </c>
      <c r="D59" s="24">
        <v>114.57170104980469</v>
      </c>
      <c r="E59" s="5">
        <f t="shared" si="1"/>
        <v>-5.7023752201850776E-3</v>
      </c>
      <c r="F59" s="36">
        <v>85.411903381347599</v>
      </c>
      <c r="G59" s="5">
        <f t="shared" si="2"/>
        <v>1.573620574304626E-3</v>
      </c>
      <c r="H59" s="62">
        <v>151.27400209999999</v>
      </c>
      <c r="I59" s="5">
        <f t="shared" si="3"/>
        <v>-3.9913608203093641E-3</v>
      </c>
    </row>
    <row r="60" spans="1:9" ht="13.8" thickBot="1">
      <c r="A60" s="13">
        <v>45530</v>
      </c>
      <c r="B60" s="35">
        <v>704.92138671875</v>
      </c>
      <c r="C60" s="5">
        <f t="shared" si="0"/>
        <v>5.2131278297868327E-3</v>
      </c>
      <c r="D60" s="24">
        <v>115.51069641113281</v>
      </c>
      <c r="E60" s="5">
        <f t="shared" si="1"/>
        <v>8.1622982454759418E-3</v>
      </c>
      <c r="F60" s="36">
        <v>85.762199401855398</v>
      </c>
      <c r="G60" s="5">
        <f t="shared" si="2"/>
        <v>4.0928680660530774E-3</v>
      </c>
      <c r="H60" s="62">
        <v>151.9810028</v>
      </c>
      <c r="I60" s="5">
        <f t="shared" si="3"/>
        <v>4.6627555654571422E-3</v>
      </c>
    </row>
    <row r="61" spans="1:9" ht="13.8" thickBot="1">
      <c r="A61" s="13">
        <v>45531</v>
      </c>
      <c r="B61" s="35">
        <v>707.015380859375</v>
      </c>
      <c r="C61" s="5">
        <f t="shared" si="0"/>
        <v>2.9661323707194038E-3</v>
      </c>
      <c r="D61" s="24">
        <v>115.54609680175781</v>
      </c>
      <c r="E61" s="5">
        <f t="shared" si="1"/>
        <v>3.0642155471593841E-4</v>
      </c>
      <c r="F61" s="36">
        <v>85.711898803710895</v>
      </c>
      <c r="G61" s="5">
        <f t="shared" si="2"/>
        <v>-5.8668452102880048E-4</v>
      </c>
      <c r="H61" s="62">
        <v>152.44500729999999</v>
      </c>
      <c r="I61" s="5">
        <f t="shared" si="3"/>
        <v>3.0483916874803146E-3</v>
      </c>
    </row>
    <row r="62" spans="1:9" ht="13.8" thickBot="1">
      <c r="A62" s="13">
        <v>45532</v>
      </c>
      <c r="B62" s="35">
        <v>706.41668701171795</v>
      </c>
      <c r="C62" s="5">
        <f t="shared" si="0"/>
        <v>-8.4714914437137418E-4</v>
      </c>
      <c r="D62" s="24">
        <v>115.82340240478516</v>
      </c>
      <c r="E62" s="5">
        <f t="shared" si="1"/>
        <v>2.3970811776094746E-3</v>
      </c>
      <c r="F62" s="36">
        <v>85.525100708007798</v>
      </c>
      <c r="G62" s="5">
        <f t="shared" si="2"/>
        <v>-2.1817500929453802E-3</v>
      </c>
      <c r="H62" s="62">
        <v>152.51400760000001</v>
      </c>
      <c r="I62" s="5">
        <f t="shared" si="3"/>
        <v>4.5252180002039336E-4</v>
      </c>
    </row>
    <row r="63" spans="1:9" ht="13.8" thickBot="1">
      <c r="A63" s="13">
        <v>45533</v>
      </c>
      <c r="B63" s="35">
        <v>707.403076171875</v>
      </c>
      <c r="C63" s="5">
        <f t="shared" si="0"/>
        <v>1.3953537019152989E-3</v>
      </c>
      <c r="D63" s="24">
        <v>115.65280151367188</v>
      </c>
      <c r="E63" s="5">
        <f t="shared" si="1"/>
        <v>-1.4740255725190848E-3</v>
      </c>
      <c r="F63" s="36">
        <v>85.624397277832003</v>
      </c>
      <c r="G63" s="5">
        <f t="shared" si="2"/>
        <v>1.1603490764965775E-3</v>
      </c>
      <c r="H63" s="62">
        <v>152.35200499999999</v>
      </c>
      <c r="I63" s="5">
        <f t="shared" si="3"/>
        <v>-1.0627791131382117E-3</v>
      </c>
    </row>
    <row r="64" spans="1:9" ht="13.8" thickBot="1">
      <c r="A64" s="13">
        <v>45534</v>
      </c>
      <c r="B64" s="35">
        <v>708.85437011718705</v>
      </c>
      <c r="C64" s="5">
        <f t="shared" si="0"/>
        <v>2.0494783022836555E-3</v>
      </c>
      <c r="D64" s="24">
        <v>115.77940368652344</v>
      </c>
      <c r="E64" s="5">
        <f t="shared" si="1"/>
        <v>1.094075782328072E-3</v>
      </c>
      <c r="F64" s="36">
        <v>85.886802673339801</v>
      </c>
      <c r="G64" s="5">
        <f t="shared" si="2"/>
        <v>3.059923787218657E-3</v>
      </c>
      <c r="H64" s="62">
        <v>153.6029968</v>
      </c>
      <c r="I64" s="5">
        <f t="shared" si="3"/>
        <v>8.1776651090696394E-3</v>
      </c>
    </row>
    <row r="65" spans="1:9" ht="13.8" thickBot="1">
      <c r="A65" s="12">
        <v>45537</v>
      </c>
      <c r="B65" s="35">
        <v>710.151611328125</v>
      </c>
      <c r="C65" s="5">
        <f t="shared" si="0"/>
        <v>1.828380696470174E-3</v>
      </c>
      <c r="D65" s="24">
        <v>116.70860290527344</v>
      </c>
      <c r="E65" s="5">
        <f t="shared" si="1"/>
        <v>7.9935664650252845E-3</v>
      </c>
      <c r="F65" s="36">
        <v>86.386802673339801</v>
      </c>
      <c r="G65" s="5">
        <f t="shared" si="2"/>
        <v>5.8047360528586719E-3</v>
      </c>
      <c r="H65" s="62">
        <v>153.4279938</v>
      </c>
      <c r="I65" s="5">
        <f t="shared" si="3"/>
        <v>-1.1399697379722781E-3</v>
      </c>
    </row>
    <row r="66" spans="1:9" ht="13.8" thickBot="1">
      <c r="A66" s="12">
        <v>45538</v>
      </c>
      <c r="B66" s="35">
        <v>710.29547119140602</v>
      </c>
      <c r="C66" s="5">
        <f t="shared" si="0"/>
        <v>2.0255575240115775E-4</v>
      </c>
      <c r="D66" s="24">
        <v>117.59449768066406</v>
      </c>
      <c r="E66" s="5">
        <f t="shared" si="1"/>
        <v>7.5619912389871978E-3</v>
      </c>
      <c r="F66" s="36">
        <v>86.413902282714801</v>
      </c>
      <c r="G66" s="5">
        <f t="shared" si="2"/>
        <v>3.1365160928090429E-4</v>
      </c>
      <c r="H66" s="62">
        <v>154.4869995</v>
      </c>
      <c r="I66" s="5">
        <f t="shared" si="3"/>
        <v>6.8785859643493647E-3</v>
      </c>
    </row>
    <row r="67" spans="1:9" ht="13.8" thickBot="1">
      <c r="A67" s="12">
        <v>45539</v>
      </c>
      <c r="B67" s="35">
        <v>709.96722412109295</v>
      </c>
      <c r="C67" s="5">
        <f t="shared" si="0"/>
        <v>-4.622343137517872E-4</v>
      </c>
      <c r="D67" s="24">
        <v>117.29499816894531</v>
      </c>
      <c r="E67" s="5">
        <f t="shared" si="1"/>
        <v>-2.5501325458900429E-3</v>
      </c>
      <c r="F67" s="36">
        <v>86.208297729492102</v>
      </c>
      <c r="G67" s="5">
        <f t="shared" si="2"/>
        <v>-2.3821345161226326E-3</v>
      </c>
      <c r="H67" s="62">
        <v>154.22599790000001</v>
      </c>
      <c r="I67" s="5">
        <f t="shared" si="3"/>
        <v>-1.6909016749214651E-3</v>
      </c>
    </row>
    <row r="68" spans="1:9" ht="13.8" thickBot="1">
      <c r="A68" s="12">
        <v>45540</v>
      </c>
      <c r="B68" s="35">
        <v>711.15521240234295</v>
      </c>
      <c r="C68" s="5">
        <f t="shared" si="0"/>
        <v>1.671901769257538E-3</v>
      </c>
      <c r="D68" s="24">
        <v>117.52320098876953</v>
      </c>
      <c r="E68" s="5">
        <f t="shared" si="1"/>
        <v>1.943655921770793E-3</v>
      </c>
      <c r="F68" s="36">
        <v>86.2322998046875</v>
      </c>
      <c r="G68" s="5">
        <f t="shared" si="2"/>
        <v>2.7838079539998617E-4</v>
      </c>
      <c r="H68" s="62">
        <v>154.60400390000001</v>
      </c>
      <c r="I68" s="5">
        <f t="shared" si="3"/>
        <v>2.4479887742008223E-3</v>
      </c>
    </row>
    <row r="69" spans="1:9" ht="13.8" thickBot="1">
      <c r="A69" s="12">
        <v>45541</v>
      </c>
      <c r="B69" s="35">
        <v>708.15460205078102</v>
      </c>
      <c r="C69" s="5">
        <f t="shared" si="0"/>
        <v>-4.2282731951652141E-3</v>
      </c>
      <c r="D69" s="24">
        <v>116.91889953613281</v>
      </c>
      <c r="E69" s="5">
        <f t="shared" si="1"/>
        <v>-5.1552412270253981E-3</v>
      </c>
      <c r="F69" s="36">
        <v>85.139297485351506</v>
      </c>
      <c r="G69" s="5">
        <f t="shared" si="2"/>
        <v>-1.2756106117133964E-2</v>
      </c>
      <c r="H69" s="62">
        <v>152.5939941</v>
      </c>
      <c r="I69" s="5">
        <f t="shared" si="3"/>
        <v>-1.3086273332582509E-2</v>
      </c>
    </row>
    <row r="70" spans="1:9" ht="13.8" thickBot="1">
      <c r="A70" s="12">
        <v>45544</v>
      </c>
      <c r="B70" s="35">
        <v>707.96911621093705</v>
      </c>
      <c r="C70" s="5">
        <f t="shared" si="0"/>
        <v>-2.6196276287552227E-4</v>
      </c>
      <c r="D70" s="24">
        <v>116.96510314941406</v>
      </c>
      <c r="E70" s="5">
        <f t="shared" si="1"/>
        <v>3.9509853903449535E-4</v>
      </c>
      <c r="F70" s="36">
        <v>85.053497314453097</v>
      </c>
      <c r="G70" s="5">
        <f t="shared" si="2"/>
        <v>-1.0082703943854034E-3</v>
      </c>
      <c r="H70" s="62">
        <v>152.4160004</v>
      </c>
      <c r="I70" s="5">
        <f t="shared" si="3"/>
        <v>-1.1671336901406145E-3</v>
      </c>
    </row>
    <row r="71" spans="1:9" ht="13.8" thickBot="1">
      <c r="A71" s="13">
        <v>45545</v>
      </c>
      <c r="B71" s="35">
        <v>709.07647705078102</v>
      </c>
      <c r="C71" s="5">
        <f t="shared" si="0"/>
        <v>1.5629152237902275E-3</v>
      </c>
      <c r="D71" s="24">
        <v>118.42500305175781</v>
      </c>
      <c r="E71" s="5">
        <f t="shared" si="1"/>
        <v>1.2404247951279054E-2</v>
      </c>
      <c r="F71" s="36">
        <v>85.650299072265597</v>
      </c>
      <c r="G71" s="5">
        <f t="shared" si="2"/>
        <v>6.9922778755933572E-3</v>
      </c>
      <c r="H71" s="62">
        <v>153.4589996</v>
      </c>
      <c r="I71" s="5">
        <f t="shared" si="3"/>
        <v>6.8198005228282278E-3</v>
      </c>
    </row>
    <row r="72" spans="1:9" ht="13.8" thickBot="1">
      <c r="A72" s="13">
        <v>45546</v>
      </c>
      <c r="B72" s="35">
        <v>708.01739501953102</v>
      </c>
      <c r="C72" s="5">
        <f t="shared" si="0"/>
        <v>-1.4947241665594986E-3</v>
      </c>
      <c r="D72" s="24">
        <v>118.70149993896484</v>
      </c>
      <c r="E72" s="5">
        <f t="shared" si="1"/>
        <v>2.3320633419789726E-3</v>
      </c>
      <c r="F72" s="36">
        <v>85.702903747558594</v>
      </c>
      <c r="G72" s="5">
        <f t="shared" si="2"/>
        <v>6.1399117238453583E-4</v>
      </c>
      <c r="H72" s="62">
        <v>152.8000031</v>
      </c>
      <c r="I72" s="5">
        <f t="shared" si="3"/>
        <v>-4.3035307452964754E-3</v>
      </c>
    </row>
    <row r="73" spans="1:9" ht="13.8" thickBot="1">
      <c r="A73" s="13">
        <v>45547</v>
      </c>
      <c r="B73" s="35">
        <v>714.46441650390602</v>
      </c>
      <c r="C73" s="5">
        <f t="shared" si="0"/>
        <v>9.0645315472915565E-3</v>
      </c>
      <c r="D73" s="24">
        <v>120.3927001953125</v>
      </c>
      <c r="E73" s="5">
        <f t="shared" si="1"/>
        <v>1.4146963508298411E-2</v>
      </c>
      <c r="F73" s="36">
        <v>86.698097229003906</v>
      </c>
      <c r="G73" s="5">
        <f t="shared" si="2"/>
        <v>1.1545229205018669E-2</v>
      </c>
      <c r="H73" s="62">
        <v>154.4309998</v>
      </c>
      <c r="I73" s="5">
        <f t="shared" si="3"/>
        <v>1.0617496324248632E-2</v>
      </c>
    </row>
    <row r="74" spans="1:9" ht="13.8" thickBot="1">
      <c r="A74" s="13">
        <v>45548</v>
      </c>
      <c r="B74" s="35">
        <v>715.74932861328102</v>
      </c>
      <c r="C74" s="5">
        <f t="shared" si="0"/>
        <v>1.7968117834976486E-3</v>
      </c>
      <c r="D74" s="24">
        <v>121.25250244140625</v>
      </c>
      <c r="E74" s="5">
        <f t="shared" si="1"/>
        <v>7.1162668669952694E-3</v>
      </c>
      <c r="F74" s="36">
        <v>86.689399719238196</v>
      </c>
      <c r="G74" s="5">
        <f t="shared" si="2"/>
        <v>-1.003245323461548E-4</v>
      </c>
      <c r="H74" s="62">
        <v>156.12100219999999</v>
      </c>
      <c r="I74" s="5">
        <f t="shared" si="3"/>
        <v>1.0883968368141509E-2</v>
      </c>
    </row>
    <row r="75" spans="1:9" ht="13.8" thickBot="1">
      <c r="A75" s="13">
        <v>45551</v>
      </c>
      <c r="B75" s="35">
        <v>717.16607666015602</v>
      </c>
      <c r="C75" s="5">
        <f t="shared" si="0"/>
        <v>1.9774349599623407E-3</v>
      </c>
      <c r="D75" s="24">
        <v>120.57959747314453</v>
      </c>
      <c r="E75" s="5">
        <f t="shared" si="1"/>
        <v>-5.5650734965008919E-3</v>
      </c>
      <c r="F75" s="36">
        <v>87.036598205566406</v>
      </c>
      <c r="G75" s="5">
        <f t="shared" si="2"/>
        <v>3.9970868233047329E-3</v>
      </c>
      <c r="H75" s="62">
        <v>156.02900700000001</v>
      </c>
      <c r="I75" s="5">
        <f t="shared" si="3"/>
        <v>-5.8942944066684485E-4</v>
      </c>
    </row>
    <row r="76" spans="1:9" ht="13.8" thickBot="1">
      <c r="A76" s="13">
        <v>45552</v>
      </c>
      <c r="B76" s="35">
        <v>716.57940673828102</v>
      </c>
      <c r="C76" s="5">
        <f t="shared" si="0"/>
        <v>-8.1837391839901846E-4</v>
      </c>
      <c r="D76" s="24">
        <v>121.02110290527344</v>
      </c>
      <c r="E76" s="5">
        <f t="shared" si="1"/>
        <v>3.6548397657873021E-3</v>
      </c>
      <c r="F76" s="36">
        <v>87.082298278808594</v>
      </c>
      <c r="G76" s="5">
        <f t="shared" si="2"/>
        <v>5.2492951901617492E-4</v>
      </c>
      <c r="H76" s="62">
        <v>156.04800420000001</v>
      </c>
      <c r="I76" s="5">
        <f t="shared" si="3"/>
        <v>1.2174687235310834E-4</v>
      </c>
    </row>
    <row r="77" spans="1:9" ht="13.8" thickBot="1">
      <c r="A77" s="13">
        <v>45553</v>
      </c>
      <c r="B77" s="35">
        <v>715.709228515625</v>
      </c>
      <c r="C77" s="5">
        <f t="shared" si="0"/>
        <v>-1.2150879484783142E-3</v>
      </c>
      <c r="D77" s="24">
        <v>119.81400299072266</v>
      </c>
      <c r="E77" s="5">
        <f t="shared" si="1"/>
        <v>-1.0024369315226213E-2</v>
      </c>
      <c r="F77" s="36">
        <v>87.296897888183594</v>
      </c>
      <c r="G77" s="5">
        <f t="shared" si="2"/>
        <v>2.4612995406451624E-3</v>
      </c>
      <c r="H77" s="62">
        <v>154.31100459999999</v>
      </c>
      <c r="I77" s="5">
        <f t="shared" si="3"/>
        <v>-1.1193602811001449E-2</v>
      </c>
    </row>
    <row r="78" spans="1:9" ht="13.8" thickBot="1">
      <c r="A78" s="13">
        <v>45554</v>
      </c>
      <c r="B78" s="35">
        <v>718.16778564453102</v>
      </c>
      <c r="C78" s="5">
        <f t="shared" si="0"/>
        <v>3.4292474374838164E-3</v>
      </c>
      <c r="D78" s="24">
        <v>120.14240264892578</v>
      </c>
      <c r="E78" s="5">
        <f t="shared" si="1"/>
        <v>2.7371627138703392E-3</v>
      </c>
      <c r="F78" s="36">
        <v>87.532600402832003</v>
      </c>
      <c r="G78" s="5">
        <f t="shared" si="2"/>
        <v>2.696371719385051E-3</v>
      </c>
      <c r="H78" s="62">
        <v>153.8370056</v>
      </c>
      <c r="I78" s="5">
        <f t="shared" si="3"/>
        <v>-3.0764396209372893E-3</v>
      </c>
    </row>
    <row r="79" spans="1:9" ht="13.8" thickBot="1">
      <c r="A79" s="13">
        <v>45555</v>
      </c>
      <c r="B79" s="35">
        <v>722.290771484375</v>
      </c>
      <c r="C79" s="5">
        <f t="shared" si="0"/>
        <v>5.7245619165222101E-3</v>
      </c>
      <c r="D79" s="24">
        <v>122.01419830322266</v>
      </c>
      <c r="E79" s="5">
        <f t="shared" si="1"/>
        <v>1.545968953173747E-2</v>
      </c>
      <c r="F79" s="36">
        <v>88.711502075195298</v>
      </c>
      <c r="G79" s="5">
        <f t="shared" si="2"/>
        <v>1.3378254804871793E-2</v>
      </c>
      <c r="H79" s="62">
        <v>155.21800229999999</v>
      </c>
      <c r="I79" s="5">
        <f t="shared" si="3"/>
        <v>8.9369585108265582E-3</v>
      </c>
    </row>
    <row r="80" spans="1:9" ht="13.8" thickBot="1">
      <c r="A80" s="13">
        <v>45558</v>
      </c>
      <c r="B80" s="35">
        <v>723.427001953125</v>
      </c>
      <c r="C80" s="5">
        <f t="shared" si="0"/>
        <v>1.57185686386343E-3</v>
      </c>
      <c r="D80" s="24">
        <v>122.76999664306641</v>
      </c>
      <c r="E80" s="5">
        <f t="shared" si="1"/>
        <v>6.1752413531796719E-3</v>
      </c>
      <c r="F80" s="36">
        <v>88.969001770019503</v>
      </c>
      <c r="G80" s="5">
        <f t="shared" si="2"/>
        <v>2.8984595329738729E-3</v>
      </c>
      <c r="H80" s="62">
        <v>156.54200739999999</v>
      </c>
      <c r="I80" s="5">
        <f t="shared" si="3"/>
        <v>8.493796630602405E-3</v>
      </c>
    </row>
    <row r="81" spans="1:9" ht="13.8" thickBot="1">
      <c r="A81" s="13">
        <v>45559</v>
      </c>
      <c r="B81" s="35">
        <v>724.58319091796795</v>
      </c>
      <c r="C81" s="5">
        <f t="shared" si="0"/>
        <v>1.5969351821483512E-3</v>
      </c>
      <c r="D81" s="24">
        <v>123.02300262451172</v>
      </c>
      <c r="E81" s="5">
        <f t="shared" si="1"/>
        <v>2.0586922455644368E-3</v>
      </c>
      <c r="F81" s="36">
        <v>88.902297973632798</v>
      </c>
      <c r="G81" s="5">
        <f t="shared" si="2"/>
        <v>-7.5002318653732362E-4</v>
      </c>
      <c r="H81" s="62">
        <v>156.9409943</v>
      </c>
      <c r="I81" s="5">
        <f t="shared" si="3"/>
        <v>2.5455103675585938E-3</v>
      </c>
    </row>
    <row r="82" spans="1:9" ht="13.8" thickBot="1">
      <c r="A82" s="13">
        <v>45560</v>
      </c>
      <c r="B82" s="35">
        <v>726.58807373046795</v>
      </c>
      <c r="C82" s="5">
        <f t="shared" si="0"/>
        <v>2.7631253966003987E-3</v>
      </c>
      <c r="D82" s="24">
        <v>122.05650329589844</v>
      </c>
      <c r="E82" s="5">
        <f t="shared" si="1"/>
        <v>-7.8872718091702217E-3</v>
      </c>
      <c r="F82" s="36">
        <v>89.187698364257798</v>
      </c>
      <c r="G82" s="5">
        <f t="shared" si="2"/>
        <v>3.2051282027804788E-3</v>
      </c>
      <c r="H82" s="62">
        <v>156.20700070000001</v>
      </c>
      <c r="I82" s="5">
        <f t="shared" si="3"/>
        <v>-4.6878469982278674E-3</v>
      </c>
    </row>
    <row r="83" spans="1:9" ht="13.8" thickBot="1">
      <c r="A83" s="13">
        <v>45561</v>
      </c>
      <c r="B83" s="35">
        <v>730.493408203125</v>
      </c>
      <c r="C83" s="5">
        <f t="shared" si="0"/>
        <v>5.3605016228902664E-3</v>
      </c>
      <c r="D83" s="24">
        <v>121.30970001220703</v>
      </c>
      <c r="E83" s="5">
        <f t="shared" si="1"/>
        <v>-6.1372994085225549E-3</v>
      </c>
      <c r="F83" s="36">
        <v>89.598701477050696</v>
      </c>
      <c r="G83" s="5">
        <f t="shared" si="2"/>
        <v>4.5977080714297673E-3</v>
      </c>
      <c r="H83" s="62">
        <v>156.5870056</v>
      </c>
      <c r="I83" s="5">
        <f t="shared" si="3"/>
        <v>2.4297466019052327E-3</v>
      </c>
    </row>
    <row r="84" spans="1:9" ht="13.8" thickBot="1">
      <c r="A84" s="13">
        <v>45562</v>
      </c>
      <c r="B84" s="35">
        <v>730.55999755859295</v>
      </c>
      <c r="C84" s="5">
        <f t="shared" si="0"/>
        <v>9.1152527692053368E-5</v>
      </c>
      <c r="D84" s="24">
        <v>122.24559783935547</v>
      </c>
      <c r="E84" s="5">
        <f t="shared" si="1"/>
        <v>7.6853383352520031E-3</v>
      </c>
      <c r="F84" s="36">
        <v>89.150703430175696</v>
      </c>
      <c r="G84" s="5">
        <f t="shared" si="2"/>
        <v>-5.0125927428243148E-3</v>
      </c>
      <c r="H84" s="62">
        <v>157.29299929999999</v>
      </c>
      <c r="I84" s="5">
        <f t="shared" si="3"/>
        <v>4.4985018449694636E-3</v>
      </c>
    </row>
    <row r="85" spans="1:9" ht="13.8" thickBot="1">
      <c r="A85" s="13">
        <v>45565</v>
      </c>
      <c r="B85" s="35">
        <v>726.50250244140602</v>
      </c>
      <c r="C85" s="5">
        <f t="shared" si="0"/>
        <v>-5.5694324784635431E-3</v>
      </c>
      <c r="D85" s="24">
        <v>122.243896484375</v>
      </c>
      <c r="E85" s="5">
        <f t="shared" si="1"/>
        <v>-1.3917612167388801E-5</v>
      </c>
      <c r="F85" s="36">
        <v>88.616500854492102</v>
      </c>
      <c r="G85" s="5">
        <f t="shared" si="2"/>
        <v>-6.010154526186598E-3</v>
      </c>
      <c r="H85" s="62">
        <v>156.8249969</v>
      </c>
      <c r="I85" s="5">
        <f t="shared" si="3"/>
        <v>-2.9797894545997052E-3</v>
      </c>
    </row>
    <row r="86" spans="1:9" ht="13.8" thickBot="1">
      <c r="A86" s="12">
        <v>45566</v>
      </c>
      <c r="B86" s="35">
        <v>726.36071777343705</v>
      </c>
      <c r="C86" s="5">
        <f t="shared" si="0"/>
        <v>-1.9517965138950071E-4</v>
      </c>
      <c r="D86" s="24">
        <v>123.56420135498047</v>
      </c>
      <c r="E86" s="5">
        <f t="shared" si="1"/>
        <v>1.0742669421086121E-2</v>
      </c>
      <c r="F86" s="36">
        <v>88.646499633789006</v>
      </c>
      <c r="G86" s="5">
        <f t="shared" si="2"/>
        <v>3.3846634098105697E-4</v>
      </c>
      <c r="H86" s="62">
        <v>157.3619995</v>
      </c>
      <c r="I86" s="5">
        <f t="shared" si="3"/>
        <v>3.4183663173171369E-3</v>
      </c>
    </row>
    <row r="87" spans="1:9" ht="13.8" thickBot="1">
      <c r="A87" s="12">
        <v>45568</v>
      </c>
      <c r="B87" s="35">
        <v>719.339599609375</v>
      </c>
      <c r="C87" s="5">
        <f t="shared" si="0"/>
        <v>-9.7131795306002796E-3</v>
      </c>
      <c r="D87" s="24">
        <v>121.67320251464844</v>
      </c>
      <c r="E87" s="5">
        <f t="shared" si="1"/>
        <v>-1.5422087251485757E-2</v>
      </c>
      <c r="F87" s="36">
        <v>87.467300415039006</v>
      </c>
      <c r="G87" s="5">
        <f t="shared" si="2"/>
        <v>-1.3391532529863638E-2</v>
      </c>
      <c r="H87" s="62">
        <v>153.9279938</v>
      </c>
      <c r="I87" s="5">
        <f t="shared" si="3"/>
        <v>-2.2063960192724781E-2</v>
      </c>
    </row>
    <row r="88" spans="1:9" ht="13.8" thickBot="1">
      <c r="A88" s="12">
        <v>45569</v>
      </c>
      <c r="B88" s="35">
        <v>717.48889160156205</v>
      </c>
      <c r="C88" s="5">
        <f t="shared" si="0"/>
        <v>-2.5761029136356669E-3</v>
      </c>
      <c r="D88" s="24">
        <v>120.32679748535156</v>
      </c>
      <c r="E88" s="5">
        <f t="shared" si="1"/>
        <v>-1.112742910651267E-2</v>
      </c>
      <c r="F88" s="36">
        <v>87.023300170898395</v>
      </c>
      <c r="G88" s="5">
        <f t="shared" si="2"/>
        <v>-5.0891131203107528E-3</v>
      </c>
      <c r="H88" s="62">
        <v>152.6309967</v>
      </c>
      <c r="I88" s="5">
        <f t="shared" si="3"/>
        <v>-8.4616982634316447E-3</v>
      </c>
    </row>
    <row r="89" spans="1:9" ht="13.8" thickBot="1">
      <c r="A89" s="12">
        <v>45572</v>
      </c>
      <c r="B89" s="35">
        <v>712.96942138671795</v>
      </c>
      <c r="C89" s="5">
        <f t="shared" si="0"/>
        <v>-6.318933186555872E-3</v>
      </c>
      <c r="D89" s="24">
        <v>119.53489685058594</v>
      </c>
      <c r="E89" s="5">
        <f t="shared" si="1"/>
        <v>-6.6030010683451948E-3</v>
      </c>
      <c r="F89" s="36">
        <v>85.976097106933594</v>
      </c>
      <c r="G89" s="5">
        <f t="shared" si="2"/>
        <v>-1.2106583850228789E-2</v>
      </c>
      <c r="H89" s="62">
        <v>150.00500489999999</v>
      </c>
      <c r="I89" s="5">
        <f t="shared" si="3"/>
        <v>-1.7354562537087784E-2</v>
      </c>
    </row>
    <row r="90" spans="1:9" ht="13.8" thickBot="1">
      <c r="A90" s="12">
        <v>45573</v>
      </c>
      <c r="B90" s="35">
        <v>713.37902832031205</v>
      </c>
      <c r="C90" s="5">
        <f t="shared" si="0"/>
        <v>5.7434345014070428E-4</v>
      </c>
      <c r="D90" s="24">
        <v>121.92659759521484</v>
      </c>
      <c r="E90" s="5">
        <f t="shared" si="1"/>
        <v>1.9810852013024766E-2</v>
      </c>
      <c r="F90" s="36">
        <v>86.682098388671804</v>
      </c>
      <c r="G90" s="5">
        <f t="shared" si="2"/>
        <v>8.178067823938838E-3</v>
      </c>
      <c r="H90" s="62">
        <v>152.72999569999999</v>
      </c>
      <c r="I90" s="5">
        <f t="shared" si="3"/>
        <v>1.8002968888471711E-2</v>
      </c>
    </row>
    <row r="91" spans="1:9" ht="13.8" thickBot="1">
      <c r="A91" s="12">
        <v>45574</v>
      </c>
      <c r="B91" s="35">
        <v>713.66351318359295</v>
      </c>
      <c r="C91" s="5">
        <f t="shared" si="0"/>
        <v>3.9870551686521552E-4</v>
      </c>
      <c r="D91" s="24">
        <v>123.02899932861328</v>
      </c>
      <c r="E91" s="5">
        <f t="shared" si="1"/>
        <v>9.0008898748654802E-3</v>
      </c>
      <c r="F91" s="36">
        <v>86.959098815917898</v>
      </c>
      <c r="G91" s="5">
        <f t="shared" si="2"/>
        <v>3.190494729096167E-3</v>
      </c>
      <c r="H91" s="62">
        <v>154.59199520000001</v>
      </c>
      <c r="I91" s="5">
        <f t="shared" si="3"/>
        <v>1.211772889442894E-2</v>
      </c>
    </row>
    <row r="92" spans="1:9" ht="13.8" thickBot="1">
      <c r="A92" s="13">
        <v>45575</v>
      </c>
      <c r="B92" s="35">
        <v>714.44952392578102</v>
      </c>
      <c r="C92" s="5">
        <f t="shared" si="0"/>
        <v>1.100768358148927E-3</v>
      </c>
      <c r="D92" s="24">
        <v>122.54650115966797</v>
      </c>
      <c r="E92" s="5">
        <f t="shared" si="1"/>
        <v>-3.9295352252178466E-3</v>
      </c>
      <c r="F92" s="36">
        <v>87.42919921875</v>
      </c>
      <c r="G92" s="5">
        <f t="shared" si="2"/>
        <v>5.3914344810103189E-3</v>
      </c>
      <c r="H92" s="62">
        <v>154.2689972</v>
      </c>
      <c r="I92" s="5">
        <f t="shared" si="3"/>
        <v>-2.0915436114987899E-3</v>
      </c>
    </row>
    <row r="93" spans="1:9" ht="13.8" thickBot="1">
      <c r="A93" s="13">
        <v>45576</v>
      </c>
      <c r="B93" s="35">
        <v>715.147705078125</v>
      </c>
      <c r="C93" s="5">
        <f t="shared" si="0"/>
        <v>9.7675232392328989E-4</v>
      </c>
      <c r="D93" s="24">
        <v>123.39469909667969</v>
      </c>
      <c r="E93" s="5">
        <f t="shared" si="1"/>
        <v>6.8975942136089863E-3</v>
      </c>
      <c r="F93" s="36">
        <v>87.537696838378906</v>
      </c>
      <c r="G93" s="5">
        <f t="shared" si="2"/>
        <v>1.2402075590378461E-3</v>
      </c>
      <c r="H93" s="62">
        <v>155.06100459999999</v>
      </c>
      <c r="I93" s="5">
        <f t="shared" si="3"/>
        <v>5.1208038412076775E-3</v>
      </c>
    </row>
    <row r="94" spans="1:9" ht="13.8" thickBot="1">
      <c r="A94" s="13">
        <v>45579</v>
      </c>
      <c r="B94" s="35">
        <v>715.632080078125</v>
      </c>
      <c r="C94" s="5">
        <f t="shared" si="0"/>
        <v>6.7707836458101101E-4</v>
      </c>
      <c r="D94" s="24">
        <v>124.28549957275391</v>
      </c>
      <c r="E94" s="5">
        <f t="shared" si="1"/>
        <v>7.1931815448247E-3</v>
      </c>
      <c r="F94" s="36">
        <v>87.873199462890597</v>
      </c>
      <c r="G94" s="5">
        <f t="shared" si="2"/>
        <v>3.8253385702888983E-3</v>
      </c>
      <c r="H94" s="62">
        <v>156.56100459999999</v>
      </c>
      <c r="I94" s="5">
        <f t="shared" si="3"/>
        <v>9.627122224250181E-3</v>
      </c>
    </row>
    <row r="95" spans="1:9" ht="13.8" thickBot="1">
      <c r="A95" s="13">
        <v>45580</v>
      </c>
      <c r="B95" s="35">
        <v>714.76019287109295</v>
      </c>
      <c r="C95" s="5">
        <f t="shared" si="0"/>
        <v>-1.2190884018351978E-3</v>
      </c>
      <c r="D95" s="24">
        <v>124.82649993896484</v>
      </c>
      <c r="E95" s="5">
        <f t="shared" si="1"/>
        <v>4.3434376327840096E-3</v>
      </c>
      <c r="F95" s="36">
        <v>88.092002868652301</v>
      </c>
      <c r="G95" s="5">
        <f t="shared" si="2"/>
        <v>2.4868953137444001E-3</v>
      </c>
      <c r="H95" s="62">
        <v>157.23199460000001</v>
      </c>
      <c r="I95" s="5">
        <f t="shared" si="3"/>
        <v>4.2766474994341405E-3</v>
      </c>
    </row>
    <row r="96" spans="1:9" ht="13.8" thickBot="1">
      <c r="A96" s="13">
        <v>45581</v>
      </c>
      <c r="B96" s="35">
        <v>714.90612792968705</v>
      </c>
      <c r="C96" s="5">
        <f t="shared" si="0"/>
        <v>2.0415261516298642E-4</v>
      </c>
      <c r="D96" s="24">
        <v>124.12539672851563</v>
      </c>
      <c r="E96" s="5">
        <f t="shared" si="1"/>
        <v>-5.6324540873000165E-3</v>
      </c>
      <c r="F96" s="36">
        <v>87.757797241210895</v>
      </c>
      <c r="G96" s="5">
        <f t="shared" si="2"/>
        <v>-3.8010396328385333E-3</v>
      </c>
      <c r="H96" s="62">
        <v>156.8589935</v>
      </c>
      <c r="I96" s="5">
        <f t="shared" si="3"/>
        <v>-2.3751160617719786E-3</v>
      </c>
    </row>
    <row r="97" spans="1:9" ht="13.8" thickBot="1">
      <c r="A97" s="13">
        <v>45582</v>
      </c>
      <c r="B97" s="35">
        <v>711.62780761718705</v>
      </c>
      <c r="C97" s="5">
        <f t="shared" si="0"/>
        <v>-4.5962118419503864E-3</v>
      </c>
      <c r="D97" s="24">
        <v>122.65730285644531</v>
      </c>
      <c r="E97" s="5">
        <f t="shared" si="1"/>
        <v>-1.1898007384052245E-2</v>
      </c>
      <c r="F97" s="36">
        <v>87.241500854492102</v>
      </c>
      <c r="G97" s="5">
        <f t="shared" si="2"/>
        <v>-5.9005709201782938E-3</v>
      </c>
      <c r="H97" s="62">
        <v>154.8059998</v>
      </c>
      <c r="I97" s="5">
        <f t="shared" si="3"/>
        <v>-1.3174552411672419E-2</v>
      </c>
    </row>
    <row r="98" spans="1:9" ht="13.8" thickBot="1">
      <c r="A98" s="13">
        <v>45583</v>
      </c>
      <c r="B98" s="35">
        <v>714.67169189453102</v>
      </c>
      <c r="C98" s="5">
        <f t="shared" si="0"/>
        <v>4.2682324427086599E-3</v>
      </c>
      <c r="D98" s="24">
        <v>122.28600311279297</v>
      </c>
      <c r="E98" s="5">
        <f t="shared" si="1"/>
        <v>-3.0317221903920816E-3</v>
      </c>
      <c r="F98" s="36">
        <v>87.668296813964801</v>
      </c>
      <c r="G98" s="5">
        <f t="shared" si="2"/>
        <v>4.8801932449689719E-3</v>
      </c>
      <c r="H98" s="62">
        <v>155.57099909999999</v>
      </c>
      <c r="I98" s="5">
        <f t="shared" si="3"/>
        <v>4.9294944653038124E-3</v>
      </c>
    </row>
    <row r="99" spans="1:9" ht="13.8" thickBot="1">
      <c r="A99" s="13">
        <v>45586</v>
      </c>
      <c r="B99" s="35">
        <v>715.18060302734295</v>
      </c>
      <c r="C99" s="5">
        <f t="shared" si="0"/>
        <v>7.1183737804059546E-4</v>
      </c>
      <c r="D99" s="24">
        <v>119.97119903564453</v>
      </c>
      <c r="E99" s="5">
        <f t="shared" si="1"/>
        <v>-1.9110883048107947E-2</v>
      </c>
      <c r="F99" s="36">
        <v>87.374801635742102</v>
      </c>
      <c r="G99" s="5">
        <f t="shared" si="2"/>
        <v>-3.3534078847997674E-3</v>
      </c>
      <c r="H99" s="62">
        <v>153.54899599999999</v>
      </c>
      <c r="I99" s="5">
        <f t="shared" si="3"/>
        <v>-1.3082504989100924E-2</v>
      </c>
    </row>
    <row r="100" spans="1:9" ht="13.8" thickBot="1">
      <c r="A100" s="13">
        <v>45587</v>
      </c>
      <c r="B100" s="35">
        <v>711.14752197265602</v>
      </c>
      <c r="C100" s="5">
        <f t="shared" si="0"/>
        <v>-5.6552089699680765E-3</v>
      </c>
      <c r="D100" s="24">
        <v>117.50650024414063</v>
      </c>
      <c r="E100" s="5">
        <f t="shared" si="1"/>
        <v>-2.0758052658432585E-2</v>
      </c>
      <c r="F100" s="36">
        <v>86.6405029296875</v>
      </c>
      <c r="G100" s="5">
        <f t="shared" si="2"/>
        <v>-8.4395227912319598E-3</v>
      </c>
      <c r="H100" s="62">
        <v>149.5279999</v>
      </c>
      <c r="I100" s="5">
        <f t="shared" si="3"/>
        <v>-2.6536042683569454E-2</v>
      </c>
    </row>
    <row r="101" spans="1:9" ht="13.8" thickBot="1">
      <c r="A101" s="13">
        <v>45588</v>
      </c>
      <c r="B101" s="35">
        <v>710.36712646484295</v>
      </c>
      <c r="C101" s="5">
        <f t="shared" si="0"/>
        <v>-1.0979775510180608E-3</v>
      </c>
      <c r="D101" s="24">
        <v>120.60769653320313</v>
      </c>
      <c r="E101" s="5">
        <f t="shared" si="1"/>
        <v>2.6049447659256028E-2</v>
      </c>
      <c r="F101" s="36">
        <v>86.488502502441406</v>
      </c>
      <c r="G101" s="5">
        <f t="shared" si="2"/>
        <v>-1.7559214404476425E-3</v>
      </c>
      <c r="H101" s="62">
        <v>151.37899780000001</v>
      </c>
      <c r="I101" s="5">
        <f t="shared" si="3"/>
        <v>1.2302945838581278E-2</v>
      </c>
    </row>
    <row r="102" spans="1:9" ht="13.8" thickBot="1">
      <c r="A102" s="13">
        <v>45589</v>
      </c>
      <c r="B102" s="35">
        <v>709.65930175781205</v>
      </c>
      <c r="C102" s="5">
        <f t="shared" si="0"/>
        <v>-9.9691773559338129E-4</v>
      </c>
      <c r="D102" s="24">
        <v>119.88520050048828</v>
      </c>
      <c r="E102" s="5">
        <f t="shared" si="1"/>
        <v>-6.0084785475428698E-3</v>
      </c>
      <c r="F102" s="36">
        <v>86.461799621582003</v>
      </c>
      <c r="G102" s="5">
        <f t="shared" si="2"/>
        <v>-3.0879253454481418E-4</v>
      </c>
      <c r="H102" s="62">
        <v>150.4499969</v>
      </c>
      <c r="I102" s="5">
        <f t="shared" si="3"/>
        <v>-6.1558289624848769E-3</v>
      </c>
    </row>
    <row r="103" spans="1:9" ht="13.8" thickBot="1">
      <c r="A103" s="13">
        <v>45590</v>
      </c>
      <c r="B103" s="35">
        <v>704.69390869140602</v>
      </c>
      <c r="C103" s="5">
        <f t="shared" si="0"/>
        <v>-7.0214617248044462E-3</v>
      </c>
      <c r="D103" s="24">
        <v>118.24140167236328</v>
      </c>
      <c r="E103" s="5">
        <f t="shared" si="1"/>
        <v>-1.3806310794298721E-2</v>
      </c>
      <c r="F103" s="36">
        <v>86.152702331542898</v>
      </c>
      <c r="G103" s="5">
        <f t="shared" si="2"/>
        <v>-3.581363291256497E-3</v>
      </c>
      <c r="H103" s="62">
        <v>148.6439972</v>
      </c>
      <c r="I103" s="5">
        <f t="shared" si="3"/>
        <v>-1.2076615948091609E-2</v>
      </c>
    </row>
    <row r="104" spans="1:9" ht="13.8" thickBot="1">
      <c r="A104" s="13">
        <v>45593</v>
      </c>
      <c r="B104" s="35">
        <v>707.02349853515602</v>
      </c>
      <c r="C104" s="5">
        <f t="shared" si="0"/>
        <v>3.3003658471532867E-3</v>
      </c>
      <c r="D104" s="24">
        <v>118.38899993896484</v>
      </c>
      <c r="E104" s="5">
        <f t="shared" si="1"/>
        <v>1.2475006147835068E-3</v>
      </c>
      <c r="F104" s="36">
        <v>86.315200805664006</v>
      </c>
      <c r="G104" s="5">
        <f t="shared" si="2"/>
        <v>1.8843914635746132E-3</v>
      </c>
      <c r="H104" s="62">
        <v>149.2590027</v>
      </c>
      <c r="I104" s="5">
        <f t="shared" si="3"/>
        <v>4.1289035284373769E-3</v>
      </c>
    </row>
    <row r="105" spans="1:9" ht="13.8" thickBot="1">
      <c r="A105" s="13">
        <v>45594</v>
      </c>
      <c r="B105" s="35">
        <v>710.91540527343705</v>
      </c>
      <c r="C105" s="5">
        <f t="shared" si="0"/>
        <v>5.4895404892143056E-3</v>
      </c>
      <c r="D105" s="24">
        <v>118.89610290527344</v>
      </c>
      <c r="E105" s="5">
        <f t="shared" si="1"/>
        <v>4.2742147083671142E-3</v>
      </c>
      <c r="F105" s="36">
        <v>86.859901428222599</v>
      </c>
      <c r="G105" s="5">
        <f t="shared" si="2"/>
        <v>6.2907705767575092E-3</v>
      </c>
      <c r="H105" s="62">
        <v>150.3910065</v>
      </c>
      <c r="I105" s="5">
        <f t="shared" si="3"/>
        <v>7.5555424688207315E-3</v>
      </c>
    </row>
    <row r="106" spans="1:9" ht="13.8" thickBot="1">
      <c r="A106" s="13">
        <v>45595</v>
      </c>
      <c r="B106" s="35">
        <v>710.18701171875</v>
      </c>
      <c r="C106" s="5">
        <f t="shared" si="0"/>
        <v>-1.0251106602364225E-3</v>
      </c>
      <c r="D106" s="24">
        <v>118.07730102539063</v>
      </c>
      <c r="E106" s="5">
        <f t="shared" si="1"/>
        <v>-6.9105235002065255E-3</v>
      </c>
      <c r="F106" s="36">
        <v>86.526298522949205</v>
      </c>
      <c r="G106" s="5">
        <f t="shared" si="2"/>
        <v>-3.8480953735501914E-3</v>
      </c>
      <c r="H106" s="62">
        <v>150.14900209999999</v>
      </c>
      <c r="I106" s="5">
        <f t="shared" si="3"/>
        <v>-1.6104641337601135E-3</v>
      </c>
    </row>
    <row r="107" spans="1:9" ht="13.8" thickBot="1">
      <c r="A107" s="13">
        <v>45596</v>
      </c>
      <c r="B107" s="35">
        <v>707.83947753906205</v>
      </c>
      <c r="C107" s="5">
        <f t="shared" si="0"/>
        <v>-3.3109907918826434E-3</v>
      </c>
      <c r="D107" s="24">
        <v>117.14839935302734</v>
      </c>
      <c r="E107" s="5">
        <f t="shared" si="1"/>
        <v>-7.8980017870756286E-3</v>
      </c>
      <c r="F107" s="36">
        <v>85.981399536132798</v>
      </c>
      <c r="G107" s="5">
        <f t="shared" si="2"/>
        <v>-6.3174085002967312E-3</v>
      </c>
      <c r="H107" s="62">
        <v>149.84899899999999</v>
      </c>
      <c r="I107" s="5">
        <f t="shared" si="3"/>
        <v>-2.000034659594203E-3</v>
      </c>
    </row>
    <row r="108" spans="1:9" ht="13.8" thickBot="1">
      <c r="A108" s="12">
        <v>45600</v>
      </c>
      <c r="B108" s="35">
        <v>704.63330078125</v>
      </c>
      <c r="C108" s="5">
        <f t="shared" si="0"/>
        <v>-4.5398145912718913E-3</v>
      </c>
      <c r="D108" s="24">
        <v>117.07430267333984</v>
      </c>
      <c r="E108" s="5">
        <f t="shared" si="1"/>
        <v>-6.3270282101840546E-4</v>
      </c>
      <c r="F108" s="36">
        <v>85.764503479003906</v>
      </c>
      <c r="G108" s="5">
        <f t="shared" si="2"/>
        <v>-2.5257798716547481E-3</v>
      </c>
      <c r="H108" s="62">
        <v>148.9409943</v>
      </c>
      <c r="I108" s="5">
        <f t="shared" si="3"/>
        <v>-6.0778976241768175E-3</v>
      </c>
    </row>
    <row r="109" spans="1:9" ht="13.8" thickBot="1">
      <c r="A109" s="12">
        <v>45601</v>
      </c>
      <c r="B109" s="35">
        <v>707.23248291015602</v>
      </c>
      <c r="C109" s="5">
        <f t="shared" si="0"/>
        <v>3.6819152291194005E-3</v>
      </c>
      <c r="D109" s="24">
        <v>117.64569854736328</v>
      </c>
      <c r="E109" s="5">
        <f t="shared" si="1"/>
        <v>4.8687542585653578E-3</v>
      </c>
      <c r="F109" s="36">
        <v>86.378097534179602</v>
      </c>
      <c r="G109" s="5">
        <f t="shared" si="2"/>
        <v>7.1289343860271165E-3</v>
      </c>
      <c r="H109" s="62">
        <v>149.83000179999999</v>
      </c>
      <c r="I109" s="5">
        <f t="shared" si="3"/>
        <v>5.951113965830878E-3</v>
      </c>
    </row>
    <row r="110" spans="1:9" ht="13.8" thickBot="1">
      <c r="A110" s="12">
        <v>45602</v>
      </c>
      <c r="B110" s="35">
        <v>709.46887207031205</v>
      </c>
      <c r="C110" s="5">
        <f t="shared" si="0"/>
        <v>3.1571806011877666E-3</v>
      </c>
      <c r="D110" s="24">
        <v>121.63089752197266</v>
      </c>
      <c r="E110" s="5">
        <f t="shared" si="1"/>
        <v>3.331347564827912E-2</v>
      </c>
      <c r="F110" s="36">
        <v>87.084800720214801</v>
      </c>
      <c r="G110" s="5">
        <f t="shared" si="2"/>
        <v>8.1482219331669974E-3</v>
      </c>
      <c r="H110" s="62">
        <v>153.1410065</v>
      </c>
      <c r="I110" s="5">
        <f t="shared" si="3"/>
        <v>2.1857778012106852E-2</v>
      </c>
    </row>
    <row r="111" spans="1:9" ht="13.8" thickBot="1">
      <c r="A111" s="12">
        <v>45603</v>
      </c>
      <c r="B111" s="35">
        <v>706.323974609375</v>
      </c>
      <c r="C111" s="5">
        <f t="shared" si="0"/>
        <v>-4.4426028014019287E-3</v>
      </c>
      <c r="D111" s="24">
        <v>120.99320220947266</v>
      </c>
      <c r="E111" s="5">
        <f t="shared" si="1"/>
        <v>-5.2566647883107347E-3</v>
      </c>
      <c r="F111" s="36">
        <v>86.870498657226506</v>
      </c>
      <c r="G111" s="5">
        <f t="shared" si="2"/>
        <v>-2.4638763195904911E-3</v>
      </c>
      <c r="H111" s="62">
        <v>152.32099909999999</v>
      </c>
      <c r="I111" s="5">
        <f t="shared" si="3"/>
        <v>-5.3689778417944766E-3</v>
      </c>
    </row>
    <row r="112" spans="1:9" ht="13.8" thickBot="1">
      <c r="A112" s="12">
        <v>45604</v>
      </c>
      <c r="B112" s="35">
        <v>704.232177734375</v>
      </c>
      <c r="C112" s="5">
        <f t="shared" si="0"/>
        <v>-2.9659200804307813E-3</v>
      </c>
      <c r="D112" s="24">
        <v>120.10199737548828</v>
      </c>
      <c r="E112" s="5">
        <f t="shared" si="1"/>
        <v>-7.3930040473108539E-3</v>
      </c>
      <c r="F112" s="36">
        <v>86.784698486328097</v>
      </c>
      <c r="G112" s="5">
        <f t="shared" si="2"/>
        <v>-9.8816711842247959E-4</v>
      </c>
      <c r="H112" s="62">
        <v>151.0189972</v>
      </c>
      <c r="I112" s="5">
        <f t="shared" si="3"/>
        <v>-8.5844920658557609E-3</v>
      </c>
    </row>
    <row r="113" spans="1:9" ht="13.8" thickBot="1">
      <c r="A113" s="13">
        <v>45607</v>
      </c>
      <c r="B113" s="35">
        <v>701.48681640625</v>
      </c>
      <c r="C113" s="5">
        <f t="shared" si="0"/>
        <v>-3.9059937726059462E-3</v>
      </c>
      <c r="D113" s="24">
        <v>119.36530303955078</v>
      </c>
      <c r="E113" s="5">
        <f t="shared" si="1"/>
        <v>-6.15279546509305E-3</v>
      </c>
      <c r="F113" s="36">
        <v>87.263801574707003</v>
      </c>
      <c r="G113" s="5">
        <f t="shared" si="2"/>
        <v>5.5054114034542353E-3</v>
      </c>
      <c r="H113" s="62">
        <v>151.06199649999999</v>
      </c>
      <c r="I113" s="5">
        <f t="shared" si="3"/>
        <v>2.8468722751298371E-4</v>
      </c>
    </row>
    <row r="114" spans="1:9" ht="13.8" thickBot="1">
      <c r="A114" s="13">
        <v>45608</v>
      </c>
      <c r="B114" s="35">
        <v>696.08160400390602</v>
      </c>
      <c r="C114" s="5">
        <f t="shared" si="0"/>
        <v>-7.7352053386426393E-3</v>
      </c>
      <c r="D114" s="24">
        <v>118.29969787597656</v>
      </c>
      <c r="E114" s="5">
        <f t="shared" si="1"/>
        <v>-8.9673473182585051E-3</v>
      </c>
      <c r="F114" s="36">
        <v>86.586402893066406</v>
      </c>
      <c r="G114" s="5">
        <f t="shared" si="2"/>
        <v>-7.7929400417782431E-3</v>
      </c>
      <c r="H114" s="62">
        <v>150.05799870000001</v>
      </c>
      <c r="I114" s="5">
        <f t="shared" si="3"/>
        <v>-6.6684480373230132E-3</v>
      </c>
    </row>
    <row r="115" spans="1:9" ht="13.8" thickBot="1">
      <c r="A115" s="13">
        <v>45609</v>
      </c>
      <c r="B115" s="35">
        <v>691.44592285156205</v>
      </c>
      <c r="C115" s="5">
        <f t="shared" si="0"/>
        <v>-6.6819552198208098E-3</v>
      </c>
      <c r="D115" s="24">
        <v>115.39060211181641</v>
      </c>
      <c r="E115" s="5">
        <f t="shared" si="1"/>
        <v>-2.489830384905381E-2</v>
      </c>
      <c r="F115" s="36">
        <v>85.592300415039006</v>
      </c>
      <c r="G115" s="5">
        <f t="shared" si="2"/>
        <v>-1.1547462088627548E-2</v>
      </c>
      <c r="H115" s="62">
        <v>146.91900630000001</v>
      </c>
      <c r="I115" s="5">
        <f t="shared" si="3"/>
        <v>-2.1140419979507392E-2</v>
      </c>
    </row>
    <row r="116" spans="1:9" ht="13.8" thickBot="1">
      <c r="A116" s="13">
        <v>45610</v>
      </c>
      <c r="B116" s="35">
        <v>690.560302734375</v>
      </c>
      <c r="C116" s="5">
        <f t="shared" si="0"/>
        <v>-1.2816443544443367E-3</v>
      </c>
      <c r="D116" s="24">
        <v>116.42420196533203</v>
      </c>
      <c r="E116" s="5">
        <f t="shared" si="1"/>
        <v>8.9175210973345652E-3</v>
      </c>
      <c r="F116" s="36">
        <v>85.737098693847599</v>
      </c>
      <c r="G116" s="5">
        <f t="shared" si="2"/>
        <v>1.6902914973939587E-3</v>
      </c>
      <c r="H116" s="62">
        <v>148.0650024</v>
      </c>
      <c r="I116" s="5">
        <f t="shared" si="3"/>
        <v>7.7699253632508005E-3</v>
      </c>
    </row>
    <row r="117" spans="1:9" ht="13.8" thickBot="1">
      <c r="A117" s="13">
        <v>45614</v>
      </c>
      <c r="B117" s="35">
        <v>690.91497802734295</v>
      </c>
      <c r="C117" s="5">
        <f t="shared" si="0"/>
        <v>5.1347324950337127E-4</v>
      </c>
      <c r="D117" s="24">
        <v>116.80319976806641</v>
      </c>
      <c r="E117" s="5">
        <f t="shared" si="1"/>
        <v>3.2500309442278453E-3</v>
      </c>
      <c r="F117" s="36">
        <v>85.244300842285099</v>
      </c>
      <c r="G117" s="5">
        <f t="shared" si="2"/>
        <v>-5.7643605380454706E-3</v>
      </c>
      <c r="H117" s="62">
        <v>146.7910004</v>
      </c>
      <c r="I117" s="5">
        <f t="shared" si="3"/>
        <v>-8.6415736229938315E-3</v>
      </c>
    </row>
    <row r="118" spans="1:9" ht="13.8" thickBot="1">
      <c r="A118" s="13">
        <v>45615</v>
      </c>
      <c r="B118" s="35">
        <v>692.336181640625</v>
      </c>
      <c r="C118" s="5">
        <f t="shared" si="0"/>
        <v>2.0548750000116568E-3</v>
      </c>
      <c r="D118" s="24">
        <v>118.61759948730469</v>
      </c>
      <c r="E118" s="5">
        <f t="shared" si="1"/>
        <v>1.5414403914448382E-2</v>
      </c>
      <c r="F118" s="36">
        <v>85.569900512695298</v>
      </c>
      <c r="G118" s="5">
        <f t="shared" si="2"/>
        <v>3.8123301479501049E-3</v>
      </c>
      <c r="H118" s="62">
        <v>148.21800229999999</v>
      </c>
      <c r="I118" s="5">
        <f t="shared" si="3"/>
        <v>9.6743693701203063E-3</v>
      </c>
    </row>
    <row r="119" spans="1:9" ht="13.8" thickBot="1">
      <c r="A119" s="13">
        <v>45617</v>
      </c>
      <c r="B119" s="35">
        <v>689.39678955078102</v>
      </c>
      <c r="C119" s="5">
        <f t="shared" si="0"/>
        <v>-4.2546520712998092E-3</v>
      </c>
      <c r="D119" s="24">
        <v>118.44719696044922</v>
      </c>
      <c r="E119" s="5">
        <f t="shared" si="1"/>
        <v>-1.4376032102314828E-3</v>
      </c>
      <c r="F119" s="36">
        <v>85.230300903320298</v>
      </c>
      <c r="G119" s="5">
        <f t="shared" si="2"/>
        <v>-3.9765767729946907E-3</v>
      </c>
      <c r="H119" s="62">
        <v>147.63600159999999</v>
      </c>
      <c r="I119" s="5">
        <f t="shared" si="3"/>
        <v>-3.9343827906874063E-3</v>
      </c>
    </row>
    <row r="120" spans="1:9" ht="13.8" thickBot="1">
      <c r="A120" s="13">
        <v>45618</v>
      </c>
      <c r="B120" s="35">
        <v>696.44940185546795</v>
      </c>
      <c r="C120" s="5">
        <f t="shared" si="0"/>
        <v>1.0178147088387244E-2</v>
      </c>
      <c r="D120" s="24">
        <v>119.654296875</v>
      </c>
      <c r="E120" s="5">
        <f t="shared" si="1"/>
        <v>1.0139459747022092E-2</v>
      </c>
      <c r="F120" s="36">
        <v>86.220298767089801</v>
      </c>
      <c r="G120" s="5">
        <f t="shared" si="2"/>
        <v>1.1548619470563857E-2</v>
      </c>
      <c r="H120" s="62">
        <v>149.49800110000001</v>
      </c>
      <c r="I120" s="5">
        <f t="shared" si="3"/>
        <v>1.2533226469295371E-2</v>
      </c>
    </row>
    <row r="121" spans="1:9" ht="13.8" thickBot="1">
      <c r="A121" s="13">
        <v>45621</v>
      </c>
      <c r="B121" s="35">
        <v>698.47991943359295</v>
      </c>
      <c r="C121" s="5">
        <f t="shared" si="0"/>
        <v>2.9112858713164894E-3</v>
      </c>
      <c r="D121" s="24">
        <v>120.94840240478516</v>
      </c>
      <c r="E121" s="5">
        <f t="shared" si="1"/>
        <v>1.0757302499748362E-2</v>
      </c>
      <c r="F121" s="36">
        <v>86.929603576660099</v>
      </c>
      <c r="G121" s="5">
        <f t="shared" si="2"/>
        <v>8.1930023367665934E-3</v>
      </c>
      <c r="H121" s="62">
        <v>151.50700380000001</v>
      </c>
      <c r="I121" s="5">
        <f t="shared" si="3"/>
        <v>1.3348831411042032E-2</v>
      </c>
    </row>
    <row r="122" spans="1:9" ht="13.8" thickBot="1">
      <c r="A122" s="13">
        <v>45622</v>
      </c>
      <c r="B122" s="35">
        <v>697.86407470703102</v>
      </c>
      <c r="C122" s="5">
        <f t="shared" si="0"/>
        <v>-8.820817349834935E-4</v>
      </c>
      <c r="D122" s="24">
        <v>120.93550109863281</v>
      </c>
      <c r="E122" s="5">
        <f t="shared" si="1"/>
        <v>-1.0667354030355221E-4</v>
      </c>
      <c r="F122" s="36">
        <v>86.901702880859304</v>
      </c>
      <c r="G122" s="5">
        <f t="shared" si="2"/>
        <v>-3.2100887474152782E-4</v>
      </c>
      <c r="H122" s="62">
        <v>151.3880005</v>
      </c>
      <c r="I122" s="5">
        <f t="shared" si="3"/>
        <v>-7.85772656753599E-4</v>
      </c>
    </row>
    <row r="123" spans="1:9" ht="13.8" thickBot="1">
      <c r="A123" s="13">
        <v>45623</v>
      </c>
      <c r="B123" s="35">
        <v>699.798583984375</v>
      </c>
      <c r="C123" s="5">
        <f t="shared" si="0"/>
        <v>2.7682080517147907E-3</v>
      </c>
      <c r="D123" s="24">
        <v>121.93190002441406</v>
      </c>
      <c r="E123" s="5">
        <f t="shared" si="1"/>
        <v>8.2053376582752503E-3</v>
      </c>
      <c r="F123" s="36">
        <v>86.921600341796804</v>
      </c>
      <c r="G123" s="5">
        <f t="shared" si="2"/>
        <v>2.2893893575267921E-4</v>
      </c>
      <c r="H123" s="62">
        <v>151.77299500000001</v>
      </c>
      <c r="I123" s="5">
        <f t="shared" si="3"/>
        <v>2.5398696578999864E-3</v>
      </c>
    </row>
    <row r="124" spans="1:9" ht="13.8" thickBot="1">
      <c r="A124" s="13">
        <v>45624</v>
      </c>
      <c r="B124" s="35">
        <v>696.49700927734295</v>
      </c>
      <c r="C124" s="5">
        <f t="shared" si="0"/>
        <v>-4.7290571938955559E-3</v>
      </c>
      <c r="D124" s="24">
        <v>121.62740325927734</v>
      </c>
      <c r="E124" s="5">
        <f t="shared" si="1"/>
        <v>-2.5003924684732608E-3</v>
      </c>
      <c r="F124" s="36">
        <v>86.402496337890597</v>
      </c>
      <c r="G124" s="5">
        <f t="shared" si="2"/>
        <v>-5.9899986900175612E-3</v>
      </c>
      <c r="H124" s="62">
        <v>151.2220001</v>
      </c>
      <c r="I124" s="5">
        <f t="shared" si="3"/>
        <v>-3.636994117249302E-3</v>
      </c>
    </row>
    <row r="125" spans="1:9" ht="13.8" thickBot="1">
      <c r="A125" s="13">
        <v>45625</v>
      </c>
      <c r="B125" s="35">
        <v>700.54327392578102</v>
      </c>
      <c r="C125" s="5">
        <f t="shared" si="0"/>
        <v>5.7926403573916605E-3</v>
      </c>
      <c r="D125" s="24">
        <v>123.45890045166016</v>
      </c>
      <c r="E125" s="5">
        <f t="shared" si="1"/>
        <v>1.4946010922186441E-2</v>
      </c>
      <c r="F125" s="36">
        <v>86.763900756835895</v>
      </c>
      <c r="G125" s="5">
        <f t="shared" si="2"/>
        <v>4.1740770696306433E-3</v>
      </c>
      <c r="H125" s="62">
        <v>152.61399840000001</v>
      </c>
      <c r="I125" s="5">
        <f t="shared" si="3"/>
        <v>9.1628908097826523E-3</v>
      </c>
    </row>
    <row r="126" spans="1:9" ht="13.8" thickBot="1">
      <c r="A126" s="12">
        <v>45628</v>
      </c>
      <c r="B126" s="35">
        <v>701.85852050781205</v>
      </c>
      <c r="C126" s="5">
        <f t="shared" si="0"/>
        <v>1.8757063387511708E-3</v>
      </c>
      <c r="D126" s="24">
        <v>124.5802001953125</v>
      </c>
      <c r="E126" s="5">
        <f t="shared" si="1"/>
        <v>9.0413759705040078E-3</v>
      </c>
      <c r="F126" s="36">
        <v>87.284202575683594</v>
      </c>
      <c r="G126" s="5">
        <f t="shared" si="2"/>
        <v>5.9788456042054253E-3</v>
      </c>
      <c r="H126" s="62">
        <v>153.94599909999999</v>
      </c>
      <c r="I126" s="5">
        <f t="shared" si="3"/>
        <v>8.690038447401285E-3</v>
      </c>
    </row>
    <row r="127" spans="1:9" ht="13.8" thickBot="1">
      <c r="A127" s="12">
        <v>45629</v>
      </c>
      <c r="B127" s="35">
        <v>705.76110839843705</v>
      </c>
      <c r="C127" s="5">
        <f t="shared" si="0"/>
        <v>5.5449608825433646E-3</v>
      </c>
      <c r="D127" s="24">
        <v>125.35600280761719</v>
      </c>
      <c r="E127" s="5">
        <f t="shared" si="1"/>
        <v>6.2080250445822162E-3</v>
      </c>
      <c r="F127" s="36">
        <v>87.808502197265597</v>
      </c>
      <c r="G127" s="5">
        <f t="shared" si="2"/>
        <v>5.9888410464002924E-3</v>
      </c>
      <c r="H127" s="62">
        <v>155.28900150000001</v>
      </c>
      <c r="I127" s="5">
        <f t="shared" si="3"/>
        <v>8.6860209301722283E-3</v>
      </c>
    </row>
    <row r="128" spans="1:9" ht="13.8" thickBot="1">
      <c r="A128" s="12">
        <v>45630</v>
      </c>
      <c r="B128" s="35">
        <v>706.539306640625</v>
      </c>
      <c r="C128" s="5">
        <f t="shared" si="0"/>
        <v>1.1020294445280307E-3</v>
      </c>
      <c r="D128" s="24">
        <v>125.94930267333984</v>
      </c>
      <c r="E128" s="5">
        <f t="shared" si="1"/>
        <v>4.7217544164993297E-3</v>
      </c>
      <c r="F128" s="36">
        <v>87.856002807617102</v>
      </c>
      <c r="G128" s="5">
        <f t="shared" si="2"/>
        <v>5.4081058103244012E-4</v>
      </c>
      <c r="H128" s="62">
        <v>156.2879944</v>
      </c>
      <c r="I128" s="5">
        <f t="shared" si="3"/>
        <v>6.4125165618108765E-3</v>
      </c>
    </row>
    <row r="129" spans="1:9" ht="13.8" thickBot="1">
      <c r="A129" s="12">
        <v>45631</v>
      </c>
      <c r="B129" s="35">
        <v>708.76788330078102</v>
      </c>
      <c r="C129" s="5">
        <f t="shared" si="0"/>
        <v>3.1492505907860491E-3</v>
      </c>
      <c r="D129" s="24">
        <v>127.17829895019531</v>
      </c>
      <c r="E129" s="5">
        <f t="shared" si="1"/>
        <v>9.7105643660673445E-3</v>
      </c>
      <c r="F129" s="36">
        <v>88.384002685546804</v>
      </c>
      <c r="G129" s="5">
        <f t="shared" si="2"/>
        <v>5.9918456782653033E-3</v>
      </c>
      <c r="H129" s="62">
        <v>156.2630005</v>
      </c>
      <c r="I129" s="5">
        <f t="shared" si="3"/>
        <v>-1.5993486158172901E-4</v>
      </c>
    </row>
    <row r="130" spans="1:9" ht="13.8" thickBot="1">
      <c r="A130" s="12">
        <v>45632</v>
      </c>
      <c r="B130" s="35">
        <v>708.41998291015602</v>
      </c>
      <c r="C130" s="5">
        <f t="shared" si="0"/>
        <v>-4.9097287086392644E-4</v>
      </c>
      <c r="D130" s="24">
        <v>127.89389801025391</v>
      </c>
      <c r="E130" s="5">
        <f t="shared" si="1"/>
        <v>5.6109677653336703E-3</v>
      </c>
      <c r="F130" s="36">
        <v>88.688796997070298</v>
      </c>
      <c r="G130" s="5">
        <f t="shared" si="2"/>
        <v>3.4425909918464849E-3</v>
      </c>
      <c r="H130" s="62">
        <v>157.00500489999999</v>
      </c>
      <c r="I130" s="5">
        <f t="shared" si="3"/>
        <v>4.7371948288367442E-3</v>
      </c>
    </row>
    <row r="131" spans="1:9" ht="13.8" thickBot="1">
      <c r="A131" s="12">
        <v>45635</v>
      </c>
      <c r="B131" s="35">
        <v>708.539306640625</v>
      </c>
      <c r="C131" s="5">
        <f t="shared" si="0"/>
        <v>1.6842224279968446E-4</v>
      </c>
      <c r="D131" s="24">
        <v>128.94259643554688</v>
      </c>
      <c r="E131" s="5">
        <f t="shared" si="1"/>
        <v>8.1663180739303814E-3</v>
      </c>
      <c r="F131" s="36">
        <v>88.798202514648395</v>
      </c>
      <c r="G131" s="5">
        <f t="shared" si="2"/>
        <v>1.2328286774342613E-3</v>
      </c>
      <c r="H131" s="62">
        <v>157.753006</v>
      </c>
      <c r="I131" s="5">
        <f t="shared" si="3"/>
        <v>4.7528735231278287E-3</v>
      </c>
    </row>
    <row r="132" spans="1:9" ht="13.8" thickBot="1">
      <c r="A132" s="13">
        <v>45636</v>
      </c>
      <c r="B132" s="35">
        <v>710.42779541015602</v>
      </c>
      <c r="C132" s="5">
        <f t="shared" si="0"/>
        <v>2.6617810685098079E-3</v>
      </c>
      <c r="D132" s="24">
        <v>128.86839294433594</v>
      </c>
      <c r="E132" s="5">
        <f t="shared" si="1"/>
        <v>-5.7564259334677299E-4</v>
      </c>
      <c r="F132" s="36">
        <v>88.974700927734304</v>
      </c>
      <c r="G132" s="5">
        <f t="shared" si="2"/>
        <v>1.9856622427884009E-3</v>
      </c>
      <c r="H132" s="62">
        <v>157.8939972</v>
      </c>
      <c r="I132" s="5">
        <f t="shared" si="3"/>
        <v>8.9334736555310033E-4</v>
      </c>
    </row>
    <row r="133" spans="1:9" ht="13.8" thickBot="1">
      <c r="A133" s="13">
        <v>45637</v>
      </c>
      <c r="B133" s="35">
        <v>710.989013671875</v>
      </c>
      <c r="C133" s="5">
        <f t="shared" si="0"/>
        <v>7.8966041107152412E-4</v>
      </c>
      <c r="D133" s="24">
        <v>129.24259948730469</v>
      </c>
      <c r="E133" s="5">
        <f t="shared" si="1"/>
        <v>2.8995805379996532E-3</v>
      </c>
      <c r="F133" s="36">
        <v>89.404998779296804</v>
      </c>
      <c r="G133" s="5">
        <f t="shared" si="2"/>
        <v>4.8245252896476423E-3</v>
      </c>
      <c r="H133" s="62">
        <v>158.23800660000001</v>
      </c>
      <c r="I133" s="5">
        <f t="shared" si="3"/>
        <v>2.1763664016948244E-3</v>
      </c>
    </row>
    <row r="134" spans="1:9" ht="13.8" thickBot="1">
      <c r="A134" s="13">
        <v>45638</v>
      </c>
      <c r="B134" s="35">
        <v>708.28192138671795</v>
      </c>
      <c r="C134" s="5">
        <f t="shared" si="0"/>
        <v>-3.8147692610218543E-3</v>
      </c>
      <c r="D134" s="24">
        <v>129.20880126953125</v>
      </c>
      <c r="E134" s="5">
        <f t="shared" si="1"/>
        <v>-2.6154408811191208E-4</v>
      </c>
      <c r="F134" s="36">
        <v>89.199203491210895</v>
      </c>
      <c r="G134" s="5">
        <f t="shared" si="2"/>
        <v>-2.3044852981657384E-3</v>
      </c>
      <c r="H134" s="62">
        <v>157.2689972</v>
      </c>
      <c r="I134" s="5">
        <f t="shared" si="3"/>
        <v>-6.1425732877665781E-3</v>
      </c>
    </row>
    <row r="135" spans="1:9" ht="13.8" thickBot="1">
      <c r="A135" s="13">
        <v>45639</v>
      </c>
      <c r="B135" s="35">
        <v>708.46417236328102</v>
      </c>
      <c r="C135" s="5">
        <f t="shared" si="0"/>
        <v>2.5728107297761949E-4</v>
      </c>
      <c r="D135" s="24">
        <v>129.71159362792969</v>
      </c>
      <c r="E135" s="5">
        <f t="shared" si="1"/>
        <v>3.8837650513543456E-3</v>
      </c>
      <c r="F135" s="36">
        <v>89.432701110839801</v>
      </c>
      <c r="G135" s="5">
        <f t="shared" si="2"/>
        <v>2.6142894589393727E-3</v>
      </c>
      <c r="H135" s="62">
        <v>157.27000430000001</v>
      </c>
      <c r="I135" s="5">
        <f t="shared" si="3"/>
        <v>6.4036573856086509E-6</v>
      </c>
    </row>
    <row r="136" spans="1:9" ht="13.8" thickBot="1">
      <c r="A136" s="13">
        <v>45642</v>
      </c>
      <c r="B136" s="35">
        <v>708.21759033203102</v>
      </c>
      <c r="C136" s="5">
        <f t="shared" si="0"/>
        <v>-3.481121028493899E-4</v>
      </c>
      <c r="D136" s="24">
        <v>130.66360473632813</v>
      </c>
      <c r="E136" s="5">
        <f t="shared" si="1"/>
        <v>7.3126423465382879E-3</v>
      </c>
      <c r="F136" s="36">
        <v>89.644096374511705</v>
      </c>
      <c r="G136" s="5">
        <f t="shared" si="2"/>
        <v>2.3609464189071161E-3</v>
      </c>
      <c r="H136" s="62">
        <v>158.4940033</v>
      </c>
      <c r="I136" s="5">
        <f t="shared" si="3"/>
        <v>7.7526576880599411E-3</v>
      </c>
    </row>
    <row r="137" spans="1:9" ht="13.8" thickBot="1">
      <c r="A137" s="13">
        <v>45643</v>
      </c>
      <c r="B137" s="35">
        <v>703.605712890625</v>
      </c>
      <c r="C137" s="5">
        <f t="shared" si="0"/>
        <v>-6.5332451094169859E-3</v>
      </c>
      <c r="D137" s="24">
        <v>130.31840515136719</v>
      </c>
      <c r="E137" s="5">
        <f t="shared" si="1"/>
        <v>-2.6453914307818468E-3</v>
      </c>
      <c r="F137" s="36">
        <v>89.138900756835895</v>
      </c>
      <c r="G137" s="5">
        <f t="shared" si="2"/>
        <v>-5.6515101595265354E-3</v>
      </c>
      <c r="H137" s="62">
        <v>157.26100159999999</v>
      </c>
      <c r="I137" s="5">
        <f t="shared" si="3"/>
        <v>-7.8099029187913846E-3</v>
      </c>
    </row>
    <row r="138" spans="1:9" ht="13.8" thickBot="1">
      <c r="A138" s="13">
        <v>45644</v>
      </c>
      <c r="B138" s="35">
        <v>701.09368896484295</v>
      </c>
      <c r="C138" s="5">
        <f t="shared" si="0"/>
        <v>-3.5766037919581031E-3</v>
      </c>
      <c r="D138" s="24">
        <v>130.08430480957031</v>
      </c>
      <c r="E138" s="5">
        <f t="shared" si="1"/>
        <v>-1.7979874702365234E-3</v>
      </c>
      <c r="F138" s="36">
        <v>88.162399291992102</v>
      </c>
      <c r="G138" s="5">
        <f t="shared" si="2"/>
        <v>-1.1015275559860722E-2</v>
      </c>
      <c r="H138" s="62">
        <v>156.7910004</v>
      </c>
      <c r="I138" s="5">
        <f t="shared" si="3"/>
        <v>-2.9931447524520986E-3</v>
      </c>
    </row>
    <row r="139" spans="1:9" ht="13.8" thickBot="1">
      <c r="A139" s="13">
        <v>45645</v>
      </c>
      <c r="B139" s="35">
        <v>696.59588623046795</v>
      </c>
      <c r="C139" s="5">
        <f t="shared" si="0"/>
        <v>-6.4360761362972103E-3</v>
      </c>
      <c r="D139" s="24">
        <v>129.5740966796875</v>
      </c>
      <c r="E139" s="5">
        <f t="shared" si="1"/>
        <v>-3.9298461638913847E-3</v>
      </c>
      <c r="F139" s="36">
        <v>87.950401306152301</v>
      </c>
      <c r="G139" s="5">
        <f t="shared" si="2"/>
        <v>-2.4075261709315524E-3</v>
      </c>
      <c r="H139" s="62">
        <v>156.72900390000001</v>
      </c>
      <c r="I139" s="5">
        <f t="shared" si="3"/>
        <v>-3.9548673103958993E-4</v>
      </c>
    </row>
    <row r="140" spans="1:9" ht="13.8" thickBot="1">
      <c r="A140" s="13">
        <v>45646</v>
      </c>
      <c r="B140" s="35">
        <v>691.72772216796795</v>
      </c>
      <c r="C140" s="5">
        <f t="shared" si="0"/>
        <v>-7.0130393022159038E-3</v>
      </c>
      <c r="D140" s="24">
        <v>125.62789916992188</v>
      </c>
      <c r="E140" s="5">
        <f t="shared" si="1"/>
        <v>-3.0928536125961539E-2</v>
      </c>
      <c r="F140" s="36">
        <v>86.882400512695298</v>
      </c>
      <c r="G140" s="5">
        <f t="shared" si="2"/>
        <v>-1.2217548048394167E-2</v>
      </c>
      <c r="H140" s="62">
        <v>153.5789948</v>
      </c>
      <c r="I140" s="5">
        <f t="shared" si="3"/>
        <v>-2.0303165372009897E-2</v>
      </c>
    </row>
    <row r="141" spans="1:9" ht="13.8" thickBot="1">
      <c r="A141" s="13">
        <v>45649</v>
      </c>
      <c r="B141" s="35">
        <v>693.72430419921795</v>
      </c>
      <c r="C141" s="5">
        <f t="shared" si="0"/>
        <v>2.8822122677802336E-3</v>
      </c>
      <c r="D141" s="24">
        <v>125.84459686279297</v>
      </c>
      <c r="E141" s="5">
        <f t="shared" si="1"/>
        <v>1.7234309908742591E-3</v>
      </c>
      <c r="F141" s="36">
        <v>87.434501647949205</v>
      </c>
      <c r="G141" s="5">
        <f t="shared" si="2"/>
        <v>6.3344744488185393E-3</v>
      </c>
      <c r="H141" s="62">
        <v>153.6840057</v>
      </c>
      <c r="I141" s="5">
        <f t="shared" si="3"/>
        <v>6.8352456311097346E-4</v>
      </c>
    </row>
    <row r="142" spans="1:9" ht="13.8" thickBot="1">
      <c r="A142" s="13">
        <v>45650</v>
      </c>
      <c r="B142" s="35">
        <v>693.96270751953102</v>
      </c>
      <c r="C142" s="5">
        <f t="shared" si="0"/>
        <v>3.4359811779640428E-4</v>
      </c>
      <c r="D142" s="24">
        <v>125.74620056152344</v>
      </c>
      <c r="E142" s="5">
        <f t="shared" si="1"/>
        <v>-7.8219320653746859E-4</v>
      </c>
      <c r="F142" s="36">
        <v>87.439201354980398</v>
      </c>
      <c r="G142" s="5">
        <f t="shared" si="2"/>
        <v>5.3749728536834908E-5</v>
      </c>
      <c r="H142" s="62">
        <v>153.9409943</v>
      </c>
      <c r="I142" s="5">
        <f t="shared" si="3"/>
        <v>1.6707917742896455E-3</v>
      </c>
    </row>
    <row r="143" spans="1:9" ht="13.8" thickBot="1">
      <c r="A143" s="13">
        <v>45652</v>
      </c>
      <c r="B143" s="35">
        <v>694.25830078125</v>
      </c>
      <c r="C143" s="5">
        <f t="shared" si="0"/>
        <v>4.2585908788125094E-4</v>
      </c>
      <c r="D143" s="24">
        <v>126.68679809570313</v>
      </c>
      <c r="E143" s="5">
        <f t="shared" si="1"/>
        <v>7.4522894575026191E-3</v>
      </c>
      <c r="F143" s="36">
        <v>87.615196228027301</v>
      </c>
      <c r="G143" s="5">
        <f t="shared" si="2"/>
        <v>2.0107456284894991E-3</v>
      </c>
      <c r="H143" s="62">
        <v>154.0659943</v>
      </c>
      <c r="I143" s="5">
        <f t="shared" si="3"/>
        <v>8.1166993924880351E-4</v>
      </c>
    </row>
    <row r="144" spans="1:9" ht="13.8" thickBot="1">
      <c r="A144" s="13">
        <v>45653</v>
      </c>
      <c r="B144" s="35">
        <v>695.034423828125</v>
      </c>
      <c r="C144" s="5">
        <f t="shared" si="0"/>
        <v>1.1172924378945756E-3</v>
      </c>
      <c r="D144" s="24">
        <v>126.76399993896484</v>
      </c>
      <c r="E144" s="5">
        <f t="shared" si="1"/>
        <v>6.0920578075152531E-4</v>
      </c>
      <c r="F144" s="36">
        <v>87.601501464843693</v>
      </c>
      <c r="G144" s="5">
        <f t="shared" si="2"/>
        <v>-1.5631801525558468E-4</v>
      </c>
      <c r="H144" s="62">
        <v>154.1779938</v>
      </c>
      <c r="I144" s="5">
        <f t="shared" si="3"/>
        <v>7.2669384807218815E-4</v>
      </c>
    </row>
    <row r="145" spans="1:9" ht="13.8" thickBot="1">
      <c r="A145" s="13">
        <v>45656</v>
      </c>
      <c r="B145" s="35">
        <v>692.04577636718705</v>
      </c>
      <c r="C145" s="5">
        <f t="shared" si="0"/>
        <v>-4.3092707767026601E-3</v>
      </c>
      <c r="D145" s="24">
        <v>128.54150390625</v>
      </c>
      <c r="E145" s="5">
        <f t="shared" si="1"/>
        <v>1.3924750244119315E-2</v>
      </c>
      <c r="F145" s="36">
        <v>87.960403442382798</v>
      </c>
      <c r="G145" s="5">
        <f t="shared" si="2"/>
        <v>4.0886145283291313E-3</v>
      </c>
      <c r="H145" s="62">
        <v>154.23899840000001</v>
      </c>
      <c r="I145" s="5">
        <f t="shared" si="3"/>
        <v>3.9559818258045937E-4</v>
      </c>
    </row>
    <row r="146" spans="1:9" ht="13.8" thickBot="1">
      <c r="A146" s="13">
        <v>45657</v>
      </c>
      <c r="B146" s="35">
        <v>691.89782714843705</v>
      </c>
      <c r="C146" s="5">
        <f t="shared" si="0"/>
        <v>-2.1380816232368063E-4</v>
      </c>
      <c r="D146" s="24">
        <v>128.27070617675781</v>
      </c>
      <c r="E146" s="5">
        <f t="shared" si="1"/>
        <v>-2.1089170936986422E-3</v>
      </c>
      <c r="F146" s="36">
        <v>87.672996520996094</v>
      </c>
      <c r="G146" s="5">
        <f t="shared" si="2"/>
        <v>-3.2728077687694717E-3</v>
      </c>
      <c r="H146" s="62">
        <v>154.38000489999999</v>
      </c>
      <c r="I146" s="5">
        <f t="shared" si="3"/>
        <v>9.1379019635253139E-4</v>
      </c>
    </row>
    <row r="147" spans="1:9" ht="13.8" thickBot="1">
      <c r="A147" s="12">
        <v>45658</v>
      </c>
      <c r="B147" s="35">
        <v>694.52569580078102</v>
      </c>
      <c r="C147" s="5">
        <f t="shared" si="0"/>
        <v>3.790864416046313E-3</v>
      </c>
      <c r="D147" s="24">
        <v>128.57809448242188</v>
      </c>
      <c r="E147" s="5">
        <f t="shared" si="1"/>
        <v>2.3935362098469145E-3</v>
      </c>
      <c r="F147" s="36">
        <v>87.945602416992102</v>
      </c>
      <c r="G147" s="5">
        <f t="shared" si="2"/>
        <v>3.1045244250221451E-3</v>
      </c>
      <c r="H147" s="62">
        <v>155.09800720000001</v>
      </c>
      <c r="I147" s="5">
        <f t="shared" si="3"/>
        <v>4.6400943535322764E-3</v>
      </c>
    </row>
    <row r="148" spans="1:9" ht="13.8" thickBot="1">
      <c r="A148" s="12">
        <v>45659</v>
      </c>
      <c r="B148" s="35">
        <v>702.66632080078102</v>
      </c>
      <c r="C148" s="5">
        <f t="shared" si="0"/>
        <v>1.1652968270862056E-2</v>
      </c>
      <c r="D148" s="24">
        <v>129.99459838867188</v>
      </c>
      <c r="E148" s="5">
        <f t="shared" si="1"/>
        <v>1.0956439836517833E-2</v>
      </c>
      <c r="F148" s="36">
        <v>89.010597229003906</v>
      </c>
      <c r="G148" s="5">
        <f t="shared" si="2"/>
        <v>1.2036963643008793E-2</v>
      </c>
      <c r="H148" s="62">
        <v>156.5650024</v>
      </c>
      <c r="I148" s="5">
        <f t="shared" si="3"/>
        <v>9.4140529295622805E-3</v>
      </c>
    </row>
    <row r="149" spans="1:9" ht="13.8" thickBot="1">
      <c r="A149" s="12">
        <v>45660</v>
      </c>
      <c r="B149" s="35">
        <v>703.57110595703102</v>
      </c>
      <c r="C149" s="5">
        <f t="shared" si="0"/>
        <v>1.2868172385209293E-3</v>
      </c>
      <c r="D149" s="24">
        <v>129.1343994140625</v>
      </c>
      <c r="E149" s="5">
        <f t="shared" si="1"/>
        <v>-6.6391808065250297E-3</v>
      </c>
      <c r="F149" s="36">
        <v>88.499000549316406</v>
      </c>
      <c r="G149" s="5">
        <f t="shared" si="2"/>
        <v>-5.7641739106277122E-3</v>
      </c>
      <c r="H149" s="62">
        <v>156.08500670000001</v>
      </c>
      <c r="I149" s="5">
        <f t="shared" si="3"/>
        <v>-3.070500963664298E-3</v>
      </c>
    </row>
    <row r="150" spans="1:9" ht="13.8" thickBot="1">
      <c r="A150" s="12">
        <v>45663</v>
      </c>
      <c r="B150" s="35">
        <v>698.61407470703102</v>
      </c>
      <c r="C150" s="5">
        <f t="shared" si="0"/>
        <v>-7.0704668243908742E-3</v>
      </c>
      <c r="D150" s="24">
        <v>126.03769683837891</v>
      </c>
      <c r="E150" s="5">
        <f t="shared" si="1"/>
        <v>-2.4272674466760773E-2</v>
      </c>
      <c r="F150" s="36">
        <v>87.346496582031193</v>
      </c>
      <c r="G150" s="5">
        <f t="shared" si="2"/>
        <v>-1.3108330765087509E-2</v>
      </c>
      <c r="H150" s="62">
        <v>152.89900209999999</v>
      </c>
      <c r="I150" s="5">
        <f t="shared" si="3"/>
        <v>-2.0623187155181823E-2</v>
      </c>
    </row>
    <row r="151" spans="1:9" ht="13.8" thickBot="1">
      <c r="A151" s="12">
        <v>45664</v>
      </c>
      <c r="B151" s="35">
        <v>701.101806640625</v>
      </c>
      <c r="C151" s="5">
        <f t="shared" si="0"/>
        <v>3.5546278872698369E-3</v>
      </c>
      <c r="D151" s="24">
        <v>126.38400268554688</v>
      </c>
      <c r="E151" s="5">
        <f t="shared" si="1"/>
        <v>2.7438692085023238E-3</v>
      </c>
      <c r="F151" s="36">
        <v>87.293899536132798</v>
      </c>
      <c r="G151" s="5">
        <f t="shared" si="2"/>
        <v>-6.0234686427401685E-4</v>
      </c>
      <c r="H151" s="62">
        <v>154.2779999</v>
      </c>
      <c r="I151" s="5">
        <f t="shared" si="3"/>
        <v>8.9785827389115072E-3</v>
      </c>
    </row>
    <row r="152" spans="1:9" ht="13.8" thickBot="1">
      <c r="A152" s="12">
        <v>45665</v>
      </c>
      <c r="B152" s="35">
        <v>700.9873046875</v>
      </c>
      <c r="C152" s="5">
        <f t="shared" si="0"/>
        <v>-1.6333049369608043E-4</v>
      </c>
      <c r="D152" s="24">
        <v>124.37210083007813</v>
      </c>
      <c r="E152" s="5">
        <f t="shared" si="1"/>
        <v>-1.6047027373010926E-2</v>
      </c>
      <c r="F152" s="36">
        <v>87.342201232910099</v>
      </c>
      <c r="G152" s="5">
        <f t="shared" si="2"/>
        <v>5.5316968022384161E-4</v>
      </c>
      <c r="H152" s="62">
        <v>152.53700259999999</v>
      </c>
      <c r="I152" s="5">
        <f t="shared" si="3"/>
        <v>-1.1348962549587498E-2</v>
      </c>
    </row>
    <row r="153" spans="1:9" ht="13.8" thickBot="1">
      <c r="A153" s="12">
        <v>45666</v>
      </c>
      <c r="B153" s="35">
        <v>699.12640380859295</v>
      </c>
      <c r="C153" s="5">
        <f t="shared" si="0"/>
        <v>-2.6582154912020645E-3</v>
      </c>
      <c r="D153" s="24">
        <v>122.49169921875</v>
      </c>
      <c r="E153" s="5">
        <f t="shared" si="1"/>
        <v>-1.5234619088880024E-2</v>
      </c>
      <c r="F153" s="36">
        <v>86.990699768066406</v>
      </c>
      <c r="G153" s="5">
        <f t="shared" si="2"/>
        <v>-4.032537050086436E-3</v>
      </c>
      <c r="H153" s="62">
        <v>151.3970032</v>
      </c>
      <c r="I153" s="5">
        <f t="shared" si="3"/>
        <v>-7.5016597310780374E-3</v>
      </c>
    </row>
    <row r="154" spans="1:9" ht="13.8" thickBot="1">
      <c r="A154" s="13">
        <v>45667</v>
      </c>
      <c r="B154" s="35">
        <v>696.70251464843705</v>
      </c>
      <c r="C154" s="5">
        <f t="shared" si="0"/>
        <v>-3.4730496904483489E-3</v>
      </c>
      <c r="D154" s="24">
        <v>120.40560150146484</v>
      </c>
      <c r="E154" s="5">
        <f t="shared" si="1"/>
        <v>-1.7177210318223543E-2</v>
      </c>
      <c r="F154" s="36">
        <v>86.277702331542898</v>
      </c>
      <c r="G154" s="5">
        <f t="shared" si="2"/>
        <v>-8.230022928013888E-3</v>
      </c>
      <c r="H154" s="62">
        <v>149.0939941</v>
      </c>
      <c r="I154" s="5">
        <f t="shared" si="3"/>
        <v>-1.5328606944123649E-2</v>
      </c>
    </row>
    <row r="155" spans="1:9" ht="13.8" thickBot="1">
      <c r="A155" s="13">
        <v>45670</v>
      </c>
      <c r="B155" s="35">
        <v>689.85339355468705</v>
      </c>
      <c r="C155" s="5">
        <f t="shared" si="0"/>
        <v>-9.8794094935263886E-3</v>
      </c>
      <c r="D155" s="24">
        <v>114.41819763183594</v>
      </c>
      <c r="E155" s="5">
        <f t="shared" si="1"/>
        <v>-5.1005919387323982E-2</v>
      </c>
      <c r="F155" s="36">
        <v>85.094398498535099</v>
      </c>
      <c r="G155" s="5">
        <f t="shared" si="2"/>
        <v>-1.3809979960792244E-2</v>
      </c>
      <c r="H155" s="62">
        <v>142.86799619999999</v>
      </c>
      <c r="I155" s="5">
        <f t="shared" si="3"/>
        <v>-4.2655839498949598E-2</v>
      </c>
    </row>
    <row r="156" spans="1:9" ht="13.8" thickBot="1">
      <c r="A156" s="13">
        <v>45671</v>
      </c>
      <c r="B156" s="35">
        <v>693.36212158203102</v>
      </c>
      <c r="C156" s="5">
        <f t="shared" si="0"/>
        <v>5.073302771257701E-3</v>
      </c>
      <c r="D156" s="24">
        <v>115.69850158691406</v>
      </c>
      <c r="E156" s="5">
        <f t="shared" si="1"/>
        <v>1.1127546764277402E-2</v>
      </c>
      <c r="F156" s="36">
        <v>85.378402709960895</v>
      </c>
      <c r="G156" s="5">
        <f t="shared" si="2"/>
        <v>3.3319623090956735E-3</v>
      </c>
      <c r="H156" s="62">
        <v>144.43800350000001</v>
      </c>
      <c r="I156" s="5">
        <f t="shared" si="3"/>
        <v>1.0929273524356508E-2</v>
      </c>
    </row>
    <row r="157" spans="1:9" ht="13.8" thickBot="1">
      <c r="A157" s="13">
        <v>45672</v>
      </c>
      <c r="B157" s="35">
        <v>695.690185546875</v>
      </c>
      <c r="C157" s="5">
        <f t="shared" si="0"/>
        <v>3.3520208457922113E-3</v>
      </c>
      <c r="D157" s="24">
        <v>115.59210205078125</v>
      </c>
      <c r="E157" s="5">
        <f t="shared" si="1"/>
        <v>-9.2005072376412107E-4</v>
      </c>
      <c r="F157" s="36">
        <v>86.018798828125</v>
      </c>
      <c r="G157" s="5">
        <f t="shared" si="2"/>
        <v>7.4726902475629698E-3</v>
      </c>
      <c r="H157" s="62">
        <v>145.0529938</v>
      </c>
      <c r="I157" s="5">
        <f t="shared" si="3"/>
        <v>4.2487761684546392E-3</v>
      </c>
    </row>
    <row r="158" spans="1:9" ht="13.8" thickBot="1">
      <c r="A158" s="13">
        <v>45673</v>
      </c>
      <c r="B158" s="35">
        <v>699.5537109375</v>
      </c>
      <c r="C158" s="5">
        <f t="shared" si="0"/>
        <v>5.5381503911098107E-3</v>
      </c>
      <c r="D158" s="24">
        <v>115.64289855957031</v>
      </c>
      <c r="E158" s="5">
        <f t="shared" si="1"/>
        <v>4.3934966135821967E-4</v>
      </c>
      <c r="F158" s="36">
        <v>86.041900634765597</v>
      </c>
      <c r="G158" s="5">
        <f t="shared" si="2"/>
        <v>2.6853089463824029E-4</v>
      </c>
      <c r="H158" s="62">
        <v>145.90699770000001</v>
      </c>
      <c r="I158" s="5">
        <f t="shared" si="3"/>
        <v>5.8702665477306229E-3</v>
      </c>
    </row>
    <row r="159" spans="1:9" ht="13.8" thickBot="1">
      <c r="A159" s="13">
        <v>45674</v>
      </c>
      <c r="B159" s="35">
        <v>698.4716796875</v>
      </c>
      <c r="C159" s="5">
        <f t="shared" si="0"/>
        <v>-1.5479425099328133E-3</v>
      </c>
      <c r="D159" s="24">
        <v>114.943603515625</v>
      </c>
      <c r="E159" s="5">
        <f t="shared" si="1"/>
        <v>-6.0653783417810034E-3</v>
      </c>
      <c r="F159" s="36">
        <v>85.923599243164006</v>
      </c>
      <c r="G159" s="5">
        <f t="shared" si="2"/>
        <v>-1.3758737694234567E-3</v>
      </c>
      <c r="H159" s="62">
        <v>145.31700129999999</v>
      </c>
      <c r="I159" s="5">
        <f t="shared" si="3"/>
        <v>-4.0518446914530925E-3</v>
      </c>
    </row>
    <row r="160" spans="1:9" ht="13.8" thickBot="1">
      <c r="A160" s="13">
        <v>45677</v>
      </c>
      <c r="B160" s="35">
        <v>700.56481933593705</v>
      </c>
      <c r="C160" s="5">
        <f t="shared" si="0"/>
        <v>2.992261047747751E-3</v>
      </c>
      <c r="D160" s="24">
        <v>115.59169769287109</v>
      </c>
      <c r="E160" s="5">
        <f t="shared" si="1"/>
        <v>5.6225305295091914E-3</v>
      </c>
      <c r="F160" s="36">
        <v>86.356101989746094</v>
      </c>
      <c r="G160" s="5">
        <f t="shared" si="2"/>
        <v>5.0209473559514432E-3</v>
      </c>
      <c r="H160" s="62">
        <v>145.73300169999999</v>
      </c>
      <c r="I160" s="5">
        <f t="shared" si="3"/>
        <v>2.858620024038556E-3</v>
      </c>
    </row>
    <row r="161" spans="1:9" ht="13.8" thickBot="1">
      <c r="A161" s="13">
        <v>45678</v>
      </c>
      <c r="B161" s="35">
        <v>696.65270996093705</v>
      </c>
      <c r="C161" s="5">
        <f t="shared" si="0"/>
        <v>-5.5998719113429614E-3</v>
      </c>
      <c r="D161" s="24">
        <v>110.74299621582031</v>
      </c>
      <c r="E161" s="5">
        <f t="shared" si="1"/>
        <v>-4.2851967054063682E-2</v>
      </c>
      <c r="F161" s="36">
        <v>85.724502563476506</v>
      </c>
      <c r="G161" s="5">
        <f t="shared" si="2"/>
        <v>-7.3407722404675319E-3</v>
      </c>
      <c r="H161" s="62">
        <v>142.79899599999999</v>
      </c>
      <c r="I161" s="5">
        <f t="shared" si="3"/>
        <v>-2.0338172945675411E-2</v>
      </c>
    </row>
    <row r="162" spans="1:9" ht="13.8" thickBot="1">
      <c r="A162" s="13">
        <v>45679</v>
      </c>
      <c r="B162" s="35">
        <v>697.87738037109295</v>
      </c>
      <c r="C162" s="5">
        <f t="shared" si="0"/>
        <v>1.7563919681329054E-3</v>
      </c>
      <c r="D162" s="24">
        <v>108.85330200195313</v>
      </c>
      <c r="E162" s="5">
        <f t="shared" si="1"/>
        <v>-1.7211044777032801E-2</v>
      </c>
      <c r="F162" s="36">
        <v>86.299697875976506</v>
      </c>
      <c r="G162" s="5">
        <f t="shared" si="2"/>
        <v>6.6874015941297132E-3</v>
      </c>
      <c r="H162" s="62">
        <v>141.06100459999999</v>
      </c>
      <c r="I162" s="5">
        <f t="shared" si="3"/>
        <v>-1.224556552162436E-2</v>
      </c>
    </row>
    <row r="163" spans="1:9" ht="13.8" thickBot="1">
      <c r="A163" s="13">
        <v>45680</v>
      </c>
      <c r="B163" s="35">
        <v>699.091796875</v>
      </c>
      <c r="C163" s="5">
        <f t="shared" si="0"/>
        <v>1.7386451034250995E-3</v>
      </c>
      <c r="D163" s="24">
        <v>112.5885009765625</v>
      </c>
      <c r="E163" s="5">
        <f t="shared" si="1"/>
        <v>3.3738465162597792E-2</v>
      </c>
      <c r="F163" s="36">
        <v>86.411102294921804</v>
      </c>
      <c r="G163" s="5">
        <f t="shared" si="2"/>
        <v>1.290069113057412E-3</v>
      </c>
      <c r="H163" s="62">
        <v>144.15899659999999</v>
      </c>
      <c r="I163" s="5">
        <f t="shared" si="3"/>
        <v>2.1724379967121583E-2</v>
      </c>
    </row>
    <row r="164" spans="1:9" ht="13.8" thickBot="1">
      <c r="A164" s="13">
        <v>45681</v>
      </c>
      <c r="B164" s="35">
        <v>697.67041015625</v>
      </c>
      <c r="C164" s="5">
        <f t="shared" si="0"/>
        <v>-2.0352601212198472E-3</v>
      </c>
      <c r="D164" s="24">
        <v>110.74649810791016</v>
      </c>
      <c r="E164" s="5">
        <f t="shared" si="1"/>
        <v>-1.6495799092638031E-2</v>
      </c>
      <c r="F164" s="36">
        <v>86.120201110839801</v>
      </c>
      <c r="G164" s="5">
        <f t="shared" si="2"/>
        <v>-3.3721586054667159E-3</v>
      </c>
      <c r="H164" s="62">
        <v>141.51800539999999</v>
      </c>
      <c r="I164" s="5">
        <f t="shared" si="3"/>
        <v>-1.8489877882705622E-2</v>
      </c>
    </row>
    <row r="165" spans="1:9" ht="13.8" thickBot="1">
      <c r="A165" s="13">
        <v>45684</v>
      </c>
      <c r="B165" s="35">
        <v>693.63531494140602</v>
      </c>
      <c r="C165" s="5">
        <f t="shared" si="0"/>
        <v>-5.8004598925448193E-3</v>
      </c>
      <c r="D165" s="24">
        <v>107.84140014648438</v>
      </c>
      <c r="E165" s="5">
        <f t="shared" si="1"/>
        <v>-2.6582157998286327E-2</v>
      </c>
      <c r="F165" s="36">
        <v>85.270698547363196</v>
      </c>
      <c r="G165" s="5">
        <f t="shared" si="2"/>
        <v>-9.9131228306488656E-3</v>
      </c>
      <c r="H165" s="62">
        <v>137.2149963</v>
      </c>
      <c r="I165" s="5">
        <f t="shared" si="3"/>
        <v>-3.0877943834396064E-2</v>
      </c>
    </row>
    <row r="166" spans="1:9" ht="13.8" thickBot="1">
      <c r="A166" s="13">
        <v>45685</v>
      </c>
      <c r="B166" s="35">
        <v>695.01251220703102</v>
      </c>
      <c r="C166" s="5">
        <f t="shared" si="0"/>
        <v>1.9835089793494016E-3</v>
      </c>
      <c r="D166" s="24">
        <v>106.81379699707031</v>
      </c>
      <c r="E166" s="5">
        <f t="shared" si="1"/>
        <v>-9.5745270856956079E-3</v>
      </c>
      <c r="F166" s="36">
        <v>85.673698425292898</v>
      </c>
      <c r="G166" s="5">
        <f t="shared" si="2"/>
        <v>4.7149907415727828E-3</v>
      </c>
      <c r="H166" s="62">
        <v>135.6060028</v>
      </c>
      <c r="I166" s="5">
        <f t="shared" si="3"/>
        <v>-1.1795368833783239E-2</v>
      </c>
    </row>
    <row r="167" spans="1:9" ht="13.8" thickBot="1">
      <c r="A167" s="13">
        <v>45686</v>
      </c>
      <c r="B167" s="35">
        <v>698.53558349609295</v>
      </c>
      <c r="C167" s="5">
        <f t="shared" si="0"/>
        <v>5.0562715499960706E-3</v>
      </c>
      <c r="D167" s="24">
        <v>109.33619689941406</v>
      </c>
      <c r="E167" s="5">
        <f t="shared" si="1"/>
        <v>2.3340406978018525E-2</v>
      </c>
      <c r="F167" s="36">
        <v>86.324203491210895</v>
      </c>
      <c r="G167" s="5">
        <f t="shared" si="2"/>
        <v>7.5641407283117221E-3</v>
      </c>
      <c r="H167" s="62">
        <v>139.253006</v>
      </c>
      <c r="I167" s="5">
        <f t="shared" si="3"/>
        <v>2.6538822684949465E-2</v>
      </c>
    </row>
    <row r="168" spans="1:9" ht="13.8" thickBot="1">
      <c r="A168" s="13">
        <v>45687</v>
      </c>
      <c r="B168" s="35">
        <v>700.49139404296795</v>
      </c>
      <c r="C168" s="5">
        <f t="shared" si="0"/>
        <v>2.79596012426701E-3</v>
      </c>
      <c r="D168" s="24">
        <v>107.75319671630859</v>
      </c>
      <c r="E168" s="5">
        <f t="shared" si="1"/>
        <v>-1.4584114081679622E-2</v>
      </c>
      <c r="F168" s="36">
        <v>86.454803466796804</v>
      </c>
      <c r="G168" s="5">
        <f t="shared" si="2"/>
        <v>1.5117577390699635E-3</v>
      </c>
      <c r="H168" s="62">
        <v>139.33099369999999</v>
      </c>
      <c r="I168" s="5">
        <f t="shared" si="3"/>
        <v>5.5988644086683956E-4</v>
      </c>
    </row>
    <row r="169" spans="1:9" ht="13.8" thickBot="1">
      <c r="A169" s="13">
        <v>45688</v>
      </c>
      <c r="B169" s="35">
        <v>705.57958984375</v>
      </c>
      <c r="C169" s="5">
        <f t="shared" si="0"/>
        <v>7.2374980632295737E-3</v>
      </c>
      <c r="D169" s="24">
        <v>109.65110015869141</v>
      </c>
      <c r="E169" s="5">
        <f t="shared" si="1"/>
        <v>1.7460111736012557E-2</v>
      </c>
      <c r="F169" s="36">
        <v>87.434898376464801</v>
      </c>
      <c r="G169" s="5">
        <f t="shared" si="2"/>
        <v>1.1272723778307682E-2</v>
      </c>
      <c r="H169" s="62">
        <v>141.1940002</v>
      </c>
      <c r="I169" s="5">
        <f t="shared" si="3"/>
        <v>1.3282480566064542E-2</v>
      </c>
    </row>
    <row r="170" spans="1:9" ht="13.8" thickBot="1">
      <c r="A170" s="12">
        <v>45691</v>
      </c>
      <c r="B170" s="35">
        <v>707.51037597656205</v>
      </c>
      <c r="C170" s="5">
        <f t="shared" si="0"/>
        <v>2.7327167852925589E-3</v>
      </c>
      <c r="D170" s="24">
        <v>110.13500213623047</v>
      </c>
      <c r="E170" s="5">
        <f t="shared" si="1"/>
        <v>4.4033972520308431E-3</v>
      </c>
      <c r="F170" s="36">
        <v>87.378997802734304</v>
      </c>
      <c r="G170" s="5">
        <f t="shared" si="2"/>
        <v>-6.3954384471302708E-4</v>
      </c>
      <c r="H170" s="62">
        <v>139.2969971</v>
      </c>
      <c r="I170" s="5">
        <f t="shared" si="3"/>
        <v>-1.3526509172602506E-2</v>
      </c>
    </row>
    <row r="171" spans="1:9" ht="13.8" thickBot="1">
      <c r="A171" s="12">
        <v>45692</v>
      </c>
      <c r="B171" s="35">
        <v>712.88067626953102</v>
      </c>
      <c r="C171" s="5">
        <f t="shared" si="0"/>
        <v>7.5617568471834547E-3</v>
      </c>
      <c r="D171" s="24">
        <v>111.46720123291016</v>
      </c>
      <c r="E171" s="5">
        <f t="shared" si="1"/>
        <v>1.2023482848136436E-2</v>
      </c>
      <c r="F171" s="36">
        <v>87.992301940917898</v>
      </c>
      <c r="G171" s="5">
        <f t="shared" si="2"/>
        <v>6.9943786626740691E-3</v>
      </c>
      <c r="H171" s="62">
        <v>141.11999510000001</v>
      </c>
      <c r="I171" s="5">
        <f t="shared" si="3"/>
        <v>1.3002234053925001E-2</v>
      </c>
    </row>
    <row r="172" spans="1:9" ht="13.8" thickBot="1">
      <c r="A172" s="12">
        <v>45693</v>
      </c>
      <c r="B172" s="35">
        <v>713.671875</v>
      </c>
      <c r="C172" s="5">
        <f t="shared" si="0"/>
        <v>1.1092459382458677E-3</v>
      </c>
      <c r="D172" s="24">
        <v>111.80370330810547</v>
      </c>
      <c r="E172" s="5">
        <f t="shared" si="1"/>
        <v>3.014296293327398E-3</v>
      </c>
      <c r="F172" s="36">
        <v>87.715400695800696</v>
      </c>
      <c r="G172" s="5">
        <f t="shared" si="2"/>
        <v>-3.1518421809915154E-3</v>
      </c>
      <c r="H172" s="62">
        <v>142.60699460000001</v>
      </c>
      <c r="I172" s="5">
        <f t="shared" si="3"/>
        <v>1.0481999731884821E-2</v>
      </c>
    </row>
    <row r="173" spans="1:9" ht="13.8" thickBot="1">
      <c r="A173" s="12">
        <v>45694</v>
      </c>
      <c r="B173" s="35">
        <v>711.79309082031205</v>
      </c>
      <c r="C173" s="5">
        <f t="shared" si="0"/>
        <v>-2.6360314881906789E-3</v>
      </c>
      <c r="D173" s="24">
        <v>110.24759674072266</v>
      </c>
      <c r="E173" s="5">
        <f t="shared" si="1"/>
        <v>-1.4015968754776514E-2</v>
      </c>
      <c r="F173" s="36">
        <v>87.744102478027301</v>
      </c>
      <c r="G173" s="5">
        <f t="shared" si="2"/>
        <v>3.2716133311021711E-4</v>
      </c>
      <c r="H173" s="62">
        <v>141.49299619999999</v>
      </c>
      <c r="I173" s="5">
        <f t="shared" si="3"/>
        <v>-7.8423382296469394E-3</v>
      </c>
    </row>
    <row r="174" spans="1:9" ht="13.8" thickBot="1">
      <c r="A174" s="12">
        <v>45695</v>
      </c>
      <c r="B174" s="35">
        <v>711.38720703125</v>
      </c>
      <c r="C174" s="5">
        <f t="shared" si="0"/>
        <v>-5.7038985247210455E-4</v>
      </c>
      <c r="D174" s="24">
        <v>111.10659790039063</v>
      </c>
      <c r="E174" s="5">
        <f t="shared" si="1"/>
        <v>7.7613661051832384E-3</v>
      </c>
      <c r="F174" s="36">
        <v>87.236000061035099</v>
      </c>
      <c r="G174" s="5">
        <f t="shared" si="2"/>
        <v>-5.807561405157315E-3</v>
      </c>
      <c r="H174" s="62">
        <v>142.06300350000001</v>
      </c>
      <c r="I174" s="5">
        <f t="shared" si="3"/>
        <v>4.0204267826792362E-3</v>
      </c>
    </row>
    <row r="175" spans="1:9" ht="13.8" thickBot="1">
      <c r="A175" s="13">
        <v>45698</v>
      </c>
      <c r="B175" s="35">
        <v>708.14587402343705</v>
      </c>
      <c r="C175" s="5">
        <f t="shared" si="0"/>
        <v>-4.5667673185434158E-3</v>
      </c>
      <c r="D175" s="24">
        <v>108.76869964599609</v>
      </c>
      <c r="E175" s="5">
        <f t="shared" si="1"/>
        <v>-2.1266475969728769E-2</v>
      </c>
      <c r="F175" s="36">
        <v>86.868301391601506</v>
      </c>
      <c r="G175" s="5">
        <f t="shared" si="2"/>
        <v>-4.2238958262444419E-3</v>
      </c>
      <c r="H175" s="62">
        <v>139.4750061</v>
      </c>
      <c r="I175" s="5">
        <f t="shared" si="3"/>
        <v>-1.8385228354147996E-2</v>
      </c>
    </row>
    <row r="176" spans="1:9" ht="13.8" thickBot="1">
      <c r="A176" s="13">
        <v>45699</v>
      </c>
      <c r="B176" s="35">
        <v>701.24188232421795</v>
      </c>
      <c r="C176" s="5">
        <f t="shared" si="0"/>
        <v>-9.7972284656710918E-3</v>
      </c>
      <c r="D176" s="24">
        <v>107.04989624023438</v>
      </c>
      <c r="E176" s="5">
        <f t="shared" si="1"/>
        <v>-1.5928560184021192E-2</v>
      </c>
      <c r="F176" s="36">
        <v>85.931297302246094</v>
      </c>
      <c r="G176" s="5">
        <f t="shared" si="2"/>
        <v>-1.0845086218964651E-2</v>
      </c>
      <c r="H176" s="62">
        <v>135.67300420000001</v>
      </c>
      <c r="I176" s="5">
        <f t="shared" si="3"/>
        <v>-2.7637807778693388E-2</v>
      </c>
    </row>
    <row r="177" spans="1:9" ht="13.8" thickBot="1">
      <c r="A177" s="13">
        <v>45700</v>
      </c>
      <c r="B177" s="35">
        <v>701.81341552734295</v>
      </c>
      <c r="C177" s="5">
        <f t="shared" si="0"/>
        <v>8.1469808868148618E-4</v>
      </c>
      <c r="D177" s="24">
        <v>106.36660003662109</v>
      </c>
      <c r="E177" s="5">
        <f t="shared" si="1"/>
        <v>-6.4034275733009091E-3</v>
      </c>
      <c r="F177" s="36">
        <v>85.958198547363196</v>
      </c>
      <c r="G177" s="5">
        <f t="shared" si="2"/>
        <v>3.1300627422022916E-4</v>
      </c>
      <c r="H177" s="62">
        <v>134.60400390000001</v>
      </c>
      <c r="I177" s="5">
        <f t="shared" si="3"/>
        <v>-7.910446263368974E-3</v>
      </c>
    </row>
    <row r="178" spans="1:9" ht="13.8" thickBot="1">
      <c r="A178" s="13">
        <v>45701</v>
      </c>
      <c r="B178" s="35">
        <v>703.89520263671795</v>
      </c>
      <c r="C178" s="5">
        <f t="shared" si="0"/>
        <v>2.9619063359437822E-3</v>
      </c>
      <c r="D178" s="24">
        <v>106.30780029296875</v>
      </c>
      <c r="E178" s="5">
        <f t="shared" si="1"/>
        <v>-5.5295555139161807E-4</v>
      </c>
      <c r="F178" s="36">
        <v>86.197898864746094</v>
      </c>
      <c r="G178" s="5">
        <f t="shared" si="2"/>
        <v>2.7846875699687563E-3</v>
      </c>
      <c r="H178" s="62">
        <v>134.59599299999999</v>
      </c>
      <c r="I178" s="5">
        <f t="shared" si="3"/>
        <v>-5.9516345428144039E-5</v>
      </c>
    </row>
    <row r="179" spans="1:9" ht="13.8" thickBot="1">
      <c r="A179" s="13">
        <v>45702</v>
      </c>
      <c r="B179" s="35">
        <v>701.59539794921795</v>
      </c>
      <c r="C179" s="5">
        <f t="shared" si="0"/>
        <v>-3.2726035152477518E-3</v>
      </c>
      <c r="D179" s="24">
        <v>104.60520172119141</v>
      </c>
      <c r="E179" s="5">
        <f t="shared" si="1"/>
        <v>-1.6145382603575165E-2</v>
      </c>
      <c r="F179" s="36">
        <v>85.810997009277301</v>
      </c>
      <c r="G179" s="5">
        <f t="shared" si="2"/>
        <v>-4.4986337015082145E-3</v>
      </c>
      <c r="H179" s="62">
        <v>131.25399780000001</v>
      </c>
      <c r="I179" s="5">
        <f t="shared" si="3"/>
        <v>-2.5143286643111471E-2</v>
      </c>
    </row>
    <row r="180" spans="1:9" ht="13.8" thickBot="1">
      <c r="A180" s="13">
        <v>45705</v>
      </c>
      <c r="B180" s="35">
        <v>702.29522705078102</v>
      </c>
      <c r="C180" s="5">
        <f t="shared" si="0"/>
        <v>9.9698530222902277E-4</v>
      </c>
      <c r="D180" s="24">
        <v>104.65200042724609</v>
      </c>
      <c r="E180" s="5">
        <f t="shared" si="1"/>
        <v>4.472840729440424E-4</v>
      </c>
      <c r="F180" s="36">
        <v>85.972000122070298</v>
      </c>
      <c r="G180" s="5">
        <f t="shared" si="2"/>
        <v>1.8744947128073531E-3</v>
      </c>
      <c r="H180" s="62">
        <v>131.12100219999999</v>
      </c>
      <c r="I180" s="5">
        <f t="shared" si="3"/>
        <v>-1.0137826499520557E-3</v>
      </c>
    </row>
    <row r="181" spans="1:9" ht="13.8" thickBot="1">
      <c r="A181" s="13">
        <v>45706</v>
      </c>
      <c r="B181" s="35">
        <v>703.122802734375</v>
      </c>
      <c r="C181" s="5">
        <f t="shared" si="0"/>
        <v>1.1776934146374496E-3</v>
      </c>
      <c r="D181" s="24">
        <v>104.74649810791016</v>
      </c>
      <c r="E181" s="5">
        <f t="shared" si="1"/>
        <v>9.0256317729201288E-4</v>
      </c>
      <c r="F181" s="36">
        <v>85.8927001953125</v>
      </c>
      <c r="G181" s="5">
        <f t="shared" si="2"/>
        <v>-9.2281814984649074E-4</v>
      </c>
      <c r="H181" s="62">
        <v>130.68299870000001</v>
      </c>
      <c r="I181" s="5">
        <f t="shared" si="3"/>
        <v>-3.3460444237057812E-3</v>
      </c>
    </row>
    <row r="182" spans="1:9" ht="13.8" thickBot="1">
      <c r="A182" s="13">
        <v>45707</v>
      </c>
      <c r="B182" s="35">
        <v>704.43371582031205</v>
      </c>
      <c r="C182" s="5">
        <f t="shared" si="0"/>
        <v>1.8626796830994452E-3</v>
      </c>
      <c r="D182" s="24">
        <v>105.55699920654297</v>
      </c>
      <c r="E182" s="5">
        <f t="shared" si="1"/>
        <v>7.7079565657248231E-3</v>
      </c>
      <c r="F182" s="36">
        <v>85.751701354980398</v>
      </c>
      <c r="G182" s="5">
        <f t="shared" si="2"/>
        <v>-1.6429183914384998E-3</v>
      </c>
      <c r="H182" s="62">
        <v>132.3500061</v>
      </c>
      <c r="I182" s="5">
        <f t="shared" si="3"/>
        <v>1.2675441400254523E-2</v>
      </c>
    </row>
    <row r="183" spans="1:9" ht="13.8" thickBot="1">
      <c r="A183" s="13">
        <v>45708</v>
      </c>
      <c r="B183" s="35">
        <v>704.47039794921795</v>
      </c>
      <c r="C183" s="5">
        <f t="shared" si="0"/>
        <v>5.2071860044521288E-5</v>
      </c>
      <c r="D183" s="24">
        <v>106.41989898681641</v>
      </c>
      <c r="E183" s="5">
        <f t="shared" si="1"/>
        <v>8.1414961157594574E-3</v>
      </c>
      <c r="F183" s="36">
        <v>85.927101135253906</v>
      </c>
      <c r="G183" s="5">
        <f t="shared" si="2"/>
        <v>2.0433488439786395E-3</v>
      </c>
      <c r="H183" s="62">
        <v>133.9909973</v>
      </c>
      <c r="I183" s="5">
        <f t="shared" si="3"/>
        <v>1.2322638602562741E-2</v>
      </c>
    </row>
    <row r="184" spans="1:9" ht="13.8" thickBot="1">
      <c r="A184" s="13">
        <v>45709</v>
      </c>
      <c r="B184" s="35">
        <v>702.6279296875</v>
      </c>
      <c r="C184" s="5">
        <f t="shared" si="0"/>
        <v>-2.6188209857618259E-3</v>
      </c>
      <c r="D184" s="24">
        <v>105.08750152587891</v>
      </c>
      <c r="E184" s="5">
        <f t="shared" si="1"/>
        <v>-1.2599228992671178E-2</v>
      </c>
      <c r="F184" s="36">
        <v>85.157302856445298</v>
      </c>
      <c r="G184" s="5">
        <f t="shared" si="2"/>
        <v>-8.9991075276136222E-3</v>
      </c>
      <c r="H184" s="62">
        <v>132.5220032</v>
      </c>
      <c r="I184" s="5">
        <f t="shared" si="3"/>
        <v>-1.1023919839264583E-2</v>
      </c>
    </row>
    <row r="185" spans="1:9" ht="13.8" thickBot="1">
      <c r="A185" s="13">
        <v>45712</v>
      </c>
      <c r="B185" s="35">
        <v>699.04748535156205</v>
      </c>
      <c r="C185" s="5">
        <f t="shared" si="0"/>
        <v>-5.1088177547964526E-3</v>
      </c>
      <c r="D185" s="24">
        <v>104.53769683837891</v>
      </c>
      <c r="E185" s="5">
        <f t="shared" si="1"/>
        <v>-5.2456093304709059E-3</v>
      </c>
      <c r="F185" s="36">
        <v>84.562797546386705</v>
      </c>
      <c r="G185" s="5">
        <f t="shared" si="2"/>
        <v>-7.0057434587196508E-3</v>
      </c>
      <c r="H185" s="62">
        <v>130.7660065</v>
      </c>
      <c r="I185" s="5">
        <f t="shared" si="3"/>
        <v>-1.3339177423988888E-2</v>
      </c>
    </row>
    <row r="186" spans="1:9" ht="13.8" thickBot="1">
      <c r="A186" s="13">
        <v>45713</v>
      </c>
      <c r="B186" s="35">
        <v>698.07141113281205</v>
      </c>
      <c r="C186" s="5">
        <f t="shared" si="0"/>
        <v>-1.3972674480459601E-3</v>
      </c>
      <c r="D186" s="24">
        <v>104.18579864501953</v>
      </c>
      <c r="E186" s="5">
        <f t="shared" si="1"/>
        <v>-3.3719110152072261E-3</v>
      </c>
      <c r="F186" s="36">
        <v>84.292800903320298</v>
      </c>
      <c r="G186" s="5">
        <f t="shared" si="2"/>
        <v>-3.1979617572526838E-3</v>
      </c>
      <c r="H186" s="62">
        <v>130.13000489999999</v>
      </c>
      <c r="I186" s="5">
        <f t="shared" si="3"/>
        <v>-4.8755276590133866E-3</v>
      </c>
    </row>
    <row r="187" spans="1:9" ht="13.8" thickBot="1">
      <c r="A187" s="13">
        <v>45715</v>
      </c>
      <c r="B187" s="35">
        <v>697.00012207031205</v>
      </c>
      <c r="C187" s="5">
        <f t="shared" si="0"/>
        <v>-1.5358198451873057E-3</v>
      </c>
      <c r="D187" s="24">
        <v>102.22940063476563</v>
      </c>
      <c r="E187" s="5">
        <f t="shared" si="1"/>
        <v>-1.8956516793543939E-2</v>
      </c>
      <c r="F187" s="36">
        <v>84.197196960449205</v>
      </c>
      <c r="G187" s="5">
        <f t="shared" si="2"/>
        <v>-1.1348323858208183E-3</v>
      </c>
      <c r="H187" s="62">
        <v>128.0469971</v>
      </c>
      <c r="I187" s="5">
        <f t="shared" si="3"/>
        <v>-1.6136627068467694E-2</v>
      </c>
    </row>
    <row r="188" spans="1:9" ht="13.8" thickBot="1">
      <c r="A188" s="13">
        <v>45716</v>
      </c>
      <c r="B188" s="35">
        <v>689.08728027343705</v>
      </c>
      <c r="C188" s="5">
        <f t="shared" si="0"/>
        <v>-1.1417646167030563E-2</v>
      </c>
      <c r="D188" s="24">
        <v>101.21189880371094</v>
      </c>
      <c r="E188" s="5">
        <f t="shared" si="1"/>
        <v>-1.00029867887866E-2</v>
      </c>
      <c r="F188" s="36">
        <v>83.491302490234304</v>
      </c>
      <c r="G188" s="5">
        <f t="shared" si="2"/>
        <v>-8.4191658002081542E-3</v>
      </c>
      <c r="H188" s="62">
        <v>125.4160004</v>
      </c>
      <c r="I188" s="5">
        <f t="shared" si="3"/>
        <v>-2.0761146419234901E-2</v>
      </c>
    </row>
    <row r="189" spans="1:9" ht="13.8" thickBot="1">
      <c r="A189" s="12">
        <v>45719</v>
      </c>
      <c r="B189" s="35">
        <v>689.50299072265602</v>
      </c>
      <c r="C189" s="5">
        <f t="shared" si="0"/>
        <v>6.0309501751944726E-4</v>
      </c>
      <c r="D189" s="24">
        <v>101.49800109863281</v>
      </c>
      <c r="E189" s="5">
        <f t="shared" si="1"/>
        <v>2.8227776249049553E-3</v>
      </c>
      <c r="F189" s="36">
        <v>82.890998840332003</v>
      </c>
      <c r="G189" s="5">
        <f t="shared" si="2"/>
        <v>-7.215986916160262E-3</v>
      </c>
      <c r="H189" s="62">
        <v>126.4499969</v>
      </c>
      <c r="I189" s="5">
        <f t="shared" si="3"/>
        <v>8.2107336447393292E-3</v>
      </c>
    </row>
    <row r="190" spans="1:9" ht="13.8" thickBot="1">
      <c r="A190" s="12">
        <v>45720</v>
      </c>
      <c r="B190" s="35">
        <v>689.69488525390602</v>
      </c>
      <c r="C190" s="5">
        <f t="shared" si="0"/>
        <v>2.7826976220127696E-4</v>
      </c>
      <c r="D190" s="24">
        <v>101.43039703369141</v>
      </c>
      <c r="E190" s="5">
        <f t="shared" si="1"/>
        <v>-6.6628493660423076E-4</v>
      </c>
      <c r="F190" s="36">
        <v>82.684303283691406</v>
      </c>
      <c r="G190" s="5">
        <f t="shared" si="2"/>
        <v>-2.4966968063316556E-3</v>
      </c>
      <c r="H190" s="62">
        <v>126.814003</v>
      </c>
      <c r="I190" s="5">
        <f t="shared" si="3"/>
        <v>2.8745210593556147E-3</v>
      </c>
    </row>
    <row r="191" spans="1:9" ht="13.8" thickBot="1">
      <c r="A191" s="12">
        <v>45721</v>
      </c>
      <c r="B191" s="35">
        <v>695.752197265625</v>
      </c>
      <c r="C191" s="5">
        <f t="shared" si="0"/>
        <v>8.744254016293012E-3</v>
      </c>
      <c r="D191" s="24">
        <v>104.06900024414063</v>
      </c>
      <c r="E191" s="5">
        <f t="shared" si="1"/>
        <v>2.5681323290689322E-2</v>
      </c>
      <c r="F191" s="36">
        <v>83.735298156738196</v>
      </c>
      <c r="G191" s="5">
        <f t="shared" si="2"/>
        <v>1.2630829982798438E-2</v>
      </c>
      <c r="H191" s="62">
        <v>129.8619995</v>
      </c>
      <c r="I191" s="5">
        <f t="shared" si="3"/>
        <v>2.3750874653085414E-2</v>
      </c>
    </row>
    <row r="192" spans="1:9" ht="13.8" thickBot="1">
      <c r="A192" s="12">
        <v>45722</v>
      </c>
      <c r="B192" s="35">
        <v>700.10479736328102</v>
      </c>
      <c r="C192" s="5">
        <f t="shared" si="0"/>
        <v>6.2364758306384062E-3</v>
      </c>
      <c r="D192" s="24">
        <v>103.19110107421875</v>
      </c>
      <c r="E192" s="5">
        <f t="shared" si="1"/>
        <v>-8.471523604007011E-3</v>
      </c>
      <c r="F192" s="36">
        <v>83.867401123046804</v>
      </c>
      <c r="G192" s="5">
        <f t="shared" si="2"/>
        <v>1.5763826505469022E-3</v>
      </c>
      <c r="H192" s="62">
        <v>130.8159943</v>
      </c>
      <c r="I192" s="5">
        <f t="shared" si="3"/>
        <v>7.3193678156811773E-3</v>
      </c>
    </row>
    <row r="193" spans="1:9" ht="13.8" thickBot="1">
      <c r="A193" s="12">
        <v>45723</v>
      </c>
      <c r="B193" s="35">
        <v>699.99987792968705</v>
      </c>
      <c r="C193" s="5">
        <f t="shared" si="0"/>
        <v>-1.498736996481418E-4</v>
      </c>
      <c r="D193" s="24">
        <v>102.53990173339844</v>
      </c>
      <c r="E193" s="5">
        <f t="shared" si="1"/>
        <v>-6.3306113979457969E-3</v>
      </c>
      <c r="F193" s="36">
        <v>83.816596984863196</v>
      </c>
      <c r="G193" s="5">
        <f t="shared" si="2"/>
        <v>-6.0595095908218114E-4</v>
      </c>
      <c r="H193" s="62">
        <v>130.30400090000001</v>
      </c>
      <c r="I193" s="5">
        <f t="shared" si="3"/>
        <v>-3.9215231736036684E-3</v>
      </c>
    </row>
    <row r="194" spans="1:9" ht="13.8" thickBot="1">
      <c r="A194" s="13">
        <v>45726</v>
      </c>
      <c r="B194" s="35">
        <v>697.75537109375</v>
      </c>
      <c r="C194" s="5">
        <f t="shared" si="0"/>
        <v>-3.2115905366368156E-3</v>
      </c>
      <c r="D194" s="24">
        <v>100.52619934082031</v>
      </c>
      <c r="E194" s="5">
        <f t="shared" si="1"/>
        <v>-1.9833624546705245E-2</v>
      </c>
      <c r="F194" s="36">
        <v>83.336997985839801</v>
      </c>
      <c r="G194" s="5">
        <f t="shared" si="2"/>
        <v>-5.7384385324575661E-3</v>
      </c>
      <c r="H194" s="62">
        <v>128.78399659999999</v>
      </c>
      <c r="I194" s="5">
        <f t="shared" si="3"/>
        <v>-1.1733633004290993E-2</v>
      </c>
    </row>
    <row r="195" spans="1:9" ht="13.8" thickBot="1">
      <c r="A195" s="13">
        <v>45727</v>
      </c>
      <c r="B195" s="35">
        <v>698.26068115234295</v>
      </c>
      <c r="C195" s="5">
        <f t="shared" si="0"/>
        <v>7.2393161933696011E-4</v>
      </c>
      <c r="D195" s="24">
        <v>102.00530242919922</v>
      </c>
      <c r="E195" s="5">
        <f t="shared" si="1"/>
        <v>1.4606413049292333E-2</v>
      </c>
      <c r="F195" s="36">
        <v>83.260299682617102</v>
      </c>
      <c r="G195" s="5">
        <f t="shared" si="2"/>
        <v>-9.207629381132237E-4</v>
      </c>
      <c r="H195" s="62">
        <v>128.83599849999999</v>
      </c>
      <c r="I195" s="5">
        <f t="shared" si="3"/>
        <v>4.037101288359302E-4</v>
      </c>
    </row>
    <row r="196" spans="1:9" ht="13.8" thickBot="1">
      <c r="A196" s="13">
        <v>45728</v>
      </c>
      <c r="B196" s="35">
        <v>698.05847167968705</v>
      </c>
      <c r="C196" s="5">
        <f t="shared" si="0"/>
        <v>-2.8963217135472507E-4</v>
      </c>
      <c r="D196" s="24">
        <v>101.43630218505859</v>
      </c>
      <c r="E196" s="5">
        <f t="shared" si="1"/>
        <v>-5.5937597316327841E-3</v>
      </c>
      <c r="F196" s="36">
        <v>83.557899475097599</v>
      </c>
      <c r="G196" s="5">
        <f t="shared" si="2"/>
        <v>3.5679573295330073E-3</v>
      </c>
      <c r="H196" s="62">
        <v>128.26100159999999</v>
      </c>
      <c r="I196" s="5">
        <f t="shared" si="3"/>
        <v>-4.4730032515038565E-3</v>
      </c>
    </row>
    <row r="197" spans="1:9" ht="13.8" thickBot="1">
      <c r="A197" s="13">
        <v>45729</v>
      </c>
      <c r="B197" s="35">
        <v>697.81817626953102</v>
      </c>
      <c r="C197" s="5">
        <f t="shared" si="0"/>
        <v>-3.4429319078122672E-4</v>
      </c>
      <c r="D197" s="24">
        <v>101.16539764404297</v>
      </c>
      <c r="E197" s="5">
        <f t="shared" si="1"/>
        <v>-2.6742589296690779E-3</v>
      </c>
      <c r="F197" s="36">
        <v>83.048797607421804</v>
      </c>
      <c r="G197" s="5">
        <f t="shared" si="2"/>
        <v>-6.1114404301486841E-3</v>
      </c>
      <c r="H197" s="62">
        <v>127.67400360000001</v>
      </c>
      <c r="I197" s="5">
        <f t="shared" si="3"/>
        <v>-4.5870945149868916E-3</v>
      </c>
    </row>
    <row r="198" spans="1:9" ht="13.8" thickBot="1">
      <c r="A198" s="13">
        <v>45733</v>
      </c>
      <c r="B198" s="35">
        <v>700.82940673828102</v>
      </c>
      <c r="C198" s="5">
        <f t="shared" si="0"/>
        <v>4.3059240339446674E-3</v>
      </c>
      <c r="D198" s="24">
        <v>101.63950347900391</v>
      </c>
      <c r="E198" s="5">
        <f t="shared" si="1"/>
        <v>4.6754954738096755E-3</v>
      </c>
      <c r="F198" s="36">
        <v>83.778602600097599</v>
      </c>
      <c r="G198" s="5">
        <f t="shared" si="2"/>
        <v>8.749277963949486E-3</v>
      </c>
      <c r="H198" s="62">
        <v>128.74600219999999</v>
      </c>
      <c r="I198" s="5">
        <f t="shared" si="3"/>
        <v>8.3613198750429E-3</v>
      </c>
    </row>
    <row r="199" spans="1:9" ht="13.8" thickBot="1">
      <c r="A199" s="13">
        <v>45734</v>
      </c>
      <c r="B199" s="35">
        <v>706.03472900390602</v>
      </c>
      <c r="C199" s="5">
        <f t="shared" si="0"/>
        <v>7.3999270953193945E-3</v>
      </c>
      <c r="D199" s="24">
        <v>103.17140197753906</v>
      </c>
      <c r="E199" s="5">
        <f t="shared" si="1"/>
        <v>1.4959428678301152E-2</v>
      </c>
      <c r="F199" s="36">
        <v>84.296302795410099</v>
      </c>
      <c r="G199" s="5">
        <f t="shared" si="2"/>
        <v>6.1603703578131776E-3</v>
      </c>
      <c r="H199" s="62">
        <v>131.70599369999999</v>
      </c>
      <c r="I199" s="5">
        <f t="shared" si="3"/>
        <v>2.2730629776273943E-2</v>
      </c>
    </row>
    <row r="200" spans="1:9" ht="13.8" thickBot="1">
      <c r="A200" s="13">
        <v>45735</v>
      </c>
      <c r="B200" s="35">
        <v>707.72479248046795</v>
      </c>
      <c r="C200" s="5">
        <f t="shared" si="0"/>
        <v>2.3908794331072808E-3</v>
      </c>
      <c r="D200" s="24">
        <v>104.56089782714844</v>
      </c>
      <c r="E200" s="5">
        <f t="shared" si="1"/>
        <v>1.3377953972362008E-2</v>
      </c>
      <c r="F200" s="36">
        <v>84.767799377441406</v>
      </c>
      <c r="G200" s="5">
        <f t="shared" si="2"/>
        <v>5.5777400213561359E-3</v>
      </c>
      <c r="H200" s="62">
        <v>133.59899899999999</v>
      </c>
      <c r="I200" s="5">
        <f t="shared" si="3"/>
        <v>1.4270650595261555E-2</v>
      </c>
    </row>
    <row r="201" spans="1:9" ht="13.8" thickBot="1">
      <c r="A201" s="13">
        <v>45736</v>
      </c>
      <c r="B201" s="35">
        <v>712.06610107421795</v>
      </c>
      <c r="C201" s="5">
        <f t="shared" si="0"/>
        <v>6.1154387499617584E-3</v>
      </c>
      <c r="D201" s="24">
        <v>104.17459869384766</v>
      </c>
      <c r="E201" s="5">
        <f t="shared" si="1"/>
        <v>-3.7013309260684785E-3</v>
      </c>
      <c r="F201" s="36">
        <v>85.229301452636705</v>
      </c>
      <c r="G201" s="5">
        <f t="shared" si="2"/>
        <v>5.4295421121331186E-3</v>
      </c>
      <c r="H201" s="62">
        <v>134.46400449999999</v>
      </c>
      <c r="I201" s="5">
        <f t="shared" si="3"/>
        <v>6.4537701292348452E-3</v>
      </c>
    </row>
    <row r="202" spans="1:9" ht="13.8" thickBot="1">
      <c r="A202" s="13">
        <v>45737</v>
      </c>
      <c r="B202" s="35">
        <v>714.79119873046795</v>
      </c>
      <c r="C202" s="5">
        <f t="shared" si="0"/>
        <v>3.8197246072945758E-3</v>
      </c>
      <c r="D202" s="24">
        <v>104.90239715576172</v>
      </c>
      <c r="E202" s="5">
        <f t="shared" si="1"/>
        <v>6.9620418894495552E-3</v>
      </c>
      <c r="F202" s="36">
        <v>85.848297119140597</v>
      </c>
      <c r="G202" s="5">
        <f t="shared" si="2"/>
        <v>7.2364631358361403E-3</v>
      </c>
      <c r="H202" s="62">
        <v>135.87600710000001</v>
      </c>
      <c r="I202" s="5">
        <f t="shared" si="3"/>
        <v>1.0446218684685713E-2</v>
      </c>
    </row>
    <row r="203" spans="1:9" ht="13.8" thickBot="1">
      <c r="A203" s="13">
        <v>45740</v>
      </c>
      <c r="B203" s="35">
        <v>719.04388427734295</v>
      </c>
      <c r="C203" s="5">
        <f t="shared" si="0"/>
        <v>5.9319207173059545E-3</v>
      </c>
      <c r="D203" s="24">
        <v>105.98789978027344</v>
      </c>
      <c r="E203" s="5">
        <f t="shared" si="1"/>
        <v>1.0294567620164563E-2</v>
      </c>
      <c r="F203" s="36">
        <v>86.930198669433594</v>
      </c>
      <c r="G203" s="5">
        <f t="shared" si="2"/>
        <v>1.2523730874228386E-2</v>
      </c>
      <c r="H203" s="62">
        <v>137.68200680000001</v>
      </c>
      <c r="I203" s="5">
        <f t="shared" si="3"/>
        <v>1.3203970251637805E-2</v>
      </c>
    </row>
    <row r="204" spans="1:9" ht="13.8" thickBot="1">
      <c r="A204" s="13">
        <v>45741</v>
      </c>
      <c r="B204" s="35">
        <v>719.06231689453102</v>
      </c>
      <c r="C204" s="5">
        <f t="shared" si="0"/>
        <v>2.5634570206426542E-5</v>
      </c>
      <c r="D204" s="24">
        <v>105.94750213623047</v>
      </c>
      <c r="E204" s="5">
        <f t="shared" si="1"/>
        <v>-3.8122601667221935E-4</v>
      </c>
      <c r="F204" s="36">
        <v>86.937797546386705</v>
      </c>
      <c r="G204" s="5">
        <f t="shared" si="2"/>
        <v>8.74097260374534E-5</v>
      </c>
      <c r="H204" s="62">
        <v>136.7910004</v>
      </c>
      <c r="I204" s="5">
        <f t="shared" si="3"/>
        <v>-6.4925111503521251E-3</v>
      </c>
    </row>
    <row r="205" spans="1:9" ht="13.8" thickBot="1">
      <c r="A205" s="13">
        <v>45742</v>
      </c>
      <c r="B205" s="35">
        <v>716.94610595703102</v>
      </c>
      <c r="C205" s="5">
        <f t="shared" si="0"/>
        <v>-2.9473538396652178E-3</v>
      </c>
      <c r="D205" s="24">
        <v>105.81960296630859</v>
      </c>
      <c r="E205" s="5">
        <f t="shared" si="1"/>
        <v>-1.2079230663439159E-3</v>
      </c>
      <c r="F205" s="36">
        <v>86.385803222656193</v>
      </c>
      <c r="G205" s="5">
        <f t="shared" si="2"/>
        <v>-6.3695444536263635E-3</v>
      </c>
      <c r="H205" s="62">
        <v>135.4250031</v>
      </c>
      <c r="I205" s="5">
        <f t="shared" si="3"/>
        <v>-1.0036212039851162E-2</v>
      </c>
    </row>
    <row r="206" spans="1:9" ht="13.8" thickBot="1">
      <c r="A206" s="13">
        <v>45743</v>
      </c>
      <c r="B206" s="35">
        <v>719.347900390625</v>
      </c>
      <c r="C206" s="5">
        <f t="shared" si="0"/>
        <v>3.3444359743922607E-3</v>
      </c>
      <c r="D206" s="24">
        <v>106.53749847412109</v>
      </c>
      <c r="E206" s="5">
        <f t="shared" si="1"/>
        <v>6.7612360291463888E-3</v>
      </c>
      <c r="F206" s="36">
        <v>86.447097778320298</v>
      </c>
      <c r="G206" s="5">
        <f t="shared" si="2"/>
        <v>7.0929270849330107E-4</v>
      </c>
      <c r="H206" s="62">
        <v>136.66900630000001</v>
      </c>
      <c r="I206" s="5">
        <f t="shared" si="3"/>
        <v>9.1439857171422452E-3</v>
      </c>
    </row>
    <row r="207" spans="1:9" ht="13.8" thickBot="1">
      <c r="A207" s="13">
        <v>45744</v>
      </c>
      <c r="B207" s="35">
        <v>719.58160400390602</v>
      </c>
      <c r="C207" s="5">
        <f t="shared" si="0"/>
        <v>3.248298330421395E-4</v>
      </c>
      <c r="D207" s="24">
        <v>105.79869842529297</v>
      </c>
      <c r="E207" s="5">
        <f t="shared" si="1"/>
        <v>-6.9588043958344146E-3</v>
      </c>
      <c r="F207" s="36">
        <v>85.837097167968693</v>
      </c>
      <c r="G207" s="5">
        <f t="shared" si="2"/>
        <v>-7.0813594899155393E-3</v>
      </c>
      <c r="H207" s="62">
        <v>136.35200499999999</v>
      </c>
      <c r="I207" s="5">
        <f t="shared" si="3"/>
        <v>-2.3221761647068849E-3</v>
      </c>
    </row>
    <row r="208" spans="1:9" ht="13.8" thickBot="1">
      <c r="A208" s="12">
        <v>45748</v>
      </c>
      <c r="B208" s="35">
        <v>716.01019287109295</v>
      </c>
      <c r="C208" s="5">
        <f t="shared" si="0"/>
        <v>-4.9755348399032331E-3</v>
      </c>
      <c r="D208" s="24">
        <v>104.34269714355469</v>
      </c>
      <c r="E208" s="5">
        <f t="shared" si="1"/>
        <v>-1.3857570305520981E-2</v>
      </c>
      <c r="F208" s="36">
        <v>84.964302062988196</v>
      </c>
      <c r="G208" s="5">
        <f t="shared" si="2"/>
        <v>-1.0220088428622574E-2</v>
      </c>
      <c r="H208" s="62">
        <v>134.38600159999999</v>
      </c>
      <c r="I208" s="5">
        <f t="shared" si="3"/>
        <v>-1.4523546084636187E-2</v>
      </c>
    </row>
    <row r="209" spans="1:9" ht="13.8" thickBot="1">
      <c r="A209" s="12">
        <v>45749</v>
      </c>
      <c r="B209" s="35">
        <v>718.78338623046795</v>
      </c>
      <c r="C209" s="5">
        <f t="shared" si="0"/>
        <v>3.8656387275825084E-3</v>
      </c>
      <c r="D209" s="24">
        <v>106.09839630126953</v>
      </c>
      <c r="E209" s="5">
        <f t="shared" si="1"/>
        <v>1.6686283707205964E-2</v>
      </c>
      <c r="F209" s="36">
        <v>85.115898132324205</v>
      </c>
      <c r="G209" s="5">
        <f t="shared" si="2"/>
        <v>1.7826426510230496E-3</v>
      </c>
      <c r="H209" s="62">
        <v>135.64300539999999</v>
      </c>
      <c r="I209" s="5">
        <f t="shared" si="3"/>
        <v>9.3102062900833841E-3</v>
      </c>
    </row>
    <row r="210" spans="1:9" ht="13.8" thickBot="1">
      <c r="A210" s="12">
        <v>45750</v>
      </c>
      <c r="B210" s="35">
        <v>716.97619628906205</v>
      </c>
      <c r="C210" s="5">
        <f t="shared" si="0"/>
        <v>-2.5174004308260258E-3</v>
      </c>
      <c r="D210" s="24">
        <v>104.20179748535156</v>
      </c>
      <c r="E210" s="5">
        <f t="shared" si="1"/>
        <v>-1.8037551022060505E-2</v>
      </c>
      <c r="F210" s="36">
        <v>84.584899902343693</v>
      </c>
      <c r="G210" s="5">
        <f t="shared" si="2"/>
        <v>-6.2580726679768378E-3</v>
      </c>
      <c r="H210" s="62">
        <v>135.04400630000001</v>
      </c>
      <c r="I210" s="5">
        <f t="shared" si="3"/>
        <v>-4.4257762792442867E-3</v>
      </c>
    </row>
    <row r="211" spans="1:9" ht="13.8" thickBot="1">
      <c r="A211" s="12">
        <v>45751</v>
      </c>
      <c r="B211" s="35">
        <v>707.26300048828102</v>
      </c>
      <c r="C211" s="5">
        <f t="shared" si="0"/>
        <v>-1.364004925305104E-2</v>
      </c>
      <c r="D211" s="24">
        <v>101.60269927978516</v>
      </c>
      <c r="E211" s="5">
        <f t="shared" si="1"/>
        <v>-2.5259277003860721E-2</v>
      </c>
      <c r="F211" s="36">
        <v>83.617103576660099</v>
      </c>
      <c r="G211" s="5">
        <f t="shared" si="2"/>
        <v>-1.1507675126408481E-2</v>
      </c>
      <c r="H211" s="62">
        <v>131.53999329999999</v>
      </c>
      <c r="I211" s="5">
        <f t="shared" si="3"/>
        <v>-2.6289760975372667E-2</v>
      </c>
    </row>
    <row r="212" spans="1:9" ht="13.8" thickBot="1">
      <c r="A212" s="12">
        <v>45754</v>
      </c>
      <c r="B212" s="35">
        <v>696.16387939453102</v>
      </c>
      <c r="C212" s="5">
        <f t="shared" si="0"/>
        <v>-1.5817500237992364E-2</v>
      </c>
      <c r="D212" s="24">
        <v>98.874099731445313</v>
      </c>
      <c r="E212" s="5">
        <f t="shared" si="1"/>
        <v>-2.7222781577646578E-2</v>
      </c>
      <c r="F212" s="36">
        <v>82.059402465820298</v>
      </c>
      <c r="G212" s="5">
        <f t="shared" si="2"/>
        <v>-1.8804682089506176E-2</v>
      </c>
      <c r="H212" s="62">
        <v>126.85399630000001</v>
      </c>
      <c r="I212" s="5">
        <f t="shared" si="3"/>
        <v>-3.6274147250334315E-2</v>
      </c>
    </row>
    <row r="213" spans="1:9" ht="13.8" thickBot="1">
      <c r="A213" s="12">
        <v>45755</v>
      </c>
      <c r="B213" s="35">
        <v>702.47259521484295</v>
      </c>
      <c r="C213" s="5">
        <f t="shared" si="0"/>
        <v>9.0212985581345582E-3</v>
      </c>
      <c r="D213" s="24">
        <v>99.809097290039063</v>
      </c>
      <c r="E213" s="5">
        <f t="shared" si="1"/>
        <v>9.4120134456064306E-3</v>
      </c>
      <c r="F213" s="36">
        <v>82.620796203613196</v>
      </c>
      <c r="G213" s="5">
        <f t="shared" si="2"/>
        <v>6.8180135443185949E-3</v>
      </c>
      <c r="H213" s="62">
        <v>129.5410004</v>
      </c>
      <c r="I213" s="5">
        <f t="shared" si="3"/>
        <v>2.0960646748290235E-2</v>
      </c>
    </row>
    <row r="214" spans="1:9" ht="13.8" thickBot="1">
      <c r="A214" s="12">
        <v>45756</v>
      </c>
      <c r="B214" s="35">
        <v>702.81689453125</v>
      </c>
      <c r="C214" s="5">
        <f t="shared" si="0"/>
        <v>4.9000483645289669E-4</v>
      </c>
      <c r="D214" s="24">
        <v>99.115097045898438</v>
      </c>
      <c r="E214" s="5">
        <f t="shared" si="1"/>
        <v>-6.9775631079180252E-3</v>
      </c>
      <c r="F214" s="36">
        <v>83.590896606445298</v>
      </c>
      <c r="G214" s="5">
        <f t="shared" si="2"/>
        <v>1.1673203036351762E-2</v>
      </c>
      <c r="H214" s="62">
        <v>128.49499510000001</v>
      </c>
      <c r="I214" s="5">
        <f t="shared" si="3"/>
        <v>-8.1074814974582844E-3</v>
      </c>
    </row>
    <row r="215" spans="1:9" ht="13.8" thickBot="1">
      <c r="A215" s="13">
        <v>45758</v>
      </c>
      <c r="B215" s="35">
        <v>711.29107666015602</v>
      </c>
      <c r="C215" s="5">
        <f t="shared" si="0"/>
        <v>1.198534163332011E-2</v>
      </c>
      <c r="D215" s="24">
        <v>100.56009674072266</v>
      </c>
      <c r="E215" s="5">
        <f t="shared" si="1"/>
        <v>1.4473755035515522E-2</v>
      </c>
      <c r="F215" s="36">
        <v>84.398696899414006</v>
      </c>
      <c r="G215" s="5">
        <f t="shared" si="2"/>
        <v>9.6173400082553134E-3</v>
      </c>
      <c r="H215" s="62">
        <v>131.37899780000001</v>
      </c>
      <c r="I215" s="5">
        <f t="shared" si="3"/>
        <v>2.2196304242687277E-2</v>
      </c>
    </row>
    <row r="216" spans="1:9" ht="13.8" thickBot="1">
      <c r="A216" s="13">
        <v>45762</v>
      </c>
      <c r="B216" s="35">
        <v>720.32672119140602</v>
      </c>
      <c r="C216" s="5">
        <f t="shared" si="0"/>
        <v>1.2623151969439502E-2</v>
      </c>
      <c r="D216" s="24">
        <v>102.40899658203125</v>
      </c>
      <c r="E216" s="5">
        <f t="shared" si="1"/>
        <v>1.8219039691140294E-2</v>
      </c>
      <c r="F216" s="36">
        <v>85.409103393554602</v>
      </c>
      <c r="G216" s="5">
        <f t="shared" si="2"/>
        <v>1.1900730325361012E-2</v>
      </c>
      <c r="H216" s="62">
        <v>135.2250061</v>
      </c>
      <c r="I216" s="5">
        <f t="shared" si="3"/>
        <v>2.885384368617977E-2</v>
      </c>
    </row>
    <row r="217" spans="1:9" ht="13.8" thickBot="1">
      <c r="A217" s="13">
        <v>45763</v>
      </c>
      <c r="B217" s="35">
        <v>723.88897705078102</v>
      </c>
      <c r="C217" s="5">
        <f t="shared" si="0"/>
        <v>4.9331454961197702E-3</v>
      </c>
      <c r="D217" s="24">
        <v>102.92530059814453</v>
      </c>
      <c r="E217" s="5">
        <f t="shared" si="1"/>
        <v>5.0289222143246604E-3</v>
      </c>
      <c r="F217" s="36">
        <v>85.245597839355398</v>
      </c>
      <c r="G217" s="5">
        <f t="shared" si="2"/>
        <v>-1.9162156453826388E-3</v>
      </c>
      <c r="H217" s="62">
        <v>136.09899899999999</v>
      </c>
      <c r="I217" s="5">
        <f t="shared" si="3"/>
        <v>6.4424518767682692E-3</v>
      </c>
    </row>
    <row r="218" spans="1:9" ht="13.8" thickBot="1">
      <c r="A218" s="13">
        <v>45764</v>
      </c>
      <c r="B218" s="35">
        <v>728.59490966796795</v>
      </c>
      <c r="C218" s="5">
        <f t="shared" si="0"/>
        <v>6.4798640818178269E-3</v>
      </c>
      <c r="D218" s="24">
        <v>103.86100006103516</v>
      </c>
      <c r="E218" s="5">
        <f t="shared" si="1"/>
        <v>9.0499790964237506E-3</v>
      </c>
      <c r="F218" s="36">
        <v>85.985099792480398</v>
      </c>
      <c r="G218" s="5">
        <f t="shared" si="2"/>
        <v>8.6375464332996612E-3</v>
      </c>
      <c r="H218" s="62">
        <v>136.6119995</v>
      </c>
      <c r="I218" s="5">
        <f t="shared" si="3"/>
        <v>3.7622326046436155E-3</v>
      </c>
    </row>
    <row r="219" spans="1:9" ht="13.8" thickBot="1">
      <c r="A219" s="13">
        <v>45768</v>
      </c>
      <c r="B219" s="35">
        <v>733.93170166015602</v>
      </c>
      <c r="C219" s="5">
        <f t="shared" si="0"/>
        <v>7.2980766820205161E-3</v>
      </c>
      <c r="D219" s="24">
        <v>105.57929992675781</v>
      </c>
      <c r="E219" s="5">
        <f t="shared" si="1"/>
        <v>1.6408861332872338E-2</v>
      </c>
      <c r="F219" s="36">
        <v>86.602897644042898</v>
      </c>
      <c r="G219" s="5">
        <f t="shared" si="2"/>
        <v>7.1592520858919477E-3</v>
      </c>
      <c r="H219" s="62">
        <v>138.9440002</v>
      </c>
      <c r="I219" s="5">
        <f t="shared" si="3"/>
        <v>1.6926188346352178E-2</v>
      </c>
    </row>
    <row r="220" spans="1:9" ht="13.8" thickBot="1">
      <c r="A220" s="13">
        <v>45769</v>
      </c>
      <c r="B220" s="35">
        <v>734.5927734375</v>
      </c>
      <c r="C220" s="5">
        <f t="shared" si="0"/>
        <v>9.0032114984566977E-4</v>
      </c>
      <c r="D220" s="24">
        <v>106.38690185546875</v>
      </c>
      <c r="E220" s="5">
        <f t="shared" si="1"/>
        <v>7.6201378314238533E-3</v>
      </c>
      <c r="F220" s="36">
        <v>87.120101928710895</v>
      </c>
      <c r="G220" s="5">
        <f t="shared" si="2"/>
        <v>5.9543735031452822E-3</v>
      </c>
      <c r="H220" s="62">
        <v>140.1119995</v>
      </c>
      <c r="I220" s="5">
        <f t="shared" si="3"/>
        <v>8.3711235160393686E-3</v>
      </c>
    </row>
    <row r="221" spans="1:9" ht="13.8" thickBot="1">
      <c r="A221" s="13">
        <v>45770</v>
      </c>
      <c r="B221" s="35">
        <v>737.21771240234295</v>
      </c>
      <c r="C221" s="5">
        <f t="shared" si="0"/>
        <v>3.5669561716358779E-3</v>
      </c>
      <c r="D221" s="24">
        <v>108.04100036621094</v>
      </c>
      <c r="E221" s="5">
        <f t="shared" si="1"/>
        <v>1.5428321634679795E-2</v>
      </c>
      <c r="F221" s="36">
        <v>87.751701354980398</v>
      </c>
      <c r="G221" s="5">
        <f t="shared" si="2"/>
        <v>7.2236022141304226E-3</v>
      </c>
      <c r="H221" s="62">
        <v>140.96299740000001</v>
      </c>
      <c r="I221" s="5">
        <f t="shared" si="3"/>
        <v>6.0553269389171651E-3</v>
      </c>
    </row>
    <row r="222" spans="1:9" ht="13.8" thickBot="1">
      <c r="A222" s="13">
        <v>45771</v>
      </c>
      <c r="B222" s="35">
        <v>736.79681396484295</v>
      </c>
      <c r="C222" s="5">
        <f t="shared" si="0"/>
        <v>-5.7109131750121534E-4</v>
      </c>
      <c r="D222" s="24">
        <v>107.18599700927734</v>
      </c>
      <c r="E222" s="5">
        <f t="shared" si="1"/>
        <v>-7.9451729112417404E-3</v>
      </c>
      <c r="F222" s="36">
        <v>87.863197326660099</v>
      </c>
      <c r="G222" s="5">
        <f t="shared" si="2"/>
        <v>1.2697782192452084E-3</v>
      </c>
      <c r="H222" s="62">
        <v>140.86700440000001</v>
      </c>
      <c r="I222" s="5">
        <f t="shared" si="3"/>
        <v>-6.8121210019536302E-4</v>
      </c>
    </row>
    <row r="223" spans="1:9" ht="13.8" thickBot="1">
      <c r="A223" s="13">
        <v>45772</v>
      </c>
      <c r="B223" s="35">
        <v>731.152099609375</v>
      </c>
      <c r="C223" s="5">
        <f t="shared" si="0"/>
        <v>-7.6906520726441486E-3</v>
      </c>
      <c r="D223" s="24">
        <v>106.36219787597656</v>
      </c>
      <c r="E223" s="5">
        <f t="shared" si="1"/>
        <v>-7.7153845320445469E-3</v>
      </c>
      <c r="F223" s="36">
        <v>87.293403625488196</v>
      </c>
      <c r="G223" s="5">
        <f t="shared" si="2"/>
        <v>-6.5061288927365651E-3</v>
      </c>
      <c r="H223" s="62">
        <v>138.1150055</v>
      </c>
      <c r="I223" s="5">
        <f t="shared" si="3"/>
        <v>-1.9729502767033402E-2</v>
      </c>
    </row>
    <row r="224" spans="1:9" ht="13.8" thickBot="1">
      <c r="A224" s="13">
        <v>45775</v>
      </c>
      <c r="B224" s="35">
        <v>734.72320556640602</v>
      </c>
      <c r="C224" s="5">
        <f t="shared" si="0"/>
        <v>4.872328511345554E-3</v>
      </c>
      <c r="D224" s="24">
        <v>107.4136962890625</v>
      </c>
      <c r="E224" s="5">
        <f t="shared" si="1"/>
        <v>9.8374692539212865E-3</v>
      </c>
      <c r="F224" s="36">
        <v>87.811302185058594</v>
      </c>
      <c r="G224" s="5">
        <f t="shared" si="2"/>
        <v>5.9153186925620252E-3</v>
      </c>
      <c r="H224" s="62">
        <v>139.61300660000001</v>
      </c>
      <c r="I224" s="5">
        <f t="shared" si="3"/>
        <v>1.0787645192294658E-2</v>
      </c>
    </row>
    <row r="225" spans="1:9" ht="13.8" thickBot="1">
      <c r="A225" s="13">
        <v>45776</v>
      </c>
      <c r="B225" s="35">
        <v>735.56970214843705</v>
      </c>
      <c r="C225" s="5">
        <f t="shared" si="0"/>
        <v>1.1514667194794498E-3</v>
      </c>
      <c r="D225" s="24">
        <v>108.48069763183594</v>
      </c>
      <c r="E225" s="5">
        <f t="shared" si="1"/>
        <v>9.8845552304020774E-3</v>
      </c>
      <c r="F225" s="36">
        <v>87.519599914550696</v>
      </c>
      <c r="G225" s="5">
        <f t="shared" si="2"/>
        <v>-3.3274515348637843E-3</v>
      </c>
      <c r="H225" s="62">
        <v>139.9839935</v>
      </c>
      <c r="I225" s="5">
        <f t="shared" si="3"/>
        <v>2.6537274547516099E-3</v>
      </c>
    </row>
    <row r="226" spans="1:9" ht="13.8" thickBot="1">
      <c r="A226" s="13">
        <v>45777</v>
      </c>
      <c r="B226" s="35">
        <v>733.40557861328102</v>
      </c>
      <c r="C226" s="5">
        <f t="shared" si="0"/>
        <v>-2.9464418212542718E-3</v>
      </c>
      <c r="D226" s="24">
        <v>108.15920257568359</v>
      </c>
      <c r="E226" s="5">
        <f t="shared" si="1"/>
        <v>-2.9680155119312787E-3</v>
      </c>
      <c r="F226" s="36">
        <v>87.411903381347599</v>
      </c>
      <c r="G226" s="5">
        <f t="shared" si="2"/>
        <v>-1.2312996204860399E-3</v>
      </c>
      <c r="H226" s="62">
        <v>139.49899289999999</v>
      </c>
      <c r="I226" s="5">
        <f t="shared" si="3"/>
        <v>-3.4707020495076206E-3</v>
      </c>
    </row>
    <row r="227" spans="1:9" ht="13.8" thickBot="1">
      <c r="A227" s="25">
        <v>45779</v>
      </c>
      <c r="B227" s="35">
        <v>732.90460205078102</v>
      </c>
      <c r="C227" s="5">
        <f t="shared" si="0"/>
        <v>-6.8331597038509258E-4</v>
      </c>
      <c r="D227" s="24">
        <v>107.95020294189453</v>
      </c>
      <c r="E227" s="5">
        <f t="shared" si="1"/>
        <v>-1.9342027103964236E-3</v>
      </c>
      <c r="F227" s="36">
        <v>87.984703063964801</v>
      </c>
      <c r="G227" s="5">
        <f t="shared" si="2"/>
        <v>6.5315028671607649E-3</v>
      </c>
      <c r="H227" s="62">
        <v>139.25199889999999</v>
      </c>
      <c r="I227" s="5">
        <f t="shared" si="3"/>
        <v>-1.7721484185269274E-3</v>
      </c>
    </row>
    <row r="228" spans="1:9" ht="13.8" thickBot="1">
      <c r="A228" s="25">
        <v>45782</v>
      </c>
      <c r="B228" s="35">
        <v>735.43719482421795</v>
      </c>
      <c r="C228" s="5">
        <f t="shared" si="0"/>
        <v>3.4495991195758221E-3</v>
      </c>
      <c r="D228" s="24">
        <v>109.89309692382813</v>
      </c>
      <c r="E228" s="5">
        <f t="shared" si="1"/>
        <v>1.7838010175726608E-2</v>
      </c>
      <c r="F228" s="36">
        <v>88.061500549316406</v>
      </c>
      <c r="G228" s="5">
        <f t="shared" si="2"/>
        <v>8.7246971132463956E-4</v>
      </c>
      <c r="H228" s="62">
        <v>140.90499879999999</v>
      </c>
      <c r="I228" s="5">
        <f t="shared" si="3"/>
        <v>1.1800662457041828E-2</v>
      </c>
    </row>
    <row r="229" spans="1:9" ht="13.8" thickBot="1">
      <c r="A229" s="25">
        <v>45783</v>
      </c>
      <c r="B229" s="35">
        <v>735.06561279296795</v>
      </c>
      <c r="C229" s="5">
        <f t="shared" si="0"/>
        <v>-5.0538093124881129E-4</v>
      </c>
      <c r="D229" s="24">
        <v>108.51029968261719</v>
      </c>
      <c r="E229" s="5">
        <f t="shared" si="1"/>
        <v>-1.266295067121429E-2</v>
      </c>
      <c r="F229" s="36">
        <v>87.785003662109304</v>
      </c>
      <c r="G229" s="5">
        <f t="shared" si="2"/>
        <v>-3.1447553229980189E-3</v>
      </c>
      <c r="H229" s="62">
        <v>138.91499329999999</v>
      </c>
      <c r="I229" s="5">
        <f t="shared" si="3"/>
        <v>-1.4223708859628523E-2</v>
      </c>
    </row>
    <row r="230" spans="1:9" ht="13.8" thickBot="1">
      <c r="A230" s="25">
        <v>45784</v>
      </c>
      <c r="B230" s="35">
        <v>736.00762939453102</v>
      </c>
      <c r="C230" s="5">
        <f t="shared" si="0"/>
        <v>1.2807203656613161E-3</v>
      </c>
      <c r="D230" s="24">
        <v>109.70570373535156</v>
      </c>
      <c r="E230" s="5">
        <f t="shared" si="1"/>
        <v>1.0956263445233757E-2</v>
      </c>
      <c r="F230" s="36">
        <v>88.044601440429602</v>
      </c>
      <c r="G230" s="5">
        <f t="shared" si="2"/>
        <v>2.9528356933231415E-3</v>
      </c>
      <c r="H230" s="62">
        <v>140.6029968</v>
      </c>
      <c r="I230" s="5">
        <f t="shared" si="3"/>
        <v>1.2078106457007015E-2</v>
      </c>
    </row>
    <row r="231" spans="1:9" ht="13.8" thickBot="1">
      <c r="A231" s="25">
        <v>45785</v>
      </c>
      <c r="B231" s="35">
        <v>732.64880371093705</v>
      </c>
      <c r="C231" s="5">
        <f t="shared" si="0"/>
        <v>-4.5740194423897563E-3</v>
      </c>
      <c r="D231" s="24">
        <v>109.05449676513672</v>
      </c>
      <c r="E231" s="5">
        <f t="shared" si="1"/>
        <v>-5.9536322627830734E-3</v>
      </c>
      <c r="F231" s="36">
        <v>87.831001281738196</v>
      </c>
      <c r="G231" s="5">
        <f t="shared" si="2"/>
        <v>-2.4289925425185922E-3</v>
      </c>
      <c r="H231" s="62">
        <v>138.72099299999999</v>
      </c>
      <c r="I231" s="5">
        <f t="shared" si="3"/>
        <v>-1.3475622205305791E-2</v>
      </c>
    </row>
    <row r="232" spans="1:9" ht="13.8" thickBot="1">
      <c r="A232" s="25">
        <v>45786</v>
      </c>
      <c r="B232" s="35">
        <v>730.10241699218705</v>
      </c>
      <c r="C232" s="5">
        <f t="shared" si="0"/>
        <v>-3.4816437066682144E-3</v>
      </c>
      <c r="D232" s="24">
        <v>108.79029846191406</v>
      </c>
      <c r="E232" s="5">
        <f t="shared" si="1"/>
        <v>-2.4255657104739941E-3</v>
      </c>
      <c r="F232" s="36">
        <v>86.864601135253906</v>
      </c>
      <c r="G232" s="5">
        <f t="shared" si="2"/>
        <v>-1.1063930530881021E-2</v>
      </c>
      <c r="H232" s="62">
        <v>138.95799260000001</v>
      </c>
      <c r="I232" s="5">
        <f t="shared" si="3"/>
        <v>1.7070046336897875E-3</v>
      </c>
    </row>
    <row r="233" spans="1:9" ht="13.8" thickBot="1">
      <c r="A233" s="6">
        <v>45789</v>
      </c>
      <c r="B233" s="35">
        <v>740.877197265625</v>
      </c>
      <c r="C233" s="5">
        <f t="shared" si="0"/>
        <v>1.4650064323382801E-2</v>
      </c>
      <c r="D233" s="24">
        <v>112.61019897460938</v>
      </c>
      <c r="E233" s="5">
        <f t="shared" si="1"/>
        <v>3.4510126745390397E-2</v>
      </c>
      <c r="F233" s="36">
        <v>89.536697387695298</v>
      </c>
      <c r="G233" s="5">
        <f t="shared" si="2"/>
        <v>3.0297970363107482E-2</v>
      </c>
      <c r="H233" s="62">
        <v>143.3339996</v>
      </c>
      <c r="I233" s="5">
        <f t="shared" si="3"/>
        <v>3.1005892435988537E-2</v>
      </c>
    </row>
    <row r="234" spans="1:9" ht="13.8" thickBot="1">
      <c r="A234" s="6">
        <v>45790</v>
      </c>
      <c r="B234" s="35">
        <v>738.912109375</v>
      </c>
      <c r="C234" s="5">
        <f t="shared" si="0"/>
        <v>-2.6559038329605224E-3</v>
      </c>
      <c r="D234" s="24">
        <v>112.58950042724609</v>
      </c>
      <c r="E234" s="5">
        <f t="shared" si="1"/>
        <v>-1.8382393472591161E-4</v>
      </c>
      <c r="F234" s="36">
        <v>88.874000549316406</v>
      </c>
      <c r="G234" s="5">
        <f t="shared" si="2"/>
        <v>-7.4289254381410532E-3</v>
      </c>
      <c r="H234" s="62">
        <v>143.6029968</v>
      </c>
      <c r="I234" s="5">
        <f t="shared" si="3"/>
        <v>1.8749570963597141E-3</v>
      </c>
    </row>
    <row r="235" spans="1:9" ht="13.8" thickBot="1">
      <c r="A235" s="6">
        <v>45791</v>
      </c>
      <c r="B235" s="35">
        <v>740.65539550781205</v>
      </c>
      <c r="C235" s="5">
        <f t="shared" si="0"/>
        <v>2.3564817877731125E-3</v>
      </c>
      <c r="D235" s="24">
        <v>113.11430358886719</v>
      </c>
      <c r="E235" s="5">
        <f t="shared" si="1"/>
        <v>4.6503789308496466E-3</v>
      </c>
      <c r="F235" s="36">
        <v>89.217597961425696</v>
      </c>
      <c r="G235" s="5">
        <f t="shared" si="2"/>
        <v>3.8586642077360904E-3</v>
      </c>
      <c r="H235" s="62">
        <v>145.13299559999999</v>
      </c>
      <c r="I235" s="5">
        <f t="shared" si="3"/>
        <v>1.0598007596901162E-2</v>
      </c>
    </row>
    <row r="236" spans="1:9" ht="13.8" thickBot="1">
      <c r="A236" s="6">
        <v>45792</v>
      </c>
      <c r="B236" s="35">
        <v>745.14862060546795</v>
      </c>
      <c r="C236" s="5">
        <f t="shared" si="0"/>
        <v>6.0482254000566059E-3</v>
      </c>
      <c r="D236" s="24">
        <v>113.24160003662109</v>
      </c>
      <c r="E236" s="5">
        <f t="shared" si="1"/>
        <v>1.1247461111884309E-3</v>
      </c>
      <c r="F236" s="36">
        <v>89.996002197265597</v>
      </c>
      <c r="G236" s="5">
        <f t="shared" si="2"/>
        <v>8.6869426226867975E-3</v>
      </c>
      <c r="H236" s="62">
        <v>146.69799800000001</v>
      </c>
      <c r="I236" s="5">
        <f t="shared" si="3"/>
        <v>1.0725505083335484E-2</v>
      </c>
    </row>
    <row r="237" spans="1:9" ht="13.8" thickBot="1">
      <c r="A237" s="6">
        <v>45793</v>
      </c>
      <c r="B237" s="35">
        <v>746.12322998046795</v>
      </c>
      <c r="C237" s="5">
        <f t="shared" si="0"/>
        <v>1.3070849736414609E-3</v>
      </c>
      <c r="D237" s="24">
        <v>113.70670318603516</v>
      </c>
      <c r="E237" s="5">
        <f t="shared" si="1"/>
        <v>4.0987642907988238E-3</v>
      </c>
      <c r="F237" s="36">
        <v>90.289596557617102</v>
      </c>
      <c r="G237" s="5">
        <f t="shared" si="2"/>
        <v>3.2569947008179801E-3</v>
      </c>
      <c r="H237" s="62">
        <v>147.69799800000001</v>
      </c>
      <c r="I237" s="5">
        <f t="shared" si="3"/>
        <v>6.7935967857171691E-3</v>
      </c>
    </row>
    <row r="238" spans="1:9" ht="13.8" thickBot="1">
      <c r="A238" s="6">
        <v>45796</v>
      </c>
      <c r="B238" s="35">
        <v>746.29327392578102</v>
      </c>
      <c r="C238" s="5">
        <f t="shared" si="0"/>
        <v>2.2787733263972748E-4</v>
      </c>
      <c r="D238" s="24">
        <v>113.61789703369141</v>
      </c>
      <c r="E238" s="5">
        <f t="shared" si="1"/>
        <v>-7.8131585209504555E-4</v>
      </c>
      <c r="F238" s="36">
        <v>90.698097229003906</v>
      </c>
      <c r="G238" s="5">
        <f t="shared" si="2"/>
        <v>4.5141341548914585E-3</v>
      </c>
      <c r="H238" s="62">
        <v>148.0189972</v>
      </c>
      <c r="I238" s="5">
        <f t="shared" si="3"/>
        <v>2.1709900431025535E-3</v>
      </c>
    </row>
    <row r="239" spans="1:9" ht="13.8" thickBot="1">
      <c r="A239" s="6">
        <v>45797</v>
      </c>
      <c r="B239" s="35">
        <v>742.55712890625</v>
      </c>
      <c r="C239" s="5">
        <f t="shared" si="0"/>
        <v>-5.0188425308980997E-3</v>
      </c>
      <c r="D239" s="24">
        <v>112.51229858398438</v>
      </c>
      <c r="E239" s="5">
        <f t="shared" si="1"/>
        <v>-9.7785017729879152E-3</v>
      </c>
      <c r="F239" s="36">
        <v>89.683502197265597</v>
      </c>
      <c r="G239" s="5">
        <f t="shared" si="2"/>
        <v>-1.1249548012546649E-2</v>
      </c>
      <c r="H239" s="62">
        <v>146.04400630000001</v>
      </c>
      <c r="I239" s="5">
        <f t="shared" si="3"/>
        <v>-1.3432635679945553E-2</v>
      </c>
    </row>
    <row r="240" spans="1:9" ht="13.8" thickBot="1">
      <c r="A240" s="6">
        <v>45798</v>
      </c>
      <c r="B240" s="35">
        <v>746.02258300781205</v>
      </c>
      <c r="C240" s="5">
        <f t="shared" si="0"/>
        <v>4.6560628690991389E-3</v>
      </c>
      <c r="D240" s="24">
        <v>112.75800323486328</v>
      </c>
      <c r="E240" s="5">
        <f t="shared" si="1"/>
        <v>2.1814215751409945E-3</v>
      </c>
      <c r="F240" s="36">
        <v>89.865699768066406</v>
      </c>
      <c r="G240" s="5">
        <f t="shared" si="2"/>
        <v>2.029500898293006E-3</v>
      </c>
      <c r="H240" s="62">
        <v>147.00799559999999</v>
      </c>
      <c r="I240" s="5">
        <f t="shared" si="3"/>
        <v>6.5789878300301528E-3</v>
      </c>
    </row>
    <row r="241" spans="1:9" ht="13.8" thickBot="1">
      <c r="A241" s="6">
        <v>45799</v>
      </c>
      <c r="B241" s="35">
        <v>743.05401611328102</v>
      </c>
      <c r="C241" s="5">
        <f t="shared" si="0"/>
        <v>-3.9871297808878308E-3</v>
      </c>
      <c r="D241" s="24">
        <v>112.38999938964844</v>
      </c>
      <c r="E241" s="5">
        <f t="shared" si="1"/>
        <v>-3.2689978915477614E-3</v>
      </c>
      <c r="F241" s="36">
        <v>89.483497619628906</v>
      </c>
      <c r="G241" s="5">
        <f t="shared" si="2"/>
        <v>-4.2621069129995673E-3</v>
      </c>
      <c r="H241" s="62">
        <v>147.02299500000001</v>
      </c>
      <c r="I241" s="5">
        <f t="shared" si="3"/>
        <v>1.0202598020305643E-4</v>
      </c>
    </row>
    <row r="242" spans="1:9" ht="13.8" thickBot="1">
      <c r="A242" s="6">
        <v>45800</v>
      </c>
      <c r="B242" s="35">
        <v>746.19830322265602</v>
      </c>
      <c r="C242" s="5">
        <f t="shared" si="0"/>
        <v>4.2226448005175084E-3</v>
      </c>
      <c r="D242" s="24">
        <v>112.74230194091797</v>
      </c>
      <c r="E242" s="5">
        <f t="shared" si="1"/>
        <v>3.1297404838165148E-3</v>
      </c>
      <c r="F242" s="36">
        <v>90.063796997070298</v>
      </c>
      <c r="G242" s="5">
        <f t="shared" si="2"/>
        <v>6.4640505921165423E-3</v>
      </c>
      <c r="H242" s="62">
        <v>147.71699520000001</v>
      </c>
      <c r="I242" s="5">
        <f t="shared" si="3"/>
        <v>4.7092454749583651E-3</v>
      </c>
    </row>
    <row r="243" spans="1:9" ht="13.8" thickBot="1">
      <c r="A243" s="6">
        <v>45803</v>
      </c>
      <c r="B243" s="35">
        <v>748.3125</v>
      </c>
      <c r="C243" s="5">
        <f t="shared" si="0"/>
        <v>2.8292845834291354E-3</v>
      </c>
      <c r="D243" s="24">
        <v>113.41739654541016</v>
      </c>
      <c r="E243" s="5">
        <f t="shared" si="1"/>
        <v>5.9700876340908517E-3</v>
      </c>
      <c r="F243" s="36">
        <v>90.348899841308594</v>
      </c>
      <c r="G243" s="5">
        <f t="shared" si="2"/>
        <v>3.1605655983532916E-3</v>
      </c>
      <c r="H243" s="62">
        <v>148.60400390000001</v>
      </c>
      <c r="I243" s="5">
        <f t="shared" si="3"/>
        <v>5.9868274745784548E-3</v>
      </c>
    </row>
    <row r="244" spans="1:9" ht="13.8" thickBot="1">
      <c r="A244" s="6">
        <v>45804</v>
      </c>
      <c r="B244" s="35">
        <v>746.44207763671795</v>
      </c>
      <c r="C244" s="5">
        <f t="shared" si="0"/>
        <v>-2.5026494215303562E-3</v>
      </c>
      <c r="D244" s="24">
        <v>113.53780364990234</v>
      </c>
      <c r="E244" s="5">
        <f t="shared" si="1"/>
        <v>1.0610650532381981E-3</v>
      </c>
      <c r="F244" s="36">
        <v>90.133499145507798</v>
      </c>
      <c r="G244" s="5">
        <f t="shared" si="2"/>
        <v>-2.3869452010897661E-3</v>
      </c>
      <c r="H244" s="62">
        <v>148.81399540000001</v>
      </c>
      <c r="I244" s="5">
        <f t="shared" si="3"/>
        <v>1.4120970175855966E-3</v>
      </c>
    </row>
    <row r="245" spans="1:9" ht="13.8" thickBot="1">
      <c r="A245" s="6">
        <v>45805</v>
      </c>
      <c r="B245" s="35">
        <v>746.24639892578102</v>
      </c>
      <c r="C245" s="5">
        <f t="shared" si="0"/>
        <v>-2.6218292045570961E-4</v>
      </c>
      <c r="D245" s="24">
        <v>113.88200378417969</v>
      </c>
      <c r="E245" s="5">
        <f t="shared" si="1"/>
        <v>3.0270045602389193E-3</v>
      </c>
      <c r="F245" s="36">
        <v>89.844902038574205</v>
      </c>
      <c r="G245" s="5">
        <f t="shared" si="2"/>
        <v>-3.2070220913888608E-3</v>
      </c>
      <c r="H245" s="62">
        <v>149.48500060000001</v>
      </c>
      <c r="I245" s="5">
        <f t="shared" si="3"/>
        <v>4.4988842789095975E-3</v>
      </c>
    </row>
    <row r="246" spans="1:9" ht="13.8" thickBot="1">
      <c r="A246" s="6">
        <v>45806</v>
      </c>
      <c r="B246" s="35">
        <v>747.39691162109295</v>
      </c>
      <c r="C246" s="5">
        <f t="shared" si="0"/>
        <v>1.5405457443940734E-3</v>
      </c>
      <c r="D246" s="24">
        <v>114.55110168457031</v>
      </c>
      <c r="E246" s="5">
        <f t="shared" si="1"/>
        <v>5.8581685218762744E-3</v>
      </c>
      <c r="F246" s="36">
        <v>89.9176025390625</v>
      </c>
      <c r="G246" s="5">
        <f t="shared" si="2"/>
        <v>8.0885059565389639E-4</v>
      </c>
      <c r="H246" s="62">
        <v>149.91799929999999</v>
      </c>
      <c r="I246" s="5">
        <f t="shared" si="3"/>
        <v>2.8924159211453941E-3</v>
      </c>
    </row>
    <row r="247" spans="1:9" ht="13.8" thickBot="1">
      <c r="A247" s="6">
        <v>45807</v>
      </c>
      <c r="B247" s="35">
        <v>745.385498046875</v>
      </c>
      <c r="C247" s="5">
        <f t="shared" si="0"/>
        <v>-2.6948532866821842E-3</v>
      </c>
      <c r="D247" s="24">
        <v>114.06700134277344</v>
      </c>
      <c r="E247" s="5">
        <f t="shared" si="1"/>
        <v>-4.2350195275902159E-3</v>
      </c>
      <c r="F247" s="36">
        <v>89.784103393554602</v>
      </c>
      <c r="H247" s="62">
        <v>149.4720001</v>
      </c>
      <c r="I247" s="5">
        <f t="shared" si="3"/>
        <v>-2.9793882949500812E-3</v>
      </c>
    </row>
    <row r="248" spans="1:9" ht="13.8" thickBot="1">
      <c r="A248" s="43"/>
      <c r="B248" s="44"/>
      <c r="D248" s="23"/>
      <c r="F248" s="45"/>
      <c r="H248" s="60"/>
    </row>
    <row r="249" spans="1:9" ht="13.8" thickBot="1">
      <c r="A249" s="23"/>
      <c r="B249" s="44"/>
      <c r="C249" s="5">
        <f>AVERAGE(C2:C247)</f>
        <v>5.1189225683554568E-4</v>
      </c>
      <c r="E249" s="5">
        <f>AVERAGE(E2:E247)</f>
        <v>7.7504928883912578E-4</v>
      </c>
      <c r="F249" s="45"/>
      <c r="G249" s="5">
        <f>AVERAGE(G2:G247)</f>
        <v>5.9484883365569724E-4</v>
      </c>
      <c r="H249" s="60"/>
      <c r="I249" s="5">
        <f>AVERAGE(I2:I247)</f>
        <v>4.9388592147235524E-4</v>
      </c>
    </row>
    <row r="250" spans="1:9" ht="13.8" thickBot="1">
      <c r="A250" s="23"/>
      <c r="B250" s="23"/>
      <c r="D250" s="23"/>
      <c r="F250" s="45"/>
      <c r="H250" s="60"/>
    </row>
    <row r="251" spans="1:9" ht="13.8" thickBot="1">
      <c r="A251" s="23"/>
      <c r="B251" s="23"/>
      <c r="C251" s="5">
        <f>((1+C249)^252)-1</f>
        <v>0.13764899029097766</v>
      </c>
      <c r="D251" s="23"/>
      <c r="E251" s="5">
        <f>((1+E249)^252)-1</f>
        <v>0.21559877155901619</v>
      </c>
      <c r="F251" s="45"/>
      <c r="G251" s="5">
        <f>((1+G249)^252)-1</f>
        <v>0.16166850642599195</v>
      </c>
      <c r="H251" s="60"/>
      <c r="I251" s="5">
        <f>((1+I249)^252)-1</f>
        <v>0.13250107544002288</v>
      </c>
    </row>
    <row r="252" spans="1:9" ht="13.8" thickBot="1">
      <c r="A252" s="23"/>
      <c r="B252" s="23"/>
      <c r="D252" s="23"/>
      <c r="F252" s="45"/>
      <c r="H252" s="60"/>
    </row>
    <row r="253" spans="1:9" ht="13.8" thickBot="1">
      <c r="A253" s="23"/>
      <c r="B253" s="23"/>
      <c r="C253" s="5">
        <f>VARP(C3:C247)</f>
        <v>2.6304771104653489E-5</v>
      </c>
      <c r="E253" s="5">
        <f>VARP(E3:E247)</f>
        <v>1.6255758532583857E-4</v>
      </c>
      <c r="G253" s="5">
        <f>VARP(G3:G247)</f>
        <v>5.4411410878546821E-5</v>
      </c>
      <c r="H253" s="60"/>
      <c r="I253" s="5">
        <f>VARP(I3:I247)</f>
        <v>1.5724089648078043E-4</v>
      </c>
    </row>
    <row r="254" spans="1:9" ht="13.8" thickBot="1">
      <c r="A254" s="23"/>
      <c r="B254" s="23"/>
      <c r="C254" s="5">
        <f>SQRT(C253)</f>
        <v>5.1288177102187483E-3</v>
      </c>
      <c r="E254" s="5">
        <f>SQRT(E253)</f>
        <v>1.2749807266223226E-2</v>
      </c>
      <c r="G254" s="5">
        <f>SQRT(G253)</f>
        <v>7.3764090774947411E-3</v>
      </c>
      <c r="H254" s="60"/>
      <c r="I254" s="5">
        <f>SQRT(I253)</f>
        <v>1.2539573217649013E-2</v>
      </c>
    </row>
    <row r="255" spans="1:9" ht="13.8" thickBot="1">
      <c r="A255" s="23"/>
      <c r="B255" s="23"/>
      <c r="C255" s="5">
        <f>SQRT(252)*C254</f>
        <v>8.1417457086135278E-2</v>
      </c>
      <c r="E255" s="5">
        <f>SQRT(252)*E254</f>
        <v>0.20239691574258567</v>
      </c>
      <c r="G255" s="5">
        <f>SQRT(252)*G254</f>
        <v>0.11709686392638276</v>
      </c>
      <c r="H255" s="60"/>
      <c r="I255" s="5">
        <f>SQRT(252)*I254</f>
        <v>0.19905955368471184</v>
      </c>
    </row>
    <row r="256" spans="1:9" ht="13.8" thickBot="1">
      <c r="A256" s="23"/>
      <c r="B256" s="23"/>
      <c r="C256" s="47">
        <f>(C251-N13)/C255</f>
        <v>1.0151261565875178</v>
      </c>
      <c r="E256" s="47">
        <f>(E251-N13)/E255</f>
        <v>0.79348428294861184</v>
      </c>
      <c r="G256" s="47">
        <f>(G251-N13)/G255</f>
        <v>0.91094246975779836</v>
      </c>
      <c r="H256" s="60"/>
      <c r="I256" s="47">
        <f>(I251-N13)/I255</f>
        <v>0.38933612582481697</v>
      </c>
    </row>
    <row r="257" spans="1:8" ht="13.8" thickBot="1">
      <c r="A257" s="23"/>
      <c r="B257" s="23"/>
      <c r="D257" s="23"/>
      <c r="F257" s="45"/>
      <c r="H257" s="60"/>
    </row>
    <row r="258" spans="1:8" ht="13.8" thickBot="1">
      <c r="A258" s="23"/>
      <c r="B258" s="23"/>
      <c r="D258" s="23"/>
      <c r="F258" s="45"/>
      <c r="H258" s="60"/>
    </row>
    <row r="259" spans="1:8" ht="13.8" thickBot="1">
      <c r="A259" s="23"/>
      <c r="B259" s="23"/>
      <c r="D259" s="23"/>
      <c r="F259" s="45"/>
      <c r="H259" s="60"/>
    </row>
    <row r="260" spans="1:8" ht="13.8" thickBot="1">
      <c r="A260" s="23"/>
      <c r="B260" s="23"/>
      <c r="D260" s="23"/>
      <c r="F260" s="45"/>
      <c r="H260" s="60"/>
    </row>
    <row r="261" spans="1:8" ht="13.8" thickBot="1">
      <c r="A261" s="23"/>
      <c r="B261" s="23"/>
      <c r="D261" s="23"/>
      <c r="F261" s="45"/>
      <c r="H261" s="60"/>
    </row>
    <row r="262" spans="1:8" ht="13.8" thickBot="1">
      <c r="A262" s="23"/>
      <c r="B262" s="23"/>
      <c r="D262" s="23"/>
      <c r="F262" s="45"/>
      <c r="H262" s="60"/>
    </row>
    <row r="263" spans="1:8" ht="13.8" thickBot="1">
      <c r="A263" s="23"/>
      <c r="B263" s="23"/>
      <c r="D263" s="23"/>
      <c r="F263" s="45"/>
      <c r="H263" s="60"/>
    </row>
    <row r="264" spans="1:8" ht="13.8" thickBot="1">
      <c r="A264" s="23"/>
      <c r="B264" s="23"/>
      <c r="D264" s="23"/>
      <c r="F264" s="45"/>
      <c r="H264" s="60"/>
    </row>
    <row r="265" spans="1:8" ht="13.8" thickBot="1">
      <c r="A265" s="23"/>
      <c r="B265" s="23"/>
      <c r="D265" s="23"/>
      <c r="F265" s="45"/>
      <c r="H265" s="60"/>
    </row>
    <row r="266" spans="1:8" ht="13.8" thickBot="1">
      <c r="A266" s="23"/>
      <c r="B266" s="23"/>
      <c r="D266" s="23"/>
      <c r="F266" s="45"/>
      <c r="H266" s="60"/>
    </row>
    <row r="267" spans="1:8" ht="13.8" thickBot="1">
      <c r="A267" s="23"/>
      <c r="B267" s="23"/>
      <c r="D267" s="23"/>
      <c r="F267" s="45"/>
      <c r="H267" s="60"/>
    </row>
    <row r="268" spans="1:8" ht="13.8" thickBot="1">
      <c r="A268" s="23"/>
      <c r="B268" s="23"/>
      <c r="D268" s="23"/>
      <c r="F268" s="45"/>
      <c r="H268" s="60"/>
    </row>
    <row r="269" spans="1:8" ht="13.8" thickBot="1">
      <c r="A269" s="23"/>
      <c r="B269" s="23"/>
      <c r="D269" s="23"/>
      <c r="F269" s="45"/>
      <c r="H269" s="60"/>
    </row>
    <row r="270" spans="1:8" ht="13.8" thickBot="1">
      <c r="A270" s="23"/>
      <c r="B270" s="23"/>
      <c r="D270" s="23"/>
      <c r="F270" s="45"/>
      <c r="H270" s="60"/>
    </row>
    <row r="271" spans="1:8" ht="13.8" thickBot="1">
      <c r="A271" s="23"/>
      <c r="B271" s="23"/>
      <c r="D271" s="23"/>
      <c r="F271" s="45"/>
      <c r="H271" s="60"/>
    </row>
    <row r="272" spans="1:8" ht="13.8" thickBot="1">
      <c r="A272" s="23"/>
      <c r="B272" s="23"/>
      <c r="D272" s="23"/>
      <c r="F272" s="45"/>
      <c r="H272" s="60"/>
    </row>
    <row r="273" spans="1:8" ht="13.8" thickBot="1">
      <c r="A273" s="23"/>
      <c r="B273" s="23"/>
      <c r="D273" s="23"/>
      <c r="F273" s="45"/>
      <c r="H273" s="60"/>
    </row>
    <row r="274" spans="1:8" ht="13.8" thickBot="1">
      <c r="A274" s="23"/>
      <c r="B274" s="23"/>
      <c r="D274" s="23"/>
      <c r="F274" s="45"/>
      <c r="H274" s="60"/>
    </row>
    <row r="275" spans="1:8" ht="13.8" thickBot="1">
      <c r="A275" s="23"/>
      <c r="B275" s="23"/>
      <c r="D275" s="23"/>
      <c r="F275" s="45"/>
      <c r="H275" s="60"/>
    </row>
    <row r="276" spans="1:8" ht="13.8" thickBot="1">
      <c r="A276" s="23"/>
      <c r="B276" s="23"/>
      <c r="D276" s="23"/>
      <c r="F276" s="45"/>
      <c r="H276" s="60"/>
    </row>
    <row r="277" spans="1:8" ht="13.8" thickBot="1">
      <c r="A277" s="23"/>
      <c r="B277" s="23"/>
      <c r="D277" s="23"/>
      <c r="F277" s="45"/>
      <c r="H277" s="60"/>
    </row>
    <row r="278" spans="1:8" ht="13.8" thickBot="1">
      <c r="A278" s="23"/>
      <c r="B278" s="23"/>
      <c r="D278" s="23"/>
      <c r="F278" s="45"/>
      <c r="H278" s="60"/>
    </row>
    <row r="279" spans="1:8" ht="13.8" thickBot="1">
      <c r="A279" s="23"/>
      <c r="B279" s="23"/>
      <c r="D279" s="23"/>
      <c r="F279" s="45"/>
      <c r="H279" s="60"/>
    </row>
    <row r="280" spans="1:8" ht="13.8" thickBot="1">
      <c r="A280" s="23"/>
      <c r="B280" s="23"/>
      <c r="D280" s="23"/>
      <c r="F280" s="45"/>
      <c r="H280" s="60"/>
    </row>
    <row r="281" spans="1:8" ht="13.8" thickBot="1">
      <c r="A281" s="23"/>
      <c r="B281" s="23"/>
      <c r="D281" s="23"/>
      <c r="F281" s="45"/>
      <c r="H281" s="60"/>
    </row>
    <row r="282" spans="1:8" ht="13.8" thickBot="1">
      <c r="A282" s="23"/>
      <c r="B282" s="23"/>
      <c r="D282" s="23"/>
      <c r="F282" s="45"/>
      <c r="H282" s="60"/>
    </row>
    <row r="283" spans="1:8" ht="13.8" thickBot="1">
      <c r="A283" s="23"/>
      <c r="B283" s="23"/>
      <c r="D283" s="23"/>
      <c r="F283" s="45"/>
      <c r="H283" s="60"/>
    </row>
    <row r="284" spans="1:8" ht="13.8" thickBot="1">
      <c r="A284" s="23"/>
      <c r="B284" s="23"/>
      <c r="D284" s="23"/>
      <c r="F284" s="45"/>
      <c r="H284" s="60"/>
    </row>
    <row r="285" spans="1:8" ht="13.8" thickBot="1">
      <c r="A285" s="23"/>
      <c r="B285" s="23"/>
      <c r="D285" s="23"/>
      <c r="F285" s="45"/>
      <c r="H285" s="60"/>
    </row>
    <row r="286" spans="1:8" ht="13.8" thickBot="1">
      <c r="A286" s="23"/>
      <c r="B286" s="23"/>
      <c r="D286" s="23"/>
      <c r="F286" s="45"/>
      <c r="H286" s="60"/>
    </row>
    <row r="287" spans="1:8" ht="13.8" thickBot="1">
      <c r="A287" s="23"/>
      <c r="B287" s="23"/>
      <c r="D287" s="23"/>
      <c r="F287" s="45"/>
      <c r="H287" s="60"/>
    </row>
    <row r="288" spans="1:8" ht="13.8" thickBot="1">
      <c r="A288" s="23"/>
      <c r="B288" s="23"/>
      <c r="D288" s="23"/>
      <c r="F288" s="45"/>
      <c r="H288" s="60"/>
    </row>
    <row r="289" spans="1:8" ht="13.8" thickBot="1">
      <c r="A289" s="23"/>
      <c r="B289" s="23"/>
      <c r="D289" s="23"/>
      <c r="F289" s="45"/>
      <c r="H289" s="60"/>
    </row>
    <row r="290" spans="1:8" ht="13.8" thickBot="1">
      <c r="A290" s="23"/>
      <c r="B290" s="23"/>
      <c r="D290" s="23"/>
      <c r="F290" s="45"/>
      <c r="H290" s="60"/>
    </row>
    <row r="291" spans="1:8" ht="13.8" thickBot="1">
      <c r="A291" s="23"/>
      <c r="B291" s="23"/>
      <c r="D291" s="23"/>
      <c r="F291" s="45"/>
      <c r="H291" s="60"/>
    </row>
    <row r="292" spans="1:8" ht="13.8" thickBot="1">
      <c r="A292" s="23"/>
      <c r="B292" s="23"/>
      <c r="D292" s="23"/>
      <c r="F292" s="45"/>
      <c r="H292" s="60"/>
    </row>
    <row r="293" spans="1:8" ht="13.8" thickBot="1">
      <c r="A293" s="23"/>
      <c r="B293" s="23"/>
      <c r="D293" s="23"/>
      <c r="F293" s="45"/>
      <c r="H293" s="60"/>
    </row>
    <row r="294" spans="1:8" ht="13.8" thickBot="1">
      <c r="A294" s="23"/>
      <c r="B294" s="23"/>
      <c r="D294" s="23"/>
      <c r="F294" s="45"/>
      <c r="H294" s="60"/>
    </row>
    <row r="295" spans="1:8" ht="13.8" thickBot="1">
      <c r="A295" s="23"/>
      <c r="B295" s="23"/>
      <c r="D295" s="23"/>
      <c r="F295" s="45"/>
      <c r="H295" s="60"/>
    </row>
    <row r="296" spans="1:8" ht="13.8" thickBot="1">
      <c r="A296" s="23"/>
      <c r="B296" s="23"/>
      <c r="D296" s="23"/>
      <c r="F296" s="45"/>
      <c r="H296" s="60"/>
    </row>
    <row r="297" spans="1:8" ht="13.8" thickBot="1">
      <c r="A297" s="23"/>
      <c r="B297" s="23"/>
      <c r="D297" s="23"/>
      <c r="F297" s="45"/>
      <c r="H297" s="60"/>
    </row>
    <row r="298" spans="1:8" ht="13.8" thickBot="1">
      <c r="A298" s="23"/>
      <c r="B298" s="23"/>
      <c r="D298" s="23"/>
      <c r="F298" s="45"/>
      <c r="H298" s="60"/>
    </row>
    <row r="299" spans="1:8" ht="13.8" thickBot="1">
      <c r="A299" s="23"/>
      <c r="B299" s="23"/>
      <c r="D299" s="23"/>
      <c r="F299" s="45"/>
      <c r="H299" s="60"/>
    </row>
    <row r="300" spans="1:8" ht="13.8" thickBot="1">
      <c r="A300" s="23"/>
      <c r="B300" s="23"/>
      <c r="D300" s="23"/>
      <c r="F300" s="45"/>
      <c r="H300" s="60"/>
    </row>
    <row r="301" spans="1:8" ht="13.8" thickBot="1">
      <c r="A301" s="23"/>
      <c r="B301" s="23"/>
      <c r="D301" s="23"/>
      <c r="F301" s="45"/>
      <c r="H301" s="60"/>
    </row>
    <row r="302" spans="1:8" ht="13.8" thickBot="1">
      <c r="A302" s="23"/>
      <c r="B302" s="23"/>
      <c r="D302" s="23"/>
      <c r="F302" s="45"/>
      <c r="H302" s="60"/>
    </row>
    <row r="303" spans="1:8" ht="13.8" thickBot="1">
      <c r="A303" s="23"/>
      <c r="B303" s="23"/>
      <c r="D303" s="23"/>
      <c r="F303" s="45"/>
      <c r="H303" s="60"/>
    </row>
    <row r="304" spans="1:8" ht="13.8" thickBot="1">
      <c r="A304" s="23"/>
      <c r="B304" s="23"/>
      <c r="D304" s="23"/>
      <c r="F304" s="45"/>
      <c r="H304" s="60"/>
    </row>
    <row r="305" spans="1:8" ht="13.8" thickBot="1">
      <c r="A305" s="23"/>
      <c r="B305" s="23"/>
      <c r="D305" s="23"/>
      <c r="F305" s="45"/>
      <c r="H305" s="60"/>
    </row>
    <row r="306" spans="1:8" ht="13.8" thickBot="1">
      <c r="A306" s="23"/>
      <c r="B306" s="23"/>
      <c r="D306" s="23"/>
      <c r="F306" s="45"/>
      <c r="H306" s="60"/>
    </row>
    <row r="307" spans="1:8" ht="13.8" thickBot="1">
      <c r="A307" s="23"/>
      <c r="B307" s="23"/>
      <c r="D307" s="23"/>
      <c r="F307" s="45"/>
      <c r="H307" s="60"/>
    </row>
    <row r="308" spans="1:8" ht="13.8" thickBot="1">
      <c r="A308" s="23"/>
      <c r="B308" s="23"/>
      <c r="D308" s="23"/>
      <c r="F308" s="45"/>
      <c r="H308" s="60"/>
    </row>
    <row r="309" spans="1:8" ht="13.8" thickBot="1">
      <c r="A309" s="23"/>
      <c r="B309" s="23"/>
      <c r="D309" s="23"/>
      <c r="F309" s="45"/>
      <c r="H309" s="60"/>
    </row>
    <row r="310" spans="1:8" ht="13.8" thickBot="1">
      <c r="A310" s="23"/>
      <c r="B310" s="23"/>
      <c r="D310" s="23"/>
      <c r="F310" s="45"/>
      <c r="H310" s="60"/>
    </row>
    <row r="311" spans="1:8" ht="13.8" thickBot="1">
      <c r="A311" s="23"/>
      <c r="B311" s="23"/>
      <c r="D311" s="23"/>
      <c r="F311" s="45"/>
      <c r="H311" s="60"/>
    </row>
    <row r="312" spans="1:8" ht="13.8" thickBot="1">
      <c r="A312" s="23"/>
      <c r="B312" s="23"/>
      <c r="D312" s="23"/>
      <c r="F312" s="45"/>
      <c r="H312" s="60"/>
    </row>
    <row r="313" spans="1:8" ht="13.8" thickBot="1">
      <c r="A313" s="23"/>
      <c r="B313" s="23"/>
      <c r="D313" s="23"/>
      <c r="F313" s="45"/>
      <c r="H313" s="60"/>
    </row>
    <row r="314" spans="1:8" ht="13.8" thickBot="1">
      <c r="A314" s="23"/>
      <c r="B314" s="23"/>
      <c r="D314" s="23"/>
      <c r="F314" s="45"/>
      <c r="H314" s="60"/>
    </row>
    <row r="315" spans="1:8" ht="13.8" thickBot="1">
      <c r="A315" s="23"/>
      <c r="B315" s="23"/>
      <c r="D315" s="23"/>
      <c r="F315" s="45"/>
      <c r="H315" s="60"/>
    </row>
    <row r="316" spans="1:8" ht="13.8" thickBot="1">
      <c r="A316" s="23"/>
      <c r="B316" s="23"/>
      <c r="D316" s="23"/>
      <c r="F316" s="45"/>
      <c r="H316" s="60"/>
    </row>
    <row r="317" spans="1:8" ht="13.8" thickBot="1">
      <c r="A317" s="23"/>
      <c r="B317" s="23"/>
      <c r="D317" s="23"/>
      <c r="F317" s="45"/>
      <c r="H317" s="60"/>
    </row>
    <row r="318" spans="1:8" ht="13.8" thickBot="1">
      <c r="A318" s="23"/>
      <c r="B318" s="23"/>
      <c r="D318" s="23"/>
      <c r="F318" s="45"/>
      <c r="H318" s="60"/>
    </row>
    <row r="319" spans="1:8" ht="13.8" thickBot="1">
      <c r="A319" s="23"/>
      <c r="B319" s="23"/>
      <c r="D319" s="23"/>
      <c r="F319" s="45"/>
      <c r="H319" s="60"/>
    </row>
    <row r="320" spans="1:8" ht="13.8" thickBot="1">
      <c r="A320" s="23"/>
      <c r="B320" s="23"/>
      <c r="D320" s="23"/>
      <c r="F320" s="45"/>
      <c r="H320" s="60"/>
    </row>
    <row r="321" spans="1:8" ht="13.8" thickBot="1">
      <c r="A321" s="23"/>
      <c r="B321" s="23"/>
      <c r="D321" s="23"/>
      <c r="F321" s="45"/>
      <c r="H321" s="60"/>
    </row>
    <row r="322" spans="1:8" ht="13.8" thickBot="1">
      <c r="A322" s="23"/>
      <c r="B322" s="23"/>
      <c r="D322" s="23"/>
      <c r="F322" s="45"/>
      <c r="H322" s="60"/>
    </row>
    <row r="323" spans="1:8" ht="13.8" thickBot="1">
      <c r="A323" s="23"/>
      <c r="B323" s="23"/>
      <c r="D323" s="23"/>
      <c r="F323" s="45"/>
      <c r="H323" s="60"/>
    </row>
    <row r="324" spans="1:8" ht="13.8" thickBot="1">
      <c r="A324" s="23"/>
      <c r="B324" s="23"/>
      <c r="D324" s="23"/>
      <c r="F324" s="45"/>
      <c r="H324" s="60"/>
    </row>
    <row r="325" spans="1:8" ht="13.8" thickBot="1">
      <c r="A325" s="23"/>
      <c r="B325" s="23"/>
      <c r="D325" s="23"/>
      <c r="F325" s="45"/>
      <c r="H325" s="60"/>
    </row>
    <row r="326" spans="1:8" ht="13.8" thickBot="1">
      <c r="A326" s="23"/>
      <c r="B326" s="23"/>
      <c r="D326" s="23"/>
      <c r="F326" s="45"/>
      <c r="H326" s="60"/>
    </row>
    <row r="327" spans="1:8" ht="13.8" thickBot="1">
      <c r="A327" s="23"/>
      <c r="B327" s="23"/>
      <c r="D327" s="23"/>
      <c r="F327" s="45"/>
      <c r="H327" s="60"/>
    </row>
    <row r="328" spans="1:8" ht="13.8" thickBot="1">
      <c r="A328" s="23"/>
      <c r="B328" s="23"/>
      <c r="D328" s="23"/>
      <c r="F328" s="45"/>
      <c r="H328" s="60"/>
    </row>
    <row r="329" spans="1:8" ht="13.8" thickBot="1">
      <c r="A329" s="23"/>
      <c r="B329" s="23"/>
      <c r="D329" s="23"/>
      <c r="F329" s="45"/>
      <c r="H329" s="60"/>
    </row>
    <row r="330" spans="1:8" ht="13.8" thickBot="1">
      <c r="A330" s="23"/>
      <c r="B330" s="23"/>
      <c r="D330" s="23"/>
      <c r="F330" s="45"/>
      <c r="H330" s="60"/>
    </row>
    <row r="331" spans="1:8" ht="13.8" thickBot="1">
      <c r="A331" s="23"/>
      <c r="B331" s="23"/>
      <c r="D331" s="23"/>
      <c r="F331" s="45"/>
      <c r="H331" s="60"/>
    </row>
    <row r="332" spans="1:8" ht="13.8" thickBot="1">
      <c r="A332" s="23"/>
      <c r="B332" s="23"/>
      <c r="D332" s="23"/>
      <c r="F332" s="45"/>
      <c r="H332" s="60"/>
    </row>
    <row r="333" spans="1:8" ht="13.8" thickBot="1">
      <c r="A333" s="23"/>
      <c r="B333" s="23"/>
      <c r="D333" s="23"/>
      <c r="F333" s="45"/>
      <c r="H333" s="60"/>
    </row>
    <row r="334" spans="1:8" ht="13.8" thickBot="1">
      <c r="A334" s="23"/>
      <c r="B334" s="23"/>
      <c r="D334" s="23"/>
      <c r="F334" s="45"/>
      <c r="H334" s="60"/>
    </row>
    <row r="335" spans="1:8" ht="13.8" thickBot="1">
      <c r="A335" s="23"/>
      <c r="B335" s="23"/>
      <c r="D335" s="23"/>
      <c r="F335" s="45"/>
      <c r="H335" s="60"/>
    </row>
    <row r="336" spans="1:8" ht="13.8" thickBot="1">
      <c r="A336" s="23"/>
      <c r="B336" s="23"/>
      <c r="D336" s="23"/>
      <c r="F336" s="45"/>
      <c r="H336" s="60"/>
    </row>
    <row r="337" spans="1:8" ht="13.8" thickBot="1">
      <c r="A337" s="23"/>
      <c r="B337" s="23"/>
      <c r="D337" s="23"/>
      <c r="F337" s="45"/>
      <c r="H337" s="60"/>
    </row>
    <row r="338" spans="1:8" ht="13.8" thickBot="1">
      <c r="A338" s="23"/>
      <c r="B338" s="23"/>
      <c r="D338" s="23"/>
      <c r="F338" s="45"/>
      <c r="H338" s="60"/>
    </row>
    <row r="339" spans="1:8" ht="13.8" thickBot="1">
      <c r="A339" s="23"/>
      <c r="B339" s="23"/>
      <c r="D339" s="23"/>
      <c r="F339" s="45"/>
      <c r="H339" s="60"/>
    </row>
    <row r="340" spans="1:8" ht="13.8" thickBot="1">
      <c r="A340" s="23"/>
      <c r="B340" s="23"/>
      <c r="D340" s="23"/>
      <c r="F340" s="45"/>
      <c r="H340" s="60"/>
    </row>
    <row r="341" spans="1:8" ht="13.8" thickBot="1">
      <c r="A341" s="23"/>
      <c r="B341" s="23"/>
      <c r="D341" s="23"/>
      <c r="F341" s="45"/>
      <c r="H341" s="60"/>
    </row>
    <row r="342" spans="1:8" ht="13.8" thickBot="1">
      <c r="A342" s="23"/>
      <c r="B342" s="23"/>
      <c r="D342" s="23"/>
      <c r="F342" s="45"/>
      <c r="H342" s="60"/>
    </row>
    <row r="343" spans="1:8" ht="13.8" thickBot="1">
      <c r="A343" s="23"/>
      <c r="B343" s="23"/>
      <c r="D343" s="23"/>
      <c r="F343" s="45"/>
      <c r="H343" s="60"/>
    </row>
    <row r="344" spans="1:8" ht="13.8" thickBot="1">
      <c r="A344" s="23"/>
      <c r="B344" s="23"/>
      <c r="D344" s="23"/>
      <c r="F344" s="45"/>
      <c r="H344" s="60"/>
    </row>
    <row r="345" spans="1:8" ht="13.8" thickBot="1">
      <c r="A345" s="23"/>
      <c r="B345" s="23"/>
      <c r="D345" s="23"/>
      <c r="F345" s="45"/>
      <c r="H345" s="60"/>
    </row>
    <row r="346" spans="1:8" ht="13.8" thickBot="1">
      <c r="A346" s="23"/>
      <c r="B346" s="23"/>
      <c r="D346" s="23"/>
      <c r="F346" s="45"/>
      <c r="H346" s="60"/>
    </row>
    <row r="347" spans="1:8" ht="13.8" thickBot="1">
      <c r="A347" s="23"/>
      <c r="B347" s="23"/>
      <c r="D347" s="23"/>
      <c r="F347" s="45"/>
      <c r="H347" s="60"/>
    </row>
    <row r="348" spans="1:8" ht="13.8" thickBot="1">
      <c r="A348" s="23"/>
      <c r="B348" s="23"/>
      <c r="D348" s="23"/>
      <c r="F348" s="45"/>
      <c r="H348" s="60"/>
    </row>
    <row r="349" spans="1:8" ht="13.8" thickBot="1">
      <c r="A349" s="23"/>
      <c r="B349" s="23"/>
      <c r="D349" s="23"/>
      <c r="F349" s="45"/>
      <c r="H349" s="60"/>
    </row>
    <row r="350" spans="1:8" ht="13.8" thickBot="1">
      <c r="A350" s="23"/>
      <c r="B350" s="23"/>
      <c r="D350" s="23"/>
      <c r="F350" s="45"/>
      <c r="H350" s="60"/>
    </row>
    <row r="351" spans="1:8" ht="13.8" thickBot="1">
      <c r="A351" s="23"/>
      <c r="B351" s="23"/>
      <c r="D351" s="23"/>
      <c r="F351" s="45"/>
      <c r="H351" s="60"/>
    </row>
    <row r="352" spans="1:8" ht="13.8" thickBot="1">
      <c r="A352" s="23"/>
      <c r="B352" s="23"/>
      <c r="D352" s="23"/>
      <c r="F352" s="45"/>
      <c r="H352" s="60"/>
    </row>
    <row r="353" spans="1:8" ht="13.8" thickBot="1">
      <c r="A353" s="23"/>
      <c r="B353" s="23"/>
      <c r="D353" s="23"/>
      <c r="F353" s="45"/>
      <c r="H353" s="60"/>
    </row>
    <row r="354" spans="1:8" ht="13.8" thickBot="1">
      <c r="A354" s="23"/>
      <c r="B354" s="23"/>
      <c r="D354" s="23"/>
      <c r="F354" s="45"/>
      <c r="H354" s="60"/>
    </row>
    <row r="355" spans="1:8" ht="13.8" thickBot="1">
      <c r="A355" s="23"/>
      <c r="B355" s="23"/>
      <c r="D355" s="23"/>
      <c r="F355" s="45"/>
      <c r="H355" s="60"/>
    </row>
    <row r="356" spans="1:8" ht="13.8" thickBot="1">
      <c r="A356" s="23"/>
      <c r="B356" s="23"/>
      <c r="D356" s="23"/>
      <c r="F356" s="45"/>
      <c r="H356" s="60"/>
    </row>
    <row r="357" spans="1:8" ht="13.8" thickBot="1">
      <c r="A357" s="23"/>
      <c r="B357" s="23"/>
      <c r="D357" s="23"/>
      <c r="F357" s="45"/>
      <c r="H357" s="60"/>
    </row>
    <row r="358" spans="1:8" ht="13.8" thickBot="1">
      <c r="A358" s="23"/>
      <c r="B358" s="23"/>
      <c r="D358" s="23"/>
      <c r="F358" s="45"/>
      <c r="H358" s="60"/>
    </row>
    <row r="359" spans="1:8" ht="13.8" thickBot="1">
      <c r="A359" s="23"/>
      <c r="B359" s="23"/>
      <c r="D359" s="23"/>
      <c r="F359" s="45"/>
      <c r="H359" s="60"/>
    </row>
    <row r="360" spans="1:8" ht="13.8" thickBot="1">
      <c r="A360" s="23"/>
      <c r="B360" s="23"/>
      <c r="D360" s="23"/>
      <c r="F360" s="45"/>
      <c r="H360" s="60"/>
    </row>
    <row r="361" spans="1:8" ht="13.8" thickBot="1">
      <c r="A361" s="23"/>
      <c r="B361" s="23"/>
      <c r="D361" s="23"/>
      <c r="F361" s="45"/>
      <c r="H361" s="60"/>
    </row>
    <row r="362" spans="1:8" ht="13.8" thickBot="1">
      <c r="A362" s="23"/>
      <c r="B362" s="23"/>
      <c r="D362" s="23"/>
      <c r="F362" s="45"/>
      <c r="H362" s="60"/>
    </row>
    <row r="363" spans="1:8" ht="13.8" thickBot="1">
      <c r="A363" s="23"/>
      <c r="B363" s="23"/>
      <c r="D363" s="23"/>
      <c r="F363" s="45"/>
      <c r="H363" s="60"/>
    </row>
    <row r="364" spans="1:8" ht="13.8" thickBot="1">
      <c r="A364" s="23"/>
      <c r="B364" s="23"/>
      <c r="D364" s="23"/>
      <c r="F364" s="45"/>
      <c r="H364" s="60"/>
    </row>
    <row r="365" spans="1:8" ht="13.8" thickBot="1">
      <c r="A365" s="23"/>
      <c r="B365" s="23"/>
      <c r="D365" s="23"/>
      <c r="F365" s="45"/>
      <c r="H365" s="60"/>
    </row>
    <row r="366" spans="1:8" ht="13.8" thickBot="1">
      <c r="A366" s="23"/>
      <c r="B366" s="23"/>
      <c r="D366" s="23"/>
      <c r="F366" s="45"/>
      <c r="H366" s="60"/>
    </row>
    <row r="367" spans="1:8" ht="13.8" thickBot="1">
      <c r="A367" s="23"/>
      <c r="B367" s="23"/>
      <c r="D367" s="23"/>
      <c r="F367" s="45"/>
      <c r="H367" s="60"/>
    </row>
    <row r="368" spans="1:8" ht="13.8" thickBot="1">
      <c r="A368" s="23"/>
      <c r="B368" s="23"/>
      <c r="D368" s="23"/>
      <c r="F368" s="45"/>
      <c r="H368" s="60"/>
    </row>
    <row r="369" spans="1:8" ht="13.8" thickBot="1">
      <c r="A369" s="23"/>
      <c r="B369" s="23"/>
      <c r="D369" s="23"/>
      <c r="F369" s="45"/>
      <c r="H369" s="60"/>
    </row>
    <row r="370" spans="1:8" ht="13.8" thickBot="1">
      <c r="A370" s="23"/>
      <c r="B370" s="23"/>
      <c r="D370" s="23"/>
      <c r="F370" s="45"/>
      <c r="H370" s="60"/>
    </row>
    <row r="371" spans="1:8" ht="13.8" thickBot="1">
      <c r="A371" s="23"/>
      <c r="B371" s="23"/>
      <c r="D371" s="23"/>
      <c r="F371" s="45"/>
      <c r="H371" s="60"/>
    </row>
    <row r="372" spans="1:8" ht="13.8" thickBot="1">
      <c r="A372" s="23"/>
      <c r="B372" s="23"/>
      <c r="D372" s="23"/>
      <c r="F372" s="45"/>
      <c r="H372" s="60"/>
    </row>
    <row r="373" spans="1:8" ht="13.8" thickBot="1">
      <c r="A373" s="23"/>
      <c r="B373" s="23"/>
      <c r="D373" s="23"/>
      <c r="F373" s="45"/>
      <c r="H373" s="60"/>
    </row>
    <row r="374" spans="1:8" ht="13.8" thickBot="1">
      <c r="A374" s="23"/>
      <c r="B374" s="23"/>
      <c r="D374" s="23"/>
      <c r="F374" s="45"/>
      <c r="H374" s="60"/>
    </row>
    <row r="375" spans="1:8" ht="13.8" thickBot="1">
      <c r="A375" s="23"/>
      <c r="B375" s="23"/>
      <c r="D375" s="23"/>
      <c r="F375" s="45"/>
      <c r="H375" s="60"/>
    </row>
    <row r="376" spans="1:8" ht="13.8" thickBot="1">
      <c r="A376" s="23"/>
      <c r="B376" s="23"/>
      <c r="D376" s="23"/>
      <c r="F376" s="45"/>
      <c r="H376" s="60"/>
    </row>
    <row r="377" spans="1:8" ht="13.8" thickBot="1">
      <c r="A377" s="23"/>
      <c r="B377" s="23"/>
      <c r="D377" s="23"/>
      <c r="F377" s="45"/>
      <c r="H377" s="60"/>
    </row>
    <row r="378" spans="1:8" ht="13.8" thickBot="1">
      <c r="A378" s="23"/>
      <c r="B378" s="23"/>
      <c r="D378" s="23"/>
      <c r="F378" s="45"/>
      <c r="H378" s="60"/>
    </row>
    <row r="379" spans="1:8" ht="13.8" thickBot="1">
      <c r="A379" s="23"/>
      <c r="B379" s="23"/>
      <c r="D379" s="23"/>
      <c r="F379" s="45"/>
      <c r="H379" s="60"/>
    </row>
    <row r="380" spans="1:8" ht="13.8" thickBot="1">
      <c r="A380" s="23"/>
      <c r="B380" s="23"/>
      <c r="D380" s="23"/>
      <c r="F380" s="45"/>
      <c r="H380" s="60"/>
    </row>
    <row r="381" spans="1:8" ht="13.8" thickBot="1">
      <c r="A381" s="23"/>
      <c r="B381" s="23"/>
      <c r="D381" s="23"/>
      <c r="F381" s="45"/>
      <c r="H381" s="60"/>
    </row>
    <row r="382" spans="1:8" ht="13.8" thickBot="1">
      <c r="A382" s="23"/>
      <c r="B382" s="23"/>
      <c r="D382" s="23"/>
      <c r="F382" s="45"/>
      <c r="H382" s="60"/>
    </row>
    <row r="383" spans="1:8" ht="13.8" thickBot="1">
      <c r="A383" s="23"/>
      <c r="B383" s="23"/>
      <c r="D383" s="23"/>
      <c r="F383" s="45"/>
      <c r="H383" s="60"/>
    </row>
    <row r="384" spans="1:8" ht="13.8" thickBot="1">
      <c r="A384" s="23"/>
      <c r="B384" s="23"/>
      <c r="D384" s="23"/>
      <c r="F384" s="45"/>
      <c r="H384" s="60"/>
    </row>
    <row r="385" spans="1:8" ht="13.8" thickBot="1">
      <c r="A385" s="23"/>
      <c r="B385" s="23"/>
      <c r="D385" s="23"/>
      <c r="F385" s="45"/>
      <c r="H385" s="60"/>
    </row>
    <row r="386" spans="1:8" ht="13.8" thickBot="1">
      <c r="A386" s="23"/>
      <c r="B386" s="23"/>
      <c r="D386" s="23"/>
      <c r="F386" s="45"/>
      <c r="H386" s="60"/>
    </row>
    <row r="387" spans="1:8" ht="13.8" thickBot="1">
      <c r="A387" s="23"/>
      <c r="B387" s="23"/>
      <c r="D387" s="23"/>
      <c r="F387" s="45"/>
      <c r="H387" s="60"/>
    </row>
    <row r="388" spans="1:8" ht="13.8" thickBot="1">
      <c r="A388" s="23"/>
      <c r="B388" s="23"/>
      <c r="D388" s="23"/>
      <c r="F388" s="45"/>
      <c r="H388" s="60"/>
    </row>
    <row r="389" spans="1:8" ht="13.8" thickBot="1">
      <c r="A389" s="23"/>
      <c r="B389" s="23"/>
      <c r="D389" s="23"/>
      <c r="F389" s="45"/>
      <c r="H389" s="60"/>
    </row>
    <row r="390" spans="1:8" ht="13.8" thickBot="1">
      <c r="A390" s="23"/>
      <c r="B390" s="23"/>
      <c r="D390" s="23"/>
      <c r="F390" s="45"/>
      <c r="H390" s="60"/>
    </row>
    <row r="391" spans="1:8" ht="13.8" thickBot="1">
      <c r="A391" s="23"/>
      <c r="B391" s="23"/>
      <c r="D391" s="23"/>
      <c r="F391" s="45"/>
      <c r="H391" s="60"/>
    </row>
    <row r="392" spans="1:8" ht="13.8" thickBot="1">
      <c r="A392" s="23"/>
      <c r="B392" s="23"/>
      <c r="D392" s="23"/>
      <c r="F392" s="45"/>
      <c r="H392" s="60"/>
    </row>
    <row r="393" spans="1:8" ht="13.8" thickBot="1">
      <c r="A393" s="23"/>
      <c r="B393" s="23"/>
      <c r="D393" s="23"/>
      <c r="F393" s="45"/>
      <c r="H393" s="60"/>
    </row>
    <row r="394" spans="1:8" ht="13.8" thickBot="1">
      <c r="A394" s="23"/>
      <c r="B394" s="23"/>
      <c r="D394" s="23"/>
      <c r="F394" s="45"/>
      <c r="H394" s="60"/>
    </row>
    <row r="395" spans="1:8" ht="13.8" thickBot="1">
      <c r="A395" s="23"/>
      <c r="B395" s="23"/>
      <c r="D395" s="23"/>
      <c r="F395" s="45"/>
      <c r="H395" s="60"/>
    </row>
    <row r="396" spans="1:8" ht="13.8" thickBot="1">
      <c r="A396" s="23"/>
      <c r="B396" s="23"/>
      <c r="D396" s="23"/>
      <c r="F396" s="45"/>
      <c r="H396" s="60"/>
    </row>
    <row r="397" spans="1:8" ht="13.8" thickBot="1">
      <c r="A397" s="23"/>
      <c r="B397" s="23"/>
      <c r="D397" s="23"/>
      <c r="F397" s="45"/>
      <c r="H397" s="60"/>
    </row>
    <row r="398" spans="1:8" ht="13.8" thickBot="1">
      <c r="A398" s="23"/>
      <c r="B398" s="23"/>
      <c r="D398" s="23"/>
      <c r="F398" s="45"/>
      <c r="H398" s="60"/>
    </row>
    <row r="399" spans="1:8" ht="13.8" thickBot="1">
      <c r="A399" s="23"/>
      <c r="B399" s="23"/>
      <c r="D399" s="23"/>
      <c r="F399" s="45"/>
      <c r="H399" s="60"/>
    </row>
    <row r="400" spans="1:8" ht="13.8" thickBot="1">
      <c r="A400" s="23"/>
      <c r="B400" s="23"/>
      <c r="D400" s="23"/>
      <c r="F400" s="45"/>
      <c r="H400" s="60"/>
    </row>
    <row r="401" spans="1:8" ht="13.8" thickBot="1">
      <c r="A401" s="23"/>
      <c r="B401" s="23"/>
      <c r="D401" s="23"/>
      <c r="F401" s="45"/>
      <c r="H401" s="60"/>
    </row>
    <row r="402" spans="1:8" ht="13.8" thickBot="1">
      <c r="A402" s="23"/>
      <c r="B402" s="23"/>
      <c r="D402" s="23"/>
      <c r="F402" s="45"/>
      <c r="H402" s="60"/>
    </row>
    <row r="403" spans="1:8" ht="13.8" thickBot="1">
      <c r="A403" s="23"/>
      <c r="B403" s="23"/>
      <c r="D403" s="23"/>
      <c r="F403" s="45"/>
      <c r="H403" s="60"/>
    </row>
    <row r="404" spans="1:8" ht="13.8" thickBot="1">
      <c r="A404" s="23"/>
      <c r="B404" s="23"/>
      <c r="D404" s="23"/>
      <c r="F404" s="45"/>
      <c r="H404" s="60"/>
    </row>
    <row r="405" spans="1:8" ht="13.8" thickBot="1">
      <c r="A405" s="23"/>
      <c r="B405" s="23"/>
      <c r="D405" s="23"/>
      <c r="F405" s="45"/>
      <c r="H405" s="60"/>
    </row>
    <row r="406" spans="1:8" ht="13.8" thickBot="1">
      <c r="A406" s="23"/>
      <c r="B406" s="23"/>
      <c r="D406" s="23"/>
      <c r="F406" s="45"/>
      <c r="H406" s="60"/>
    </row>
    <row r="407" spans="1:8" ht="13.8" thickBot="1">
      <c r="A407" s="23"/>
      <c r="B407" s="23"/>
      <c r="D407" s="23"/>
      <c r="F407" s="45"/>
      <c r="H407" s="60"/>
    </row>
    <row r="408" spans="1:8" ht="13.8" thickBot="1">
      <c r="A408" s="23"/>
      <c r="B408" s="23"/>
      <c r="D408" s="23"/>
      <c r="F408" s="45"/>
      <c r="H408" s="60"/>
    </row>
    <row r="409" spans="1:8" ht="13.8" thickBot="1">
      <c r="A409" s="23"/>
      <c r="B409" s="23"/>
      <c r="D409" s="23"/>
      <c r="F409" s="45"/>
      <c r="H409" s="60"/>
    </row>
    <row r="410" spans="1:8" ht="13.8" thickBot="1">
      <c r="A410" s="23"/>
      <c r="B410" s="23"/>
      <c r="D410" s="23"/>
      <c r="F410" s="45"/>
      <c r="H410" s="60"/>
    </row>
    <row r="411" spans="1:8" ht="13.8" thickBot="1">
      <c r="A411" s="23"/>
      <c r="B411" s="23"/>
      <c r="D411" s="23"/>
      <c r="F411" s="45"/>
      <c r="H411" s="60"/>
    </row>
    <row r="412" spans="1:8" ht="13.8" thickBot="1">
      <c r="A412" s="23"/>
      <c r="B412" s="23"/>
      <c r="D412" s="23"/>
      <c r="F412" s="45"/>
      <c r="H412" s="60"/>
    </row>
    <row r="413" spans="1:8" ht="13.8" thickBot="1">
      <c r="A413" s="23"/>
      <c r="B413" s="23"/>
      <c r="D413" s="23"/>
      <c r="F413" s="45"/>
      <c r="H413" s="60"/>
    </row>
    <row r="414" spans="1:8" ht="13.8" thickBot="1">
      <c r="A414" s="23"/>
      <c r="B414" s="23"/>
      <c r="D414" s="23"/>
      <c r="F414" s="45"/>
      <c r="H414" s="60"/>
    </row>
    <row r="415" spans="1:8" ht="13.8" thickBot="1">
      <c r="A415" s="23"/>
      <c r="B415" s="23"/>
      <c r="D415" s="23"/>
      <c r="F415" s="45"/>
      <c r="H415" s="60"/>
    </row>
    <row r="416" spans="1:8" ht="13.8" thickBot="1">
      <c r="A416" s="23"/>
      <c r="B416" s="23"/>
      <c r="D416" s="23"/>
      <c r="F416" s="45"/>
      <c r="H416" s="60"/>
    </row>
    <row r="417" spans="1:8" ht="13.8" thickBot="1">
      <c r="A417" s="23"/>
      <c r="B417" s="23"/>
      <c r="D417" s="23"/>
      <c r="F417" s="45"/>
      <c r="H417" s="60"/>
    </row>
    <row r="418" spans="1:8" ht="13.8" thickBot="1">
      <c r="A418" s="23"/>
      <c r="B418" s="23"/>
      <c r="D418" s="23"/>
      <c r="F418" s="45"/>
      <c r="H418" s="60"/>
    </row>
    <row r="419" spans="1:8" ht="13.8" thickBot="1">
      <c r="A419" s="23"/>
      <c r="B419" s="23"/>
      <c r="D419" s="23"/>
      <c r="F419" s="45"/>
      <c r="H419" s="60"/>
    </row>
    <row r="420" spans="1:8" ht="13.8" thickBot="1">
      <c r="A420" s="23"/>
      <c r="B420" s="23"/>
      <c r="D420" s="23"/>
      <c r="F420" s="45"/>
      <c r="H420" s="60"/>
    </row>
    <row r="421" spans="1:8" ht="13.8" thickBot="1">
      <c r="A421" s="23"/>
      <c r="B421" s="23"/>
      <c r="D421" s="23"/>
      <c r="F421" s="45"/>
      <c r="H421" s="60"/>
    </row>
    <row r="422" spans="1:8" ht="13.8" thickBot="1">
      <c r="A422" s="23"/>
      <c r="B422" s="23"/>
      <c r="D422" s="23"/>
      <c r="F422" s="45"/>
      <c r="H422" s="60"/>
    </row>
    <row r="423" spans="1:8" ht="13.8" thickBot="1">
      <c r="A423" s="23"/>
      <c r="B423" s="23"/>
      <c r="D423" s="23"/>
      <c r="F423" s="45"/>
      <c r="H423" s="60"/>
    </row>
    <row r="424" spans="1:8" ht="13.8" thickBot="1">
      <c r="A424" s="23"/>
      <c r="B424" s="23"/>
      <c r="D424" s="23"/>
      <c r="F424" s="45"/>
      <c r="H424" s="60"/>
    </row>
    <row r="425" spans="1:8" ht="13.8" thickBot="1">
      <c r="A425" s="23"/>
      <c r="B425" s="23"/>
      <c r="D425" s="23"/>
      <c r="F425" s="45"/>
      <c r="H425" s="60"/>
    </row>
    <row r="426" spans="1:8" ht="13.8" thickBot="1">
      <c r="A426" s="23"/>
      <c r="B426" s="23"/>
      <c r="D426" s="23"/>
      <c r="F426" s="45"/>
      <c r="H426" s="60"/>
    </row>
    <row r="427" spans="1:8" ht="13.8" thickBot="1">
      <c r="A427" s="23"/>
      <c r="B427" s="23"/>
      <c r="D427" s="23"/>
      <c r="F427" s="45"/>
      <c r="H427" s="60"/>
    </row>
    <row r="428" spans="1:8" ht="13.8" thickBot="1">
      <c r="A428" s="23"/>
      <c r="B428" s="23"/>
      <c r="D428" s="23"/>
      <c r="F428" s="45"/>
      <c r="H428" s="60"/>
    </row>
    <row r="429" spans="1:8" ht="13.8" thickBot="1">
      <c r="A429" s="23"/>
      <c r="B429" s="23"/>
      <c r="D429" s="23"/>
      <c r="F429" s="45"/>
      <c r="H429" s="60"/>
    </row>
    <row r="430" spans="1:8" ht="13.8" thickBot="1">
      <c r="A430" s="23"/>
      <c r="B430" s="23"/>
      <c r="D430" s="23"/>
      <c r="F430" s="45"/>
      <c r="H430" s="60"/>
    </row>
    <row r="431" spans="1:8" ht="13.8" thickBot="1">
      <c r="A431" s="23"/>
      <c r="B431" s="23"/>
      <c r="D431" s="23"/>
      <c r="F431" s="45"/>
      <c r="H431" s="60"/>
    </row>
    <row r="432" spans="1:8" ht="13.8" thickBot="1">
      <c r="A432" s="23"/>
      <c r="B432" s="23"/>
      <c r="D432" s="23"/>
      <c r="F432" s="45"/>
      <c r="H432" s="60"/>
    </row>
    <row r="433" spans="1:8" ht="13.8" thickBot="1">
      <c r="A433" s="23"/>
      <c r="B433" s="23"/>
      <c r="D433" s="23"/>
      <c r="F433" s="45"/>
      <c r="H433" s="60"/>
    </row>
    <row r="434" spans="1:8" ht="13.8" thickBot="1">
      <c r="A434" s="23"/>
      <c r="B434" s="23"/>
      <c r="D434" s="23"/>
      <c r="F434" s="45"/>
      <c r="H434" s="60"/>
    </row>
    <row r="435" spans="1:8" ht="13.8" thickBot="1">
      <c r="A435" s="23"/>
      <c r="B435" s="23"/>
      <c r="D435" s="23"/>
      <c r="F435" s="45"/>
      <c r="H435" s="60"/>
    </row>
    <row r="436" spans="1:8" ht="13.8" thickBot="1">
      <c r="A436" s="23"/>
      <c r="B436" s="23"/>
      <c r="D436" s="23"/>
      <c r="F436" s="45"/>
      <c r="H436" s="60"/>
    </row>
    <row r="437" spans="1:8" ht="13.8" thickBot="1">
      <c r="A437" s="23"/>
      <c r="B437" s="23"/>
      <c r="D437" s="23"/>
      <c r="F437" s="45"/>
      <c r="H437" s="60"/>
    </row>
    <row r="438" spans="1:8" ht="13.8" thickBot="1">
      <c r="A438" s="23"/>
      <c r="B438" s="23"/>
      <c r="D438" s="23"/>
      <c r="F438" s="45"/>
      <c r="H438" s="60"/>
    </row>
    <row r="439" spans="1:8" ht="13.8" thickBot="1">
      <c r="A439" s="23"/>
      <c r="B439" s="23"/>
      <c r="D439" s="23"/>
      <c r="F439" s="45"/>
      <c r="H439" s="60"/>
    </row>
    <row r="440" spans="1:8" ht="13.8" thickBot="1">
      <c r="A440" s="23"/>
      <c r="B440" s="23"/>
      <c r="D440" s="23"/>
      <c r="F440" s="45"/>
      <c r="H440" s="60"/>
    </row>
    <row r="441" spans="1:8" ht="13.8" thickBot="1">
      <c r="A441" s="23"/>
      <c r="B441" s="23"/>
      <c r="D441" s="23"/>
      <c r="F441" s="45"/>
      <c r="H441" s="60"/>
    </row>
    <row r="442" spans="1:8" ht="13.8" thickBot="1">
      <c r="A442" s="23"/>
      <c r="B442" s="23"/>
      <c r="D442" s="23"/>
      <c r="F442" s="45"/>
      <c r="H442" s="60"/>
    </row>
    <row r="443" spans="1:8" ht="13.8" thickBot="1">
      <c r="A443" s="23"/>
      <c r="B443" s="23"/>
      <c r="D443" s="23"/>
      <c r="F443" s="45"/>
      <c r="H443" s="60"/>
    </row>
    <row r="444" spans="1:8" ht="13.8" thickBot="1">
      <c r="A444" s="23"/>
      <c r="B444" s="23"/>
      <c r="D444" s="23"/>
      <c r="F444" s="45"/>
      <c r="H444" s="60"/>
    </row>
    <row r="445" spans="1:8" ht="13.8" thickBot="1">
      <c r="A445" s="23"/>
      <c r="B445" s="23"/>
      <c r="D445" s="23"/>
      <c r="F445" s="45"/>
      <c r="H445" s="60"/>
    </row>
    <row r="446" spans="1:8" ht="13.8" thickBot="1">
      <c r="A446" s="23"/>
      <c r="B446" s="23"/>
      <c r="D446" s="23"/>
      <c r="F446" s="45"/>
      <c r="H446" s="60"/>
    </row>
    <row r="447" spans="1:8" ht="13.8" thickBot="1">
      <c r="A447" s="23"/>
      <c r="B447" s="23"/>
      <c r="D447" s="23"/>
      <c r="F447" s="45"/>
      <c r="H447" s="60"/>
    </row>
    <row r="448" spans="1:8" ht="13.8" thickBot="1">
      <c r="A448" s="23"/>
      <c r="B448" s="23"/>
      <c r="D448" s="23"/>
      <c r="F448" s="45"/>
      <c r="H448" s="60"/>
    </row>
    <row r="449" spans="1:8" ht="13.8" thickBot="1">
      <c r="A449" s="23"/>
      <c r="B449" s="23"/>
      <c r="D449" s="23"/>
      <c r="F449" s="45"/>
      <c r="H449" s="60"/>
    </row>
    <row r="450" spans="1:8" ht="13.8" thickBot="1">
      <c r="A450" s="23"/>
      <c r="B450" s="23"/>
      <c r="D450" s="23"/>
      <c r="F450" s="45"/>
      <c r="H450" s="60"/>
    </row>
    <row r="451" spans="1:8" ht="13.8" thickBot="1">
      <c r="A451" s="23"/>
      <c r="B451" s="23"/>
      <c r="D451" s="23"/>
      <c r="F451" s="45"/>
      <c r="H451" s="60"/>
    </row>
    <row r="452" spans="1:8" ht="13.8" thickBot="1">
      <c r="A452" s="23"/>
      <c r="B452" s="23"/>
      <c r="D452" s="23"/>
      <c r="F452" s="45"/>
      <c r="H452" s="60"/>
    </row>
    <row r="453" spans="1:8" ht="13.8" thickBot="1">
      <c r="A453" s="23"/>
      <c r="B453" s="23"/>
      <c r="D453" s="23"/>
      <c r="F453" s="45"/>
      <c r="H453" s="60"/>
    </row>
    <row r="454" spans="1:8" ht="13.8" thickBot="1">
      <c r="A454" s="23"/>
      <c r="B454" s="23"/>
      <c r="D454" s="23"/>
      <c r="F454" s="45"/>
      <c r="H454" s="60"/>
    </row>
    <row r="455" spans="1:8" ht="13.8" thickBot="1">
      <c r="A455" s="23"/>
      <c r="B455" s="23"/>
      <c r="D455" s="23"/>
      <c r="F455" s="45"/>
      <c r="H455" s="60"/>
    </row>
    <row r="456" spans="1:8" ht="13.8" thickBot="1">
      <c r="A456" s="23"/>
      <c r="B456" s="23"/>
      <c r="D456" s="23"/>
      <c r="F456" s="45"/>
      <c r="H456" s="60"/>
    </row>
    <row r="457" spans="1:8" ht="13.8" thickBot="1">
      <c r="A457" s="23"/>
      <c r="B457" s="23"/>
      <c r="D457" s="23"/>
      <c r="F457" s="45"/>
      <c r="H457" s="60"/>
    </row>
    <row r="458" spans="1:8" ht="13.8" thickBot="1">
      <c r="A458" s="23"/>
      <c r="B458" s="23"/>
      <c r="D458" s="23"/>
      <c r="F458" s="45"/>
      <c r="H458" s="60"/>
    </row>
    <row r="459" spans="1:8" ht="13.8" thickBot="1">
      <c r="A459" s="23"/>
      <c r="B459" s="23"/>
      <c r="D459" s="23"/>
      <c r="F459" s="45"/>
      <c r="H459" s="60"/>
    </row>
    <row r="460" spans="1:8" ht="13.8" thickBot="1">
      <c r="A460" s="23"/>
      <c r="B460" s="23"/>
      <c r="D460" s="23"/>
      <c r="F460" s="45"/>
      <c r="H460" s="60"/>
    </row>
    <row r="461" spans="1:8" ht="13.8" thickBot="1">
      <c r="A461" s="23"/>
      <c r="B461" s="23"/>
      <c r="D461" s="23"/>
      <c r="F461" s="45"/>
      <c r="H461" s="60"/>
    </row>
    <row r="462" spans="1:8" ht="13.8" thickBot="1">
      <c r="A462" s="23"/>
      <c r="B462" s="23"/>
      <c r="D462" s="23"/>
      <c r="F462" s="45"/>
      <c r="H462" s="60"/>
    </row>
    <row r="463" spans="1:8" ht="13.8" thickBot="1">
      <c r="A463" s="23"/>
      <c r="B463" s="23"/>
      <c r="D463" s="23"/>
      <c r="F463" s="45"/>
      <c r="H463" s="60"/>
    </row>
    <row r="464" spans="1:8" ht="13.8" thickBot="1">
      <c r="A464" s="23"/>
      <c r="B464" s="23"/>
      <c r="D464" s="23"/>
      <c r="F464" s="45"/>
      <c r="H464" s="60"/>
    </row>
    <row r="465" spans="1:8" ht="13.8" thickBot="1">
      <c r="A465" s="23"/>
      <c r="B465" s="23"/>
      <c r="D465" s="23"/>
      <c r="F465" s="45"/>
      <c r="H465" s="60"/>
    </row>
    <row r="466" spans="1:8" ht="13.8" thickBot="1">
      <c r="A466" s="23"/>
      <c r="B466" s="23"/>
      <c r="D466" s="23"/>
      <c r="F466" s="45"/>
      <c r="H466" s="60"/>
    </row>
    <row r="467" spans="1:8" ht="13.8" thickBot="1">
      <c r="A467" s="23"/>
      <c r="B467" s="23"/>
      <c r="D467" s="23"/>
      <c r="F467" s="45"/>
      <c r="H467" s="60"/>
    </row>
    <row r="468" spans="1:8" ht="13.8" thickBot="1">
      <c r="A468" s="23"/>
      <c r="B468" s="23"/>
      <c r="D468" s="23"/>
      <c r="F468" s="45"/>
      <c r="H468" s="60"/>
    </row>
    <row r="469" spans="1:8" ht="13.8" thickBot="1">
      <c r="A469" s="23"/>
      <c r="B469" s="23"/>
      <c r="D469" s="23"/>
      <c r="F469" s="45"/>
      <c r="H469" s="60"/>
    </row>
    <row r="470" spans="1:8" ht="13.8" thickBot="1">
      <c r="A470" s="23"/>
      <c r="B470" s="23"/>
      <c r="D470" s="23"/>
      <c r="F470" s="45"/>
      <c r="H470" s="60"/>
    </row>
    <row r="471" spans="1:8" ht="13.8" thickBot="1">
      <c r="A471" s="23"/>
      <c r="B471" s="23"/>
      <c r="D471" s="23"/>
      <c r="F471" s="45"/>
      <c r="H471" s="60"/>
    </row>
    <row r="472" spans="1:8" ht="13.8" thickBot="1">
      <c r="A472" s="23"/>
      <c r="B472" s="23"/>
      <c r="D472" s="23"/>
      <c r="F472" s="45"/>
      <c r="H472" s="60"/>
    </row>
    <row r="473" spans="1:8" ht="13.8" thickBot="1">
      <c r="A473" s="23"/>
      <c r="B473" s="23"/>
      <c r="D473" s="23"/>
      <c r="F473" s="45"/>
      <c r="H473" s="60"/>
    </row>
    <row r="474" spans="1:8" ht="13.8" thickBot="1">
      <c r="A474" s="23"/>
      <c r="B474" s="23"/>
      <c r="D474" s="23"/>
      <c r="F474" s="45"/>
      <c r="H474" s="60"/>
    </row>
    <row r="475" spans="1:8" ht="13.8" thickBot="1">
      <c r="A475" s="23"/>
      <c r="B475" s="23"/>
      <c r="D475" s="23"/>
      <c r="F475" s="45"/>
      <c r="H475" s="60"/>
    </row>
    <row r="476" spans="1:8" ht="13.8" thickBot="1">
      <c r="A476" s="23"/>
      <c r="B476" s="23"/>
      <c r="D476" s="23"/>
      <c r="F476" s="45"/>
      <c r="H476" s="60"/>
    </row>
    <row r="477" spans="1:8" ht="13.8" thickBot="1">
      <c r="A477" s="23"/>
      <c r="B477" s="23"/>
      <c r="D477" s="23"/>
      <c r="F477" s="45"/>
      <c r="H477" s="60"/>
    </row>
    <row r="478" spans="1:8" ht="13.8" thickBot="1">
      <c r="A478" s="23"/>
      <c r="B478" s="23"/>
      <c r="D478" s="23"/>
      <c r="F478" s="45"/>
      <c r="H478" s="60"/>
    </row>
    <row r="479" spans="1:8" ht="13.8" thickBot="1">
      <c r="A479" s="23"/>
      <c r="B479" s="23"/>
      <c r="D479" s="23"/>
      <c r="F479" s="45"/>
      <c r="H479" s="60"/>
    </row>
    <row r="480" spans="1:8" ht="13.8" thickBot="1">
      <c r="A480" s="23"/>
      <c r="B480" s="23"/>
      <c r="D480" s="23"/>
      <c r="F480" s="45"/>
      <c r="H480" s="60"/>
    </row>
    <row r="481" spans="1:8" ht="13.8" thickBot="1">
      <c r="A481" s="23"/>
      <c r="B481" s="23"/>
      <c r="D481" s="23"/>
      <c r="F481" s="45"/>
      <c r="H481" s="60"/>
    </row>
    <row r="482" spans="1:8" ht="13.8" thickBot="1">
      <c r="A482" s="23"/>
      <c r="B482" s="23"/>
      <c r="D482" s="23"/>
      <c r="F482" s="45"/>
      <c r="H482" s="60"/>
    </row>
    <row r="483" spans="1:8" ht="13.8" thickBot="1">
      <c r="A483" s="23"/>
      <c r="B483" s="23"/>
      <c r="D483" s="23"/>
      <c r="F483" s="45"/>
      <c r="H483" s="60"/>
    </row>
    <row r="484" spans="1:8" ht="13.8" thickBot="1">
      <c r="A484" s="23"/>
      <c r="B484" s="23"/>
      <c r="D484" s="23"/>
      <c r="F484" s="45"/>
      <c r="H484" s="60"/>
    </row>
    <row r="485" spans="1:8" ht="13.8" thickBot="1">
      <c r="A485" s="23"/>
      <c r="B485" s="23"/>
      <c r="D485" s="23"/>
      <c r="F485" s="45"/>
      <c r="H485" s="60"/>
    </row>
    <row r="486" spans="1:8" ht="13.8" thickBot="1">
      <c r="A486" s="23"/>
      <c r="B486" s="23"/>
      <c r="D486" s="23"/>
      <c r="F486" s="45"/>
      <c r="H486" s="60"/>
    </row>
    <row r="487" spans="1:8" ht="13.8" thickBot="1">
      <c r="A487" s="23"/>
      <c r="B487" s="23"/>
      <c r="D487" s="23"/>
      <c r="F487" s="45"/>
      <c r="H487" s="60"/>
    </row>
    <row r="488" spans="1:8" ht="13.8" thickBot="1">
      <c r="A488" s="23"/>
      <c r="B488" s="23"/>
      <c r="D488" s="23"/>
      <c r="F488" s="45"/>
      <c r="H488" s="60"/>
    </row>
    <row r="489" spans="1:8" ht="13.8" thickBot="1">
      <c r="A489" s="23"/>
      <c r="B489" s="23"/>
      <c r="D489" s="23"/>
      <c r="F489" s="45"/>
      <c r="H489" s="60"/>
    </row>
    <row r="490" spans="1:8" ht="13.8" thickBot="1">
      <c r="A490" s="23"/>
      <c r="B490" s="23"/>
      <c r="D490" s="23"/>
      <c r="F490" s="45"/>
      <c r="H490" s="60"/>
    </row>
    <row r="491" spans="1:8" ht="13.8" thickBot="1">
      <c r="A491" s="23"/>
      <c r="B491" s="23"/>
      <c r="D491" s="23"/>
      <c r="F491" s="45"/>
      <c r="H491" s="60"/>
    </row>
    <row r="492" spans="1:8" ht="13.8" thickBot="1">
      <c r="A492" s="23"/>
      <c r="B492" s="23"/>
      <c r="D492" s="23"/>
      <c r="F492" s="45"/>
      <c r="H492" s="60"/>
    </row>
    <row r="493" spans="1:8" ht="13.8" thickBot="1">
      <c r="A493" s="23"/>
      <c r="B493" s="23"/>
      <c r="D493" s="23"/>
      <c r="F493" s="45"/>
      <c r="H493" s="60"/>
    </row>
    <row r="494" spans="1:8" ht="13.8" thickBot="1">
      <c r="A494" s="23"/>
      <c r="B494" s="23"/>
      <c r="D494" s="23"/>
      <c r="F494" s="45"/>
      <c r="H494" s="60"/>
    </row>
    <row r="495" spans="1:8" ht="13.8" thickBot="1">
      <c r="A495" s="23"/>
      <c r="B495" s="23"/>
      <c r="D495" s="23"/>
      <c r="F495" s="45"/>
      <c r="H495" s="60"/>
    </row>
    <row r="496" spans="1:8" ht="13.8" thickBot="1">
      <c r="A496" s="23"/>
      <c r="B496" s="23"/>
      <c r="D496" s="23"/>
      <c r="F496" s="45"/>
      <c r="H496" s="60"/>
    </row>
    <row r="497" spans="1:8" ht="13.8" thickBot="1">
      <c r="A497" s="23"/>
      <c r="B497" s="23"/>
      <c r="D497" s="23"/>
      <c r="F497" s="45"/>
      <c r="H497" s="60"/>
    </row>
    <row r="498" spans="1:8" ht="13.8" thickBot="1">
      <c r="A498" s="23"/>
      <c r="B498" s="23"/>
      <c r="D498" s="23"/>
      <c r="F498" s="45"/>
      <c r="H498" s="60"/>
    </row>
    <row r="499" spans="1:8" ht="13.8" thickBot="1">
      <c r="A499" s="23"/>
      <c r="B499" s="23"/>
      <c r="D499" s="23"/>
      <c r="F499" s="45"/>
      <c r="H499" s="60"/>
    </row>
    <row r="500" spans="1:8" ht="13.8" thickBot="1">
      <c r="A500" s="23"/>
      <c r="B500" s="23"/>
      <c r="D500" s="23"/>
      <c r="F500" s="45"/>
      <c r="H500" s="60"/>
    </row>
    <row r="501" spans="1:8" ht="13.8" thickBot="1">
      <c r="A501" s="23"/>
      <c r="B501" s="23"/>
      <c r="D501" s="23"/>
      <c r="F501" s="45"/>
      <c r="H501" s="60"/>
    </row>
    <row r="502" spans="1:8" ht="13.8" thickBot="1">
      <c r="A502" s="23"/>
      <c r="B502" s="23"/>
      <c r="D502" s="23"/>
      <c r="F502" s="45"/>
      <c r="H502" s="60"/>
    </row>
    <row r="503" spans="1:8" ht="13.8" thickBot="1">
      <c r="A503" s="23"/>
      <c r="B503" s="23"/>
      <c r="D503" s="23"/>
      <c r="F503" s="45"/>
      <c r="H503" s="60"/>
    </row>
    <row r="504" spans="1:8" ht="13.8" thickBot="1">
      <c r="A504" s="23"/>
      <c r="B504" s="23"/>
      <c r="D504" s="23"/>
      <c r="F504" s="45"/>
      <c r="H504" s="60"/>
    </row>
    <row r="505" spans="1:8" ht="13.8" thickBot="1">
      <c r="A505" s="23"/>
      <c r="B505" s="23"/>
      <c r="D505" s="23"/>
      <c r="F505" s="45"/>
      <c r="H505" s="60"/>
    </row>
    <row r="506" spans="1:8" ht="13.8" thickBot="1">
      <c r="A506" s="23"/>
      <c r="B506" s="23"/>
      <c r="D506" s="23"/>
      <c r="F506" s="45"/>
      <c r="H506" s="60"/>
    </row>
    <row r="507" spans="1:8" ht="13.8" thickBot="1">
      <c r="A507" s="23"/>
      <c r="B507" s="23"/>
      <c r="D507" s="23"/>
      <c r="F507" s="45"/>
      <c r="H507" s="60"/>
    </row>
    <row r="508" spans="1:8" ht="13.8" thickBot="1">
      <c r="A508" s="23"/>
      <c r="B508" s="23"/>
      <c r="D508" s="23"/>
      <c r="F508" s="45"/>
      <c r="H508" s="60"/>
    </row>
    <row r="509" spans="1:8" ht="13.8" thickBot="1">
      <c r="A509" s="23"/>
      <c r="B509" s="23"/>
      <c r="D509" s="23"/>
      <c r="F509" s="45"/>
      <c r="H509" s="60"/>
    </row>
    <row r="510" spans="1:8" ht="13.8" thickBot="1">
      <c r="A510" s="23"/>
      <c r="B510" s="23"/>
      <c r="D510" s="23"/>
      <c r="F510" s="45"/>
      <c r="H510" s="60"/>
    </row>
    <row r="511" spans="1:8" ht="13.8" thickBot="1">
      <c r="A511" s="23"/>
      <c r="B511" s="23"/>
      <c r="D511" s="23"/>
      <c r="F511" s="45"/>
      <c r="H511" s="60"/>
    </row>
    <row r="512" spans="1:8" ht="13.8" thickBot="1">
      <c r="A512" s="23"/>
      <c r="B512" s="23"/>
      <c r="D512" s="23"/>
      <c r="F512" s="45"/>
      <c r="H512" s="60"/>
    </row>
    <row r="513" spans="1:8" ht="13.8" thickBot="1">
      <c r="A513" s="23"/>
      <c r="B513" s="23"/>
      <c r="D513" s="23"/>
      <c r="F513" s="45"/>
      <c r="H513" s="60"/>
    </row>
    <row r="514" spans="1:8" ht="13.8" thickBot="1">
      <c r="A514" s="23"/>
      <c r="B514" s="23"/>
      <c r="D514" s="23"/>
      <c r="F514" s="45"/>
      <c r="H514" s="60"/>
    </row>
    <row r="515" spans="1:8" ht="13.8" thickBot="1">
      <c r="A515" s="23"/>
      <c r="B515" s="23"/>
      <c r="D515" s="23"/>
      <c r="F515" s="45"/>
      <c r="H515" s="60"/>
    </row>
    <row r="516" spans="1:8" ht="13.8" thickBot="1">
      <c r="A516" s="23"/>
      <c r="B516" s="23"/>
      <c r="D516" s="23"/>
      <c r="F516" s="45"/>
      <c r="H516" s="60"/>
    </row>
    <row r="517" spans="1:8" ht="13.8" thickBot="1">
      <c r="A517" s="23"/>
      <c r="B517" s="23"/>
      <c r="D517" s="23"/>
      <c r="F517" s="45"/>
      <c r="H517" s="60"/>
    </row>
    <row r="518" spans="1:8" ht="13.8" thickBot="1">
      <c r="A518" s="23"/>
      <c r="B518" s="23"/>
      <c r="D518" s="23"/>
      <c r="F518" s="45"/>
      <c r="H518" s="60"/>
    </row>
    <row r="519" spans="1:8" ht="13.8" thickBot="1">
      <c r="A519" s="23"/>
      <c r="B519" s="23"/>
      <c r="D519" s="23"/>
      <c r="F519" s="45"/>
      <c r="H519" s="60"/>
    </row>
    <row r="520" spans="1:8" ht="13.8" thickBot="1">
      <c r="A520" s="23"/>
      <c r="B520" s="23"/>
      <c r="D520" s="23"/>
      <c r="F520" s="45"/>
      <c r="H520" s="60"/>
    </row>
    <row r="521" spans="1:8" ht="13.8" thickBot="1">
      <c r="A521" s="23"/>
      <c r="B521" s="23"/>
      <c r="D521" s="23"/>
      <c r="F521" s="45"/>
      <c r="H521" s="60"/>
    </row>
    <row r="522" spans="1:8" ht="13.8" thickBot="1">
      <c r="A522" s="23"/>
      <c r="B522" s="23"/>
      <c r="D522" s="23"/>
      <c r="F522" s="45"/>
      <c r="H522" s="60"/>
    </row>
    <row r="523" spans="1:8" ht="13.8" thickBot="1">
      <c r="A523" s="23"/>
      <c r="B523" s="23"/>
      <c r="D523" s="23"/>
      <c r="F523" s="45"/>
      <c r="H523" s="60"/>
    </row>
    <row r="524" spans="1:8" ht="13.8" thickBot="1">
      <c r="A524" s="23"/>
      <c r="B524" s="23"/>
      <c r="D524" s="23"/>
      <c r="F524" s="45"/>
      <c r="H524" s="60"/>
    </row>
    <row r="525" spans="1:8" ht="13.8" thickBot="1">
      <c r="A525" s="23"/>
      <c r="B525" s="23"/>
      <c r="D525" s="23"/>
      <c r="F525" s="45"/>
      <c r="H525" s="60"/>
    </row>
    <row r="526" spans="1:8" ht="13.8" thickBot="1">
      <c r="A526" s="23"/>
      <c r="B526" s="23"/>
      <c r="D526" s="23"/>
      <c r="F526" s="45"/>
      <c r="H526" s="60"/>
    </row>
    <row r="527" spans="1:8" ht="13.8" thickBot="1">
      <c r="A527" s="23"/>
      <c r="B527" s="23"/>
      <c r="D527" s="23"/>
      <c r="F527" s="45"/>
      <c r="H527" s="60"/>
    </row>
    <row r="528" spans="1:8" ht="13.8" thickBot="1">
      <c r="A528" s="23"/>
      <c r="B528" s="23"/>
      <c r="D528" s="23"/>
      <c r="F528" s="45"/>
      <c r="H528" s="60"/>
    </row>
    <row r="529" spans="1:8" ht="13.8" thickBot="1">
      <c r="A529" s="23"/>
      <c r="B529" s="23"/>
      <c r="D529" s="23"/>
      <c r="F529" s="45"/>
      <c r="H529" s="60"/>
    </row>
    <row r="530" spans="1:8" ht="13.8" thickBot="1">
      <c r="A530" s="23"/>
      <c r="B530" s="23"/>
      <c r="D530" s="23"/>
      <c r="F530" s="45"/>
      <c r="H530" s="60"/>
    </row>
    <row r="531" spans="1:8" ht="13.8" thickBot="1">
      <c r="A531" s="23"/>
      <c r="B531" s="23"/>
      <c r="D531" s="23"/>
      <c r="F531" s="45"/>
      <c r="H531" s="60"/>
    </row>
    <row r="532" spans="1:8" ht="13.8" thickBot="1">
      <c r="A532" s="23"/>
      <c r="B532" s="23"/>
      <c r="D532" s="23"/>
      <c r="F532" s="45"/>
      <c r="H532" s="60"/>
    </row>
    <row r="533" spans="1:8" ht="13.8" thickBot="1">
      <c r="A533" s="23"/>
      <c r="B533" s="23"/>
      <c r="D533" s="23"/>
      <c r="F533" s="45"/>
      <c r="H533" s="60"/>
    </row>
    <row r="534" spans="1:8" ht="13.8" thickBot="1">
      <c r="A534" s="23"/>
      <c r="B534" s="23"/>
      <c r="D534" s="23"/>
      <c r="F534" s="45"/>
      <c r="H534" s="60"/>
    </row>
    <row r="535" spans="1:8" ht="13.8" thickBot="1">
      <c r="A535" s="23"/>
      <c r="B535" s="23"/>
      <c r="D535" s="23"/>
      <c r="F535" s="45"/>
      <c r="H535" s="60"/>
    </row>
    <row r="536" spans="1:8" ht="13.8" thickBot="1">
      <c r="A536" s="23"/>
      <c r="B536" s="23"/>
      <c r="D536" s="23"/>
      <c r="F536" s="45"/>
      <c r="H536" s="60"/>
    </row>
    <row r="537" spans="1:8" ht="13.8" thickBot="1">
      <c r="A537" s="23"/>
      <c r="B537" s="23"/>
      <c r="D537" s="23"/>
      <c r="F537" s="45"/>
      <c r="H537" s="60"/>
    </row>
    <row r="538" spans="1:8" ht="13.8" thickBot="1">
      <c r="A538" s="23"/>
      <c r="B538" s="23"/>
      <c r="D538" s="23"/>
      <c r="F538" s="45"/>
      <c r="H538" s="60"/>
    </row>
    <row r="539" spans="1:8" ht="13.8" thickBot="1">
      <c r="A539" s="23"/>
      <c r="B539" s="23"/>
      <c r="D539" s="23"/>
      <c r="F539" s="45"/>
      <c r="H539" s="60"/>
    </row>
    <row r="540" spans="1:8" ht="13.8" thickBot="1">
      <c r="A540" s="23"/>
      <c r="B540" s="23"/>
      <c r="D540" s="23"/>
      <c r="F540" s="45"/>
      <c r="H540" s="60"/>
    </row>
    <row r="541" spans="1:8" ht="13.8" thickBot="1">
      <c r="A541" s="23"/>
      <c r="B541" s="23"/>
      <c r="D541" s="23"/>
      <c r="F541" s="45"/>
      <c r="H541" s="60"/>
    </row>
    <row r="542" spans="1:8" ht="13.8" thickBot="1">
      <c r="A542" s="23"/>
      <c r="B542" s="23"/>
      <c r="D542" s="23"/>
      <c r="F542" s="45"/>
      <c r="H542" s="60"/>
    </row>
    <row r="543" spans="1:8" ht="13.8" thickBot="1">
      <c r="A543" s="23"/>
      <c r="B543" s="23"/>
      <c r="D543" s="23"/>
      <c r="F543" s="45"/>
      <c r="H543" s="60"/>
    </row>
    <row r="544" spans="1:8" ht="13.8" thickBot="1">
      <c r="A544" s="23"/>
      <c r="B544" s="23"/>
      <c r="D544" s="23"/>
      <c r="F544" s="45"/>
      <c r="H544" s="60"/>
    </row>
    <row r="545" spans="1:8" ht="13.8" thickBot="1">
      <c r="A545" s="23"/>
      <c r="B545" s="23"/>
      <c r="D545" s="23"/>
      <c r="F545" s="45"/>
      <c r="H545" s="60"/>
    </row>
    <row r="546" spans="1:8" ht="13.8" thickBot="1">
      <c r="A546" s="23"/>
      <c r="B546" s="23"/>
      <c r="D546" s="23"/>
      <c r="F546" s="45"/>
      <c r="H546" s="60"/>
    </row>
    <row r="547" spans="1:8" ht="13.8" thickBot="1">
      <c r="A547" s="23"/>
      <c r="B547" s="23"/>
      <c r="D547" s="23"/>
      <c r="F547" s="45"/>
      <c r="H547" s="60"/>
    </row>
    <row r="548" spans="1:8" ht="13.8" thickBot="1">
      <c r="A548" s="23"/>
      <c r="B548" s="23"/>
      <c r="D548" s="23"/>
      <c r="F548" s="45"/>
      <c r="H548" s="60"/>
    </row>
    <row r="549" spans="1:8" ht="13.8" thickBot="1">
      <c r="A549" s="23"/>
      <c r="B549" s="23"/>
      <c r="D549" s="23"/>
      <c r="F549" s="45"/>
      <c r="H549" s="60"/>
    </row>
    <row r="550" spans="1:8" ht="13.8" thickBot="1">
      <c r="A550" s="23"/>
      <c r="B550" s="23"/>
      <c r="D550" s="23"/>
      <c r="F550" s="45"/>
      <c r="H550" s="60"/>
    </row>
    <row r="551" spans="1:8" ht="13.8" thickBot="1">
      <c r="A551" s="23"/>
      <c r="B551" s="23"/>
      <c r="D551" s="23"/>
      <c r="F551" s="45"/>
      <c r="H551" s="60"/>
    </row>
    <row r="552" spans="1:8" ht="13.8" thickBot="1">
      <c r="A552" s="23"/>
      <c r="B552" s="23"/>
      <c r="D552" s="23"/>
      <c r="F552" s="45"/>
      <c r="H552" s="60"/>
    </row>
    <row r="553" spans="1:8" ht="13.8" thickBot="1">
      <c r="A553" s="23"/>
      <c r="B553" s="23"/>
      <c r="D553" s="23"/>
      <c r="F553" s="45"/>
      <c r="H553" s="60"/>
    </row>
    <row r="554" spans="1:8" ht="13.8" thickBot="1">
      <c r="A554" s="23"/>
      <c r="B554" s="23"/>
      <c r="D554" s="23"/>
      <c r="F554" s="45"/>
      <c r="H554" s="60"/>
    </row>
    <row r="555" spans="1:8" ht="13.8" thickBot="1">
      <c r="A555" s="23"/>
      <c r="B555" s="23"/>
      <c r="D555" s="23"/>
      <c r="F555" s="45"/>
      <c r="H555" s="60"/>
    </row>
    <row r="556" spans="1:8" ht="13.8" thickBot="1">
      <c r="A556" s="23"/>
      <c r="B556" s="23"/>
      <c r="D556" s="23"/>
      <c r="F556" s="45"/>
      <c r="H556" s="60"/>
    </row>
    <row r="557" spans="1:8" ht="13.8" thickBot="1">
      <c r="A557" s="23"/>
      <c r="B557" s="23"/>
      <c r="D557" s="23"/>
      <c r="F557" s="45"/>
      <c r="H557" s="60"/>
    </row>
    <row r="558" spans="1:8" ht="13.8" thickBot="1">
      <c r="A558" s="23"/>
      <c r="B558" s="23"/>
      <c r="D558" s="23"/>
      <c r="F558" s="45"/>
      <c r="H558" s="60"/>
    </row>
    <row r="559" spans="1:8" ht="13.8" thickBot="1">
      <c r="A559" s="23"/>
      <c r="B559" s="23"/>
      <c r="D559" s="23"/>
      <c r="F559" s="45"/>
      <c r="H559" s="60"/>
    </row>
    <row r="560" spans="1:8" ht="13.8" thickBot="1">
      <c r="A560" s="23"/>
      <c r="B560" s="23"/>
      <c r="D560" s="23"/>
      <c r="F560" s="45"/>
      <c r="H560" s="60"/>
    </row>
    <row r="561" spans="1:8" ht="13.8" thickBot="1">
      <c r="A561" s="23"/>
      <c r="B561" s="23"/>
      <c r="D561" s="23"/>
      <c r="F561" s="45"/>
      <c r="H561" s="60"/>
    </row>
    <row r="562" spans="1:8" ht="13.8" thickBot="1">
      <c r="A562" s="23"/>
      <c r="B562" s="23"/>
      <c r="D562" s="23"/>
      <c r="F562" s="45"/>
      <c r="H562" s="60"/>
    </row>
    <row r="563" spans="1:8" ht="13.8" thickBot="1">
      <c r="A563" s="23"/>
      <c r="B563" s="23"/>
      <c r="D563" s="23"/>
      <c r="F563" s="45"/>
      <c r="H563" s="60"/>
    </row>
    <row r="564" spans="1:8" ht="13.8" thickBot="1">
      <c r="A564" s="23"/>
      <c r="B564" s="23"/>
      <c r="D564" s="23"/>
      <c r="F564" s="45"/>
      <c r="H564" s="60"/>
    </row>
    <row r="565" spans="1:8" ht="13.8" thickBot="1">
      <c r="A565" s="23"/>
      <c r="B565" s="23"/>
      <c r="D565" s="23"/>
      <c r="F565" s="45"/>
      <c r="H565" s="60"/>
    </row>
    <row r="566" spans="1:8" ht="13.8" thickBot="1">
      <c r="A566" s="23"/>
      <c r="B566" s="23"/>
      <c r="D566" s="23"/>
      <c r="F566" s="45"/>
      <c r="H566" s="60"/>
    </row>
    <row r="567" spans="1:8" ht="13.8" thickBot="1">
      <c r="A567" s="23"/>
      <c r="B567" s="23"/>
      <c r="D567" s="23"/>
      <c r="F567" s="45"/>
      <c r="H567" s="60"/>
    </row>
    <row r="568" spans="1:8" ht="13.8" thickBot="1">
      <c r="A568" s="23"/>
      <c r="B568" s="23"/>
      <c r="D568" s="23"/>
      <c r="F568" s="45"/>
      <c r="H568" s="60"/>
    </row>
    <row r="569" spans="1:8" ht="13.8" thickBot="1">
      <c r="A569" s="23"/>
      <c r="B569" s="23"/>
      <c r="D569" s="23"/>
      <c r="F569" s="45"/>
      <c r="H569" s="60"/>
    </row>
    <row r="570" spans="1:8" ht="13.8" thickBot="1">
      <c r="A570" s="23"/>
      <c r="B570" s="23"/>
      <c r="D570" s="23"/>
      <c r="F570" s="45"/>
      <c r="H570" s="60"/>
    </row>
    <row r="571" spans="1:8" ht="13.8" thickBot="1">
      <c r="A571" s="23"/>
      <c r="B571" s="23"/>
      <c r="D571" s="23"/>
      <c r="F571" s="45"/>
      <c r="H571" s="60"/>
    </row>
    <row r="572" spans="1:8" ht="13.8" thickBot="1">
      <c r="A572" s="23"/>
      <c r="B572" s="23"/>
      <c r="D572" s="23"/>
      <c r="F572" s="45"/>
      <c r="H572" s="60"/>
    </row>
    <row r="573" spans="1:8" ht="13.8" thickBot="1">
      <c r="A573" s="23"/>
      <c r="B573" s="23"/>
      <c r="D573" s="23"/>
      <c r="F573" s="45"/>
      <c r="H573" s="60"/>
    </row>
    <row r="574" spans="1:8" ht="13.8" thickBot="1">
      <c r="A574" s="23"/>
      <c r="B574" s="23"/>
      <c r="D574" s="23"/>
      <c r="F574" s="45"/>
      <c r="H574" s="60"/>
    </row>
    <row r="575" spans="1:8" ht="13.8" thickBot="1">
      <c r="A575" s="23"/>
      <c r="B575" s="23"/>
      <c r="D575" s="23"/>
      <c r="F575" s="45"/>
      <c r="H575" s="60"/>
    </row>
    <row r="576" spans="1:8" ht="13.8" thickBot="1">
      <c r="A576" s="23"/>
      <c r="B576" s="23"/>
      <c r="D576" s="23"/>
      <c r="F576" s="45"/>
      <c r="H576" s="60"/>
    </row>
    <row r="577" spans="1:8" ht="13.8" thickBot="1">
      <c r="A577" s="23"/>
      <c r="B577" s="23"/>
      <c r="D577" s="23"/>
      <c r="F577" s="45"/>
      <c r="H577" s="60"/>
    </row>
    <row r="578" spans="1:8" ht="13.8" thickBot="1">
      <c r="A578" s="23"/>
      <c r="B578" s="23"/>
      <c r="D578" s="23"/>
      <c r="F578" s="45"/>
      <c r="H578" s="60"/>
    </row>
    <row r="579" spans="1:8" ht="13.8" thickBot="1">
      <c r="A579" s="23"/>
      <c r="B579" s="23"/>
      <c r="D579" s="23"/>
      <c r="F579" s="45"/>
      <c r="H579" s="60"/>
    </row>
    <row r="580" spans="1:8" ht="13.8" thickBot="1">
      <c r="A580" s="23"/>
      <c r="B580" s="23"/>
      <c r="D580" s="23"/>
      <c r="F580" s="45"/>
      <c r="H580" s="60"/>
    </row>
    <row r="581" spans="1:8" ht="13.8" thickBot="1">
      <c r="A581" s="23"/>
      <c r="B581" s="23"/>
      <c r="D581" s="23"/>
      <c r="F581" s="45"/>
      <c r="H581" s="60"/>
    </row>
    <row r="582" spans="1:8" ht="13.8" thickBot="1">
      <c r="A582" s="23"/>
      <c r="B582" s="23"/>
      <c r="D582" s="23"/>
      <c r="F582" s="45"/>
      <c r="H582" s="60"/>
    </row>
    <row r="583" spans="1:8" ht="13.8" thickBot="1">
      <c r="A583" s="23"/>
      <c r="B583" s="23"/>
      <c r="D583" s="23"/>
      <c r="F583" s="45"/>
      <c r="H583" s="60"/>
    </row>
    <row r="584" spans="1:8" ht="13.8" thickBot="1">
      <c r="A584" s="23"/>
      <c r="B584" s="23"/>
      <c r="D584" s="23"/>
      <c r="F584" s="45"/>
      <c r="H584" s="60"/>
    </row>
    <row r="585" spans="1:8" ht="13.8" thickBot="1">
      <c r="A585" s="23"/>
      <c r="B585" s="23"/>
      <c r="D585" s="23"/>
      <c r="F585" s="45"/>
      <c r="H585" s="60"/>
    </row>
    <row r="586" spans="1:8" ht="13.8" thickBot="1">
      <c r="A586" s="23"/>
      <c r="B586" s="23"/>
      <c r="D586" s="23"/>
      <c r="F586" s="45"/>
      <c r="H586" s="60"/>
    </row>
    <row r="587" spans="1:8" ht="13.8" thickBot="1">
      <c r="A587" s="23"/>
      <c r="B587" s="23"/>
      <c r="D587" s="23"/>
      <c r="F587" s="45"/>
      <c r="H587" s="60"/>
    </row>
    <row r="588" spans="1:8" ht="13.8" thickBot="1">
      <c r="A588" s="23"/>
      <c r="B588" s="23"/>
      <c r="D588" s="23"/>
      <c r="F588" s="45"/>
      <c r="H588" s="60"/>
    </row>
    <row r="589" spans="1:8" ht="13.8" thickBot="1">
      <c r="A589" s="23"/>
      <c r="B589" s="23"/>
      <c r="D589" s="23"/>
      <c r="F589" s="45"/>
      <c r="H589" s="60"/>
    </row>
    <row r="590" spans="1:8" ht="13.8" thickBot="1">
      <c r="A590" s="23"/>
      <c r="B590" s="23"/>
      <c r="D590" s="23"/>
      <c r="F590" s="45"/>
      <c r="H590" s="60"/>
    </row>
    <row r="591" spans="1:8" ht="13.8" thickBot="1">
      <c r="A591" s="23"/>
      <c r="B591" s="23"/>
      <c r="D591" s="23"/>
      <c r="F591" s="45"/>
      <c r="H591" s="60"/>
    </row>
    <row r="592" spans="1:8" ht="13.8" thickBot="1">
      <c r="A592" s="23"/>
      <c r="B592" s="23"/>
      <c r="D592" s="23"/>
      <c r="F592" s="45"/>
      <c r="H592" s="60"/>
    </row>
    <row r="593" spans="1:8" ht="13.8" thickBot="1">
      <c r="A593" s="23"/>
      <c r="B593" s="23"/>
      <c r="D593" s="23"/>
      <c r="F593" s="45"/>
      <c r="H593" s="60"/>
    </row>
    <row r="594" spans="1:8" ht="13.8" thickBot="1">
      <c r="A594" s="23"/>
      <c r="B594" s="23"/>
      <c r="D594" s="23"/>
      <c r="F594" s="45"/>
      <c r="H594" s="60"/>
    </row>
    <row r="595" spans="1:8" ht="13.8" thickBot="1">
      <c r="A595" s="23"/>
      <c r="B595" s="23"/>
      <c r="D595" s="23"/>
      <c r="F595" s="45"/>
      <c r="H595" s="60"/>
    </row>
    <row r="596" spans="1:8" ht="13.8" thickBot="1">
      <c r="A596" s="23"/>
      <c r="B596" s="23"/>
      <c r="D596" s="23"/>
      <c r="F596" s="45"/>
      <c r="H596" s="60"/>
    </row>
    <row r="597" spans="1:8" ht="13.8" thickBot="1">
      <c r="A597" s="23"/>
      <c r="B597" s="23"/>
      <c r="D597" s="23"/>
      <c r="F597" s="45"/>
      <c r="H597" s="60"/>
    </row>
    <row r="598" spans="1:8" ht="13.8" thickBot="1">
      <c r="A598" s="23"/>
      <c r="B598" s="23"/>
      <c r="D598" s="23"/>
      <c r="F598" s="45"/>
      <c r="H598" s="60"/>
    </row>
    <row r="599" spans="1:8" ht="13.8" thickBot="1">
      <c r="A599" s="23"/>
      <c r="B599" s="23"/>
      <c r="D599" s="23"/>
      <c r="F599" s="45"/>
      <c r="H599" s="60"/>
    </row>
    <row r="600" spans="1:8" ht="13.8" thickBot="1">
      <c r="A600" s="23"/>
      <c r="B600" s="23"/>
      <c r="D600" s="23"/>
      <c r="F600" s="45"/>
      <c r="H600" s="60"/>
    </row>
    <row r="601" spans="1:8" ht="13.8" thickBot="1">
      <c r="A601" s="23"/>
      <c r="B601" s="23"/>
      <c r="D601" s="23"/>
      <c r="F601" s="45"/>
      <c r="H601" s="60"/>
    </row>
    <row r="602" spans="1:8" ht="13.8" thickBot="1">
      <c r="A602" s="23"/>
      <c r="B602" s="23"/>
      <c r="D602" s="23"/>
      <c r="F602" s="45"/>
      <c r="H602" s="60"/>
    </row>
    <row r="603" spans="1:8" ht="13.8" thickBot="1">
      <c r="A603" s="23"/>
      <c r="B603" s="23"/>
      <c r="D603" s="23"/>
      <c r="F603" s="45"/>
      <c r="H603" s="60"/>
    </row>
    <row r="604" spans="1:8" ht="13.8" thickBot="1">
      <c r="A604" s="23"/>
      <c r="B604" s="23"/>
      <c r="D604" s="23"/>
      <c r="F604" s="45"/>
      <c r="H604" s="60"/>
    </row>
    <row r="605" spans="1:8" ht="13.8" thickBot="1">
      <c r="A605" s="23"/>
      <c r="B605" s="23"/>
      <c r="D605" s="23"/>
      <c r="F605" s="45"/>
      <c r="H605" s="60"/>
    </row>
    <row r="606" spans="1:8" ht="13.8" thickBot="1">
      <c r="A606" s="23"/>
      <c r="B606" s="23"/>
      <c r="D606" s="23"/>
      <c r="F606" s="45"/>
      <c r="H606" s="60"/>
    </row>
    <row r="607" spans="1:8" ht="13.8" thickBot="1">
      <c r="A607" s="23"/>
      <c r="B607" s="23"/>
      <c r="D607" s="23"/>
      <c r="F607" s="45"/>
      <c r="H607" s="60"/>
    </row>
    <row r="608" spans="1:8" ht="13.8" thickBot="1">
      <c r="A608" s="23"/>
      <c r="B608" s="23"/>
      <c r="D608" s="23"/>
      <c r="F608" s="45"/>
      <c r="H608" s="60"/>
    </row>
    <row r="609" spans="1:8" ht="13.8" thickBot="1">
      <c r="A609" s="23"/>
      <c r="B609" s="23"/>
      <c r="D609" s="23"/>
      <c r="F609" s="45"/>
      <c r="H609" s="60"/>
    </row>
    <row r="610" spans="1:8" ht="13.8" thickBot="1">
      <c r="A610" s="23"/>
      <c r="B610" s="23"/>
      <c r="D610" s="23"/>
      <c r="F610" s="45"/>
      <c r="H610" s="60"/>
    </row>
    <row r="611" spans="1:8" ht="13.8" thickBot="1">
      <c r="A611" s="23"/>
      <c r="B611" s="23"/>
      <c r="D611" s="23"/>
      <c r="F611" s="45"/>
      <c r="H611" s="60"/>
    </row>
    <row r="612" spans="1:8" ht="13.8" thickBot="1">
      <c r="A612" s="23"/>
      <c r="B612" s="23"/>
      <c r="D612" s="23"/>
      <c r="F612" s="45"/>
      <c r="H612" s="60"/>
    </row>
    <row r="613" spans="1:8" ht="13.8" thickBot="1">
      <c r="A613" s="23"/>
      <c r="B613" s="23"/>
      <c r="D613" s="23"/>
      <c r="F613" s="45"/>
      <c r="H613" s="60"/>
    </row>
    <row r="614" spans="1:8" ht="13.8" thickBot="1">
      <c r="A614" s="23"/>
      <c r="B614" s="23"/>
      <c r="D614" s="23"/>
      <c r="F614" s="45"/>
      <c r="H614" s="60"/>
    </row>
    <row r="615" spans="1:8" ht="13.8" thickBot="1">
      <c r="A615" s="23"/>
      <c r="B615" s="23"/>
      <c r="D615" s="23"/>
      <c r="F615" s="45"/>
      <c r="H615" s="60"/>
    </row>
    <row r="616" spans="1:8" ht="13.8" thickBot="1">
      <c r="A616" s="23"/>
      <c r="B616" s="23"/>
      <c r="D616" s="23"/>
      <c r="F616" s="45"/>
      <c r="H616" s="60"/>
    </row>
    <row r="617" spans="1:8" ht="13.8" thickBot="1">
      <c r="A617" s="23"/>
      <c r="B617" s="23"/>
      <c r="D617" s="23"/>
      <c r="F617" s="45"/>
      <c r="H617" s="60"/>
    </row>
    <row r="618" spans="1:8" ht="13.8" thickBot="1">
      <c r="A618" s="23"/>
      <c r="B618" s="23"/>
      <c r="D618" s="23"/>
      <c r="F618" s="45"/>
      <c r="H618" s="60"/>
    </row>
    <row r="619" spans="1:8" ht="13.8" thickBot="1">
      <c r="A619" s="23"/>
      <c r="B619" s="23"/>
      <c r="D619" s="23"/>
      <c r="F619" s="45"/>
      <c r="H619" s="60"/>
    </row>
    <row r="620" spans="1:8" ht="13.8" thickBot="1">
      <c r="A620" s="23"/>
      <c r="B620" s="23"/>
      <c r="D620" s="23"/>
      <c r="F620" s="45"/>
      <c r="H620" s="60"/>
    </row>
    <row r="621" spans="1:8" ht="13.8" thickBot="1">
      <c r="A621" s="23"/>
      <c r="B621" s="23"/>
      <c r="D621" s="23"/>
      <c r="F621" s="45"/>
      <c r="H621" s="60"/>
    </row>
    <row r="622" spans="1:8" ht="13.8" thickBot="1">
      <c r="A622" s="23"/>
      <c r="B622" s="23"/>
      <c r="D622" s="23"/>
      <c r="F622" s="45"/>
      <c r="H622" s="60"/>
    </row>
    <row r="623" spans="1:8" ht="13.8" thickBot="1">
      <c r="A623" s="23"/>
      <c r="B623" s="23"/>
      <c r="D623" s="23"/>
      <c r="F623" s="45"/>
      <c r="H623" s="60"/>
    </row>
    <row r="624" spans="1:8" ht="13.8" thickBot="1">
      <c r="A624" s="23"/>
      <c r="B624" s="23"/>
      <c r="D624" s="23"/>
      <c r="F624" s="45"/>
      <c r="H624" s="60"/>
    </row>
    <row r="625" spans="1:8" ht="13.8" thickBot="1">
      <c r="A625" s="23"/>
      <c r="B625" s="23"/>
      <c r="D625" s="23"/>
      <c r="F625" s="45"/>
      <c r="H625" s="60"/>
    </row>
    <row r="626" spans="1:8" ht="13.8" thickBot="1">
      <c r="A626" s="23"/>
      <c r="B626" s="23"/>
      <c r="D626" s="23"/>
      <c r="F626" s="45"/>
      <c r="H626" s="60"/>
    </row>
    <row r="627" spans="1:8" ht="13.8" thickBot="1">
      <c r="A627" s="23"/>
      <c r="B627" s="23"/>
      <c r="D627" s="23"/>
      <c r="F627" s="45"/>
      <c r="H627" s="60"/>
    </row>
    <row r="628" spans="1:8" ht="13.8" thickBot="1">
      <c r="A628" s="23"/>
      <c r="B628" s="23"/>
      <c r="D628" s="23"/>
      <c r="F628" s="45"/>
      <c r="H628" s="60"/>
    </row>
    <row r="629" spans="1:8" ht="13.8" thickBot="1">
      <c r="A629" s="23"/>
      <c r="B629" s="23"/>
      <c r="D629" s="23"/>
      <c r="F629" s="45"/>
      <c r="H629" s="60"/>
    </row>
    <row r="630" spans="1:8" ht="13.8" thickBot="1">
      <c r="A630" s="23"/>
      <c r="B630" s="23"/>
      <c r="D630" s="23"/>
      <c r="F630" s="45"/>
      <c r="H630" s="60"/>
    </row>
    <row r="631" spans="1:8" ht="13.8" thickBot="1">
      <c r="A631" s="23"/>
      <c r="B631" s="23"/>
      <c r="D631" s="23"/>
      <c r="F631" s="45"/>
      <c r="H631" s="60"/>
    </row>
    <row r="632" spans="1:8" ht="13.8" thickBot="1">
      <c r="A632" s="23"/>
      <c r="B632" s="23"/>
      <c r="D632" s="23"/>
      <c r="F632" s="45"/>
      <c r="H632" s="60"/>
    </row>
    <row r="633" spans="1:8" ht="13.8" thickBot="1">
      <c r="A633" s="23"/>
      <c r="B633" s="23"/>
      <c r="D633" s="23"/>
      <c r="F633" s="45"/>
      <c r="H633" s="60"/>
    </row>
    <row r="634" spans="1:8" ht="13.8" thickBot="1">
      <c r="A634" s="23"/>
      <c r="B634" s="23"/>
      <c r="D634" s="23"/>
      <c r="F634" s="45"/>
      <c r="H634" s="60"/>
    </row>
    <row r="635" spans="1:8" ht="13.8" thickBot="1">
      <c r="A635" s="23"/>
      <c r="B635" s="23"/>
      <c r="D635" s="23"/>
      <c r="F635" s="45"/>
      <c r="H635" s="60"/>
    </row>
    <row r="636" spans="1:8" ht="13.8" thickBot="1">
      <c r="A636" s="23"/>
      <c r="B636" s="23"/>
      <c r="D636" s="23"/>
      <c r="F636" s="45"/>
      <c r="H636" s="60"/>
    </row>
    <row r="637" spans="1:8" ht="13.8" thickBot="1">
      <c r="A637" s="23"/>
      <c r="B637" s="23"/>
      <c r="D637" s="23"/>
      <c r="F637" s="45"/>
      <c r="H637" s="60"/>
    </row>
    <row r="638" spans="1:8" ht="13.8" thickBot="1">
      <c r="A638" s="23"/>
      <c r="B638" s="23"/>
      <c r="D638" s="23"/>
      <c r="F638" s="45"/>
      <c r="H638" s="60"/>
    </row>
    <row r="639" spans="1:8" ht="13.8" thickBot="1">
      <c r="A639" s="23"/>
      <c r="B639" s="23"/>
      <c r="D639" s="23"/>
      <c r="F639" s="45"/>
      <c r="H639" s="60"/>
    </row>
    <row r="640" spans="1:8" ht="13.8" thickBot="1">
      <c r="A640" s="23"/>
      <c r="B640" s="23"/>
      <c r="D640" s="23"/>
      <c r="F640" s="45"/>
      <c r="H640" s="60"/>
    </row>
    <row r="641" spans="1:8" ht="13.8" thickBot="1">
      <c r="A641" s="23"/>
      <c r="B641" s="23"/>
      <c r="D641" s="23"/>
      <c r="F641" s="45"/>
      <c r="H641" s="60"/>
    </row>
    <row r="642" spans="1:8" ht="13.8" thickBot="1">
      <c r="A642" s="23"/>
      <c r="B642" s="23"/>
      <c r="D642" s="23"/>
      <c r="F642" s="45"/>
      <c r="H642" s="60"/>
    </row>
    <row r="643" spans="1:8" ht="13.8" thickBot="1">
      <c r="A643" s="23"/>
      <c r="B643" s="23"/>
      <c r="D643" s="23"/>
      <c r="F643" s="45"/>
      <c r="H643" s="60"/>
    </row>
    <row r="644" spans="1:8" ht="13.8" thickBot="1">
      <c r="A644" s="23"/>
      <c r="B644" s="23"/>
      <c r="D644" s="23"/>
      <c r="F644" s="45"/>
      <c r="H644" s="60"/>
    </row>
    <row r="645" spans="1:8" ht="13.8" thickBot="1">
      <c r="A645" s="23"/>
      <c r="B645" s="23"/>
      <c r="D645" s="23"/>
      <c r="F645" s="45"/>
      <c r="H645" s="60"/>
    </row>
    <row r="646" spans="1:8" ht="13.8" thickBot="1">
      <c r="A646" s="23"/>
      <c r="B646" s="23"/>
      <c r="D646" s="23"/>
      <c r="F646" s="45"/>
      <c r="H646" s="60"/>
    </row>
    <row r="647" spans="1:8" ht="13.8" thickBot="1">
      <c r="A647" s="23"/>
      <c r="B647" s="23"/>
      <c r="D647" s="23"/>
      <c r="F647" s="45"/>
      <c r="H647" s="60"/>
    </row>
    <row r="648" spans="1:8" ht="13.8" thickBot="1">
      <c r="A648" s="23"/>
      <c r="B648" s="23"/>
      <c r="D648" s="23"/>
      <c r="F648" s="45"/>
      <c r="H648" s="60"/>
    </row>
    <row r="649" spans="1:8" ht="13.8" thickBot="1">
      <c r="A649" s="23"/>
      <c r="B649" s="23"/>
      <c r="D649" s="23"/>
      <c r="F649" s="45"/>
      <c r="H649" s="60"/>
    </row>
    <row r="650" spans="1:8" ht="13.8" thickBot="1">
      <c r="A650" s="23"/>
      <c r="B650" s="23"/>
      <c r="D650" s="23"/>
      <c r="F650" s="45"/>
      <c r="H650" s="60"/>
    </row>
    <row r="651" spans="1:8" ht="13.8" thickBot="1">
      <c r="A651" s="23"/>
      <c r="B651" s="23"/>
      <c r="D651" s="23"/>
      <c r="F651" s="45"/>
      <c r="H651" s="60"/>
    </row>
    <row r="652" spans="1:8" ht="13.8" thickBot="1">
      <c r="A652" s="23"/>
      <c r="B652" s="23"/>
      <c r="D652" s="23"/>
      <c r="F652" s="45"/>
      <c r="H652" s="60"/>
    </row>
    <row r="653" spans="1:8" ht="13.8" thickBot="1">
      <c r="A653" s="23"/>
      <c r="B653" s="23"/>
      <c r="D653" s="23"/>
      <c r="F653" s="45"/>
      <c r="H653" s="60"/>
    </row>
    <row r="654" spans="1:8" ht="13.8" thickBot="1">
      <c r="A654" s="23"/>
      <c r="B654" s="23"/>
      <c r="D654" s="23"/>
      <c r="F654" s="45"/>
      <c r="H654" s="60"/>
    </row>
    <row r="655" spans="1:8" ht="13.8" thickBot="1">
      <c r="A655" s="23"/>
      <c r="B655" s="23"/>
      <c r="D655" s="23"/>
      <c r="F655" s="45"/>
      <c r="H655" s="60"/>
    </row>
    <row r="656" spans="1:8" ht="13.8" thickBot="1">
      <c r="A656" s="23"/>
      <c r="B656" s="23"/>
      <c r="D656" s="23"/>
      <c r="F656" s="45"/>
      <c r="H656" s="60"/>
    </row>
    <row r="657" spans="1:8" ht="13.8" thickBot="1">
      <c r="A657" s="23"/>
      <c r="B657" s="23"/>
      <c r="D657" s="23"/>
      <c r="F657" s="45"/>
      <c r="H657" s="60"/>
    </row>
    <row r="658" spans="1:8" ht="13.8" thickBot="1">
      <c r="A658" s="23"/>
      <c r="B658" s="23"/>
      <c r="D658" s="23"/>
      <c r="F658" s="45"/>
      <c r="H658" s="60"/>
    </row>
    <row r="659" spans="1:8" ht="13.8" thickBot="1">
      <c r="A659" s="23"/>
      <c r="B659" s="23"/>
      <c r="D659" s="23"/>
      <c r="F659" s="45"/>
      <c r="H659" s="60"/>
    </row>
    <row r="660" spans="1:8" ht="13.8" thickBot="1">
      <c r="A660" s="23"/>
      <c r="B660" s="23"/>
      <c r="D660" s="23"/>
      <c r="F660" s="45"/>
      <c r="H660" s="60"/>
    </row>
    <row r="661" spans="1:8" ht="13.8" thickBot="1">
      <c r="A661" s="23"/>
      <c r="B661" s="23"/>
      <c r="D661" s="23"/>
      <c r="F661" s="45"/>
      <c r="H661" s="60"/>
    </row>
    <row r="662" spans="1:8" ht="13.8" thickBot="1">
      <c r="A662" s="23"/>
      <c r="B662" s="23"/>
      <c r="D662" s="23"/>
      <c r="F662" s="45"/>
      <c r="H662" s="60"/>
    </row>
    <row r="663" spans="1:8" ht="13.8" thickBot="1">
      <c r="A663" s="23"/>
      <c r="B663" s="23"/>
      <c r="D663" s="23"/>
      <c r="F663" s="45"/>
      <c r="H663" s="60"/>
    </row>
    <row r="664" spans="1:8" ht="13.8" thickBot="1">
      <c r="A664" s="23"/>
      <c r="B664" s="23"/>
      <c r="D664" s="23"/>
      <c r="F664" s="45"/>
      <c r="H664" s="60"/>
    </row>
    <row r="665" spans="1:8" ht="13.8" thickBot="1">
      <c r="A665" s="23"/>
      <c r="B665" s="23"/>
      <c r="D665" s="23"/>
      <c r="F665" s="45"/>
      <c r="H665" s="60"/>
    </row>
    <row r="666" spans="1:8" ht="13.8" thickBot="1">
      <c r="A666" s="23"/>
      <c r="B666" s="23"/>
      <c r="D666" s="23"/>
      <c r="F666" s="45"/>
      <c r="H666" s="60"/>
    </row>
    <row r="667" spans="1:8" ht="13.8" thickBot="1">
      <c r="A667" s="23"/>
      <c r="B667" s="23"/>
      <c r="D667" s="23"/>
      <c r="F667" s="45"/>
      <c r="H667" s="60"/>
    </row>
    <row r="668" spans="1:8" ht="13.8" thickBot="1">
      <c r="A668" s="23"/>
      <c r="B668" s="23"/>
      <c r="D668" s="23"/>
      <c r="F668" s="45"/>
      <c r="H668" s="60"/>
    </row>
    <row r="669" spans="1:8" ht="13.8" thickBot="1">
      <c r="A669" s="23"/>
      <c r="B669" s="23"/>
      <c r="D669" s="23"/>
      <c r="F669" s="45"/>
      <c r="H669" s="60"/>
    </row>
    <row r="670" spans="1:8" ht="13.8" thickBot="1">
      <c r="A670" s="23"/>
      <c r="B670" s="23"/>
      <c r="D670" s="23"/>
      <c r="F670" s="45"/>
      <c r="H670" s="60"/>
    </row>
    <row r="671" spans="1:8" ht="13.8" thickBot="1">
      <c r="A671" s="23"/>
      <c r="B671" s="23"/>
      <c r="D671" s="23"/>
      <c r="F671" s="45"/>
      <c r="H671" s="60"/>
    </row>
    <row r="672" spans="1:8" ht="13.8" thickBot="1">
      <c r="A672" s="23"/>
      <c r="B672" s="23"/>
      <c r="D672" s="23"/>
      <c r="F672" s="45"/>
      <c r="H672" s="60"/>
    </row>
    <row r="673" spans="1:8" ht="13.8" thickBot="1">
      <c r="A673" s="23"/>
      <c r="B673" s="23"/>
      <c r="D673" s="23"/>
      <c r="F673" s="45"/>
      <c r="H673" s="60"/>
    </row>
    <row r="674" spans="1:8" ht="13.8" thickBot="1">
      <c r="A674" s="23"/>
      <c r="B674" s="23"/>
      <c r="D674" s="23"/>
      <c r="F674" s="45"/>
      <c r="H674" s="60"/>
    </row>
    <row r="675" spans="1:8" ht="13.8" thickBot="1">
      <c r="A675" s="23"/>
      <c r="B675" s="23"/>
      <c r="D675" s="23"/>
      <c r="F675" s="45"/>
      <c r="H675" s="60"/>
    </row>
    <row r="676" spans="1:8" ht="13.8" thickBot="1">
      <c r="A676" s="23"/>
      <c r="B676" s="23"/>
      <c r="D676" s="23"/>
      <c r="F676" s="45"/>
      <c r="H676" s="60"/>
    </row>
    <row r="677" spans="1:8" ht="13.8" thickBot="1">
      <c r="A677" s="23"/>
      <c r="B677" s="23"/>
      <c r="D677" s="23"/>
      <c r="F677" s="45"/>
      <c r="H677" s="60"/>
    </row>
    <row r="678" spans="1:8" ht="13.8" thickBot="1">
      <c r="A678" s="23"/>
      <c r="B678" s="23"/>
      <c r="D678" s="23"/>
      <c r="F678" s="45"/>
      <c r="H678" s="60"/>
    </row>
    <row r="679" spans="1:8" ht="13.8" thickBot="1">
      <c r="A679" s="23"/>
      <c r="B679" s="23"/>
      <c r="D679" s="23"/>
      <c r="F679" s="45"/>
      <c r="H679" s="60"/>
    </row>
    <row r="680" spans="1:8" ht="13.8" thickBot="1">
      <c r="A680" s="23"/>
      <c r="B680" s="23"/>
      <c r="D680" s="23"/>
      <c r="F680" s="45"/>
      <c r="H680" s="60"/>
    </row>
    <row r="681" spans="1:8" ht="13.8" thickBot="1">
      <c r="A681" s="23"/>
      <c r="B681" s="23"/>
      <c r="D681" s="23"/>
      <c r="F681" s="45"/>
      <c r="H681" s="60"/>
    </row>
    <row r="682" spans="1:8" ht="13.8" thickBot="1">
      <c r="A682" s="23"/>
      <c r="B682" s="23"/>
      <c r="D682" s="23"/>
      <c r="F682" s="45"/>
      <c r="H682" s="60"/>
    </row>
    <row r="683" spans="1:8" ht="13.8" thickBot="1">
      <c r="A683" s="23"/>
      <c r="B683" s="23"/>
      <c r="D683" s="23"/>
      <c r="F683" s="45"/>
      <c r="H683" s="60"/>
    </row>
    <row r="684" spans="1:8" ht="13.8" thickBot="1">
      <c r="A684" s="23"/>
      <c r="B684" s="23"/>
      <c r="D684" s="23"/>
      <c r="F684" s="45"/>
      <c r="H684" s="60"/>
    </row>
    <row r="685" spans="1:8" ht="13.8" thickBot="1">
      <c r="A685" s="23"/>
      <c r="B685" s="23"/>
      <c r="D685" s="23"/>
      <c r="F685" s="45"/>
      <c r="H685" s="60"/>
    </row>
    <row r="686" spans="1:8" ht="13.8" thickBot="1">
      <c r="A686" s="23"/>
      <c r="B686" s="23"/>
      <c r="D686" s="23"/>
      <c r="F686" s="45"/>
      <c r="H686" s="60"/>
    </row>
    <row r="687" spans="1:8" ht="13.8" thickBot="1">
      <c r="A687" s="23"/>
      <c r="B687" s="23"/>
      <c r="D687" s="23"/>
      <c r="F687" s="45"/>
      <c r="H687" s="60"/>
    </row>
    <row r="688" spans="1:8" ht="13.8" thickBot="1">
      <c r="A688" s="23"/>
      <c r="B688" s="23"/>
      <c r="D688" s="23"/>
      <c r="F688" s="45"/>
      <c r="H688" s="60"/>
    </row>
    <row r="689" spans="1:8" ht="13.8" thickBot="1">
      <c r="A689" s="23"/>
      <c r="B689" s="23"/>
      <c r="D689" s="23"/>
      <c r="F689" s="45"/>
      <c r="H689" s="60"/>
    </row>
    <row r="690" spans="1:8" ht="13.8" thickBot="1">
      <c r="A690" s="23"/>
      <c r="B690" s="23"/>
      <c r="D690" s="23"/>
      <c r="F690" s="45"/>
      <c r="H690" s="60"/>
    </row>
    <row r="691" spans="1:8" ht="13.8" thickBot="1">
      <c r="A691" s="23"/>
      <c r="B691" s="23"/>
      <c r="D691" s="23"/>
      <c r="F691" s="45"/>
      <c r="H691" s="60"/>
    </row>
    <row r="692" spans="1:8" ht="13.8" thickBot="1">
      <c r="A692" s="23"/>
      <c r="B692" s="23"/>
      <c r="D692" s="23"/>
      <c r="F692" s="45"/>
      <c r="H692" s="60"/>
    </row>
    <row r="693" spans="1:8" ht="13.8" thickBot="1">
      <c r="A693" s="23"/>
      <c r="B693" s="23"/>
      <c r="D693" s="23"/>
      <c r="F693" s="45"/>
      <c r="H693" s="60"/>
    </row>
    <row r="694" spans="1:8" ht="13.8" thickBot="1">
      <c r="A694" s="23"/>
      <c r="B694" s="23"/>
      <c r="D694" s="23"/>
      <c r="F694" s="45"/>
      <c r="H694" s="60"/>
    </row>
    <row r="695" spans="1:8" ht="13.8" thickBot="1">
      <c r="A695" s="23"/>
      <c r="B695" s="23"/>
      <c r="D695" s="23"/>
      <c r="F695" s="45"/>
      <c r="H695" s="60"/>
    </row>
    <row r="696" spans="1:8" ht="13.8" thickBot="1">
      <c r="A696" s="23"/>
      <c r="B696" s="23"/>
      <c r="D696" s="23"/>
      <c r="F696" s="45"/>
      <c r="H696" s="60"/>
    </row>
    <row r="697" spans="1:8" ht="13.8" thickBot="1">
      <c r="A697" s="23"/>
      <c r="B697" s="23"/>
      <c r="D697" s="23"/>
      <c r="F697" s="45"/>
      <c r="H697" s="60"/>
    </row>
    <row r="698" spans="1:8" ht="13.8" thickBot="1">
      <c r="A698" s="23"/>
      <c r="B698" s="23"/>
      <c r="D698" s="23"/>
      <c r="F698" s="45"/>
      <c r="H698" s="60"/>
    </row>
    <row r="699" spans="1:8" ht="13.8" thickBot="1">
      <c r="A699" s="23"/>
      <c r="B699" s="23"/>
      <c r="D699" s="23"/>
      <c r="F699" s="45"/>
      <c r="H699" s="60"/>
    </row>
    <row r="700" spans="1:8" ht="13.8" thickBot="1">
      <c r="A700" s="23"/>
      <c r="B700" s="23"/>
      <c r="D700" s="23"/>
      <c r="F700" s="45"/>
      <c r="H700" s="60"/>
    </row>
    <row r="701" spans="1:8" ht="13.8" thickBot="1">
      <c r="A701" s="23"/>
      <c r="B701" s="23"/>
      <c r="D701" s="23"/>
      <c r="F701" s="45"/>
      <c r="H701" s="60"/>
    </row>
    <row r="702" spans="1:8" ht="13.8" thickBot="1">
      <c r="A702" s="23"/>
      <c r="B702" s="23"/>
      <c r="D702" s="23"/>
      <c r="F702" s="45"/>
      <c r="H702" s="60"/>
    </row>
    <row r="703" spans="1:8" ht="13.8" thickBot="1">
      <c r="A703" s="23"/>
      <c r="B703" s="23"/>
      <c r="D703" s="23"/>
      <c r="F703" s="45"/>
      <c r="H703" s="60"/>
    </row>
    <row r="704" spans="1:8" ht="13.8" thickBot="1">
      <c r="A704" s="23"/>
      <c r="B704" s="23"/>
      <c r="D704" s="23"/>
      <c r="F704" s="45"/>
      <c r="H704" s="60"/>
    </row>
    <row r="705" spans="1:8" ht="13.8" thickBot="1">
      <c r="A705" s="23"/>
      <c r="B705" s="23"/>
      <c r="D705" s="23"/>
      <c r="F705" s="45"/>
      <c r="H705" s="60"/>
    </row>
    <row r="706" spans="1:8" ht="13.8" thickBot="1">
      <c r="A706" s="23"/>
      <c r="B706" s="23"/>
      <c r="D706" s="23"/>
      <c r="F706" s="45"/>
      <c r="H706" s="60"/>
    </row>
    <row r="707" spans="1:8" ht="13.8" thickBot="1">
      <c r="A707" s="23"/>
      <c r="B707" s="23"/>
      <c r="D707" s="23"/>
      <c r="F707" s="45"/>
      <c r="H707" s="60"/>
    </row>
    <row r="708" spans="1:8" ht="13.8" thickBot="1">
      <c r="A708" s="23"/>
      <c r="B708" s="23"/>
      <c r="D708" s="23"/>
      <c r="F708" s="45"/>
      <c r="H708" s="60"/>
    </row>
    <row r="709" spans="1:8" ht="13.8" thickBot="1">
      <c r="A709" s="23"/>
      <c r="B709" s="23"/>
      <c r="D709" s="23"/>
      <c r="F709" s="45"/>
      <c r="H709" s="60"/>
    </row>
    <row r="710" spans="1:8" ht="13.8" thickBot="1">
      <c r="A710" s="23"/>
      <c r="B710" s="23"/>
      <c r="D710" s="23"/>
      <c r="F710" s="45"/>
      <c r="H710" s="60"/>
    </row>
    <row r="711" spans="1:8" ht="13.8" thickBot="1">
      <c r="A711" s="23"/>
      <c r="B711" s="23"/>
      <c r="D711" s="23"/>
      <c r="F711" s="45"/>
      <c r="H711" s="60"/>
    </row>
    <row r="712" spans="1:8" ht="13.8" thickBot="1">
      <c r="A712" s="23"/>
      <c r="B712" s="23"/>
      <c r="D712" s="23"/>
      <c r="F712" s="45"/>
      <c r="H712" s="60"/>
    </row>
    <row r="713" spans="1:8" ht="13.8" thickBot="1">
      <c r="A713" s="23"/>
      <c r="B713" s="23"/>
      <c r="D713" s="23"/>
      <c r="F713" s="45"/>
      <c r="H713" s="60"/>
    </row>
    <row r="714" spans="1:8" ht="13.8" thickBot="1">
      <c r="A714" s="23"/>
      <c r="B714" s="23"/>
      <c r="D714" s="23"/>
      <c r="F714" s="45"/>
      <c r="H714" s="60"/>
    </row>
    <row r="715" spans="1:8" ht="13.8" thickBot="1">
      <c r="A715" s="23"/>
      <c r="B715" s="23"/>
      <c r="D715" s="23"/>
      <c r="F715" s="45"/>
      <c r="H715" s="60"/>
    </row>
    <row r="716" spans="1:8" ht="13.8" thickBot="1">
      <c r="A716" s="23"/>
      <c r="B716" s="23"/>
      <c r="D716" s="23"/>
      <c r="F716" s="45"/>
      <c r="H716" s="60"/>
    </row>
    <row r="717" spans="1:8" ht="13.8" thickBot="1">
      <c r="A717" s="23"/>
      <c r="B717" s="23"/>
      <c r="D717" s="23"/>
      <c r="F717" s="45"/>
      <c r="H717" s="60"/>
    </row>
    <row r="718" spans="1:8" ht="13.8" thickBot="1">
      <c r="A718" s="23"/>
      <c r="B718" s="23"/>
      <c r="D718" s="23"/>
      <c r="F718" s="45"/>
      <c r="H718" s="60"/>
    </row>
    <row r="719" spans="1:8" ht="13.8" thickBot="1">
      <c r="A719" s="23"/>
      <c r="B719" s="23"/>
      <c r="D719" s="23"/>
      <c r="F719" s="45"/>
      <c r="H719" s="60"/>
    </row>
    <row r="720" spans="1:8" ht="13.8" thickBot="1">
      <c r="A720" s="23"/>
      <c r="B720" s="23"/>
      <c r="D720" s="23"/>
      <c r="F720" s="45"/>
      <c r="H720" s="60"/>
    </row>
    <row r="721" spans="1:8" ht="13.8" thickBot="1">
      <c r="A721" s="23"/>
      <c r="B721" s="23"/>
      <c r="D721" s="23"/>
      <c r="F721" s="45"/>
      <c r="H721" s="60"/>
    </row>
    <row r="722" spans="1:8" ht="13.8" thickBot="1">
      <c r="A722" s="23"/>
      <c r="B722" s="23"/>
      <c r="D722" s="23"/>
      <c r="F722" s="45"/>
      <c r="H722" s="60"/>
    </row>
    <row r="723" spans="1:8" ht="13.8" thickBot="1">
      <c r="A723" s="23"/>
      <c r="B723" s="23"/>
      <c r="D723" s="23"/>
      <c r="F723" s="45"/>
      <c r="H723" s="60"/>
    </row>
    <row r="724" spans="1:8" ht="13.8" thickBot="1">
      <c r="A724" s="23"/>
      <c r="B724" s="23"/>
      <c r="D724" s="23"/>
      <c r="F724" s="45"/>
      <c r="H724" s="60"/>
    </row>
    <row r="725" spans="1:8" ht="13.8" thickBot="1">
      <c r="A725" s="23"/>
      <c r="B725" s="23"/>
      <c r="D725" s="23"/>
      <c r="F725" s="45"/>
      <c r="H725" s="60"/>
    </row>
    <row r="726" spans="1:8" ht="13.8" thickBot="1">
      <c r="A726" s="23"/>
      <c r="B726" s="23"/>
      <c r="D726" s="23"/>
      <c r="F726" s="45"/>
      <c r="H726" s="60"/>
    </row>
    <row r="727" spans="1:8" ht="13.8" thickBot="1">
      <c r="A727" s="23"/>
      <c r="B727" s="23"/>
      <c r="D727" s="23"/>
      <c r="F727" s="45"/>
      <c r="H727" s="60"/>
    </row>
    <row r="728" spans="1:8" ht="13.8" thickBot="1">
      <c r="A728" s="23"/>
      <c r="B728" s="23"/>
      <c r="D728" s="23"/>
      <c r="F728" s="45"/>
      <c r="H728" s="60"/>
    </row>
    <row r="729" spans="1:8" ht="13.8" thickBot="1">
      <c r="A729" s="23"/>
      <c r="B729" s="23"/>
      <c r="D729" s="23"/>
      <c r="F729" s="45"/>
      <c r="H729" s="60"/>
    </row>
    <row r="730" spans="1:8" ht="13.8" thickBot="1">
      <c r="A730" s="23"/>
      <c r="B730" s="23"/>
      <c r="D730" s="23"/>
      <c r="F730" s="45"/>
      <c r="H730" s="60"/>
    </row>
    <row r="731" spans="1:8" ht="13.8" thickBot="1">
      <c r="A731" s="23"/>
      <c r="B731" s="23"/>
      <c r="D731" s="23"/>
      <c r="F731" s="45"/>
      <c r="H731" s="60"/>
    </row>
    <row r="732" spans="1:8" ht="13.8" thickBot="1">
      <c r="A732" s="23"/>
      <c r="B732" s="23"/>
      <c r="D732" s="23"/>
      <c r="F732" s="45"/>
      <c r="H732" s="60"/>
    </row>
    <row r="733" spans="1:8" ht="13.8" thickBot="1">
      <c r="A733" s="23"/>
      <c r="B733" s="23"/>
      <c r="D733" s="23"/>
      <c r="F733" s="45"/>
      <c r="H733" s="60"/>
    </row>
    <row r="734" spans="1:8" ht="13.8" thickBot="1">
      <c r="A734" s="23"/>
      <c r="B734" s="23"/>
      <c r="D734" s="23"/>
      <c r="F734" s="45"/>
      <c r="H734" s="60"/>
    </row>
    <row r="735" spans="1:8" ht="13.8" thickBot="1">
      <c r="A735" s="23"/>
      <c r="B735" s="23"/>
      <c r="D735" s="23"/>
      <c r="F735" s="45"/>
      <c r="H735" s="60"/>
    </row>
    <row r="736" spans="1:8" ht="13.8" thickBot="1">
      <c r="A736" s="23"/>
      <c r="B736" s="23"/>
      <c r="D736" s="23"/>
      <c r="F736" s="45"/>
      <c r="H736" s="60"/>
    </row>
    <row r="737" spans="1:8" ht="13.8" thickBot="1">
      <c r="A737" s="23"/>
      <c r="B737" s="23"/>
      <c r="D737" s="23"/>
      <c r="F737" s="45"/>
      <c r="H737" s="60"/>
    </row>
    <row r="738" spans="1:8" ht="13.8" thickBot="1">
      <c r="A738" s="23"/>
      <c r="B738" s="23"/>
      <c r="D738" s="23"/>
      <c r="F738" s="45"/>
      <c r="H738" s="60"/>
    </row>
    <row r="739" spans="1:8" ht="13.8" thickBot="1">
      <c r="A739" s="23"/>
      <c r="B739" s="23"/>
      <c r="D739" s="23"/>
      <c r="F739" s="45"/>
      <c r="H739" s="60"/>
    </row>
    <row r="740" spans="1:8" ht="13.8" thickBot="1">
      <c r="A740" s="23"/>
      <c r="B740" s="23"/>
      <c r="D740" s="23"/>
      <c r="F740" s="45"/>
      <c r="H740" s="60"/>
    </row>
    <row r="741" spans="1:8" ht="13.8" thickBot="1">
      <c r="A741" s="23"/>
      <c r="B741" s="23"/>
      <c r="D741" s="23"/>
      <c r="F741" s="45"/>
      <c r="H741" s="60"/>
    </row>
    <row r="742" spans="1:8" ht="13.8" thickBot="1">
      <c r="A742" s="23"/>
      <c r="B742" s="23"/>
      <c r="D742" s="23"/>
      <c r="F742" s="45"/>
      <c r="H742" s="60"/>
    </row>
    <row r="743" spans="1:8" ht="13.8" thickBot="1">
      <c r="A743" s="23"/>
      <c r="B743" s="23"/>
      <c r="D743" s="23"/>
      <c r="F743" s="45"/>
      <c r="H743" s="60"/>
    </row>
    <row r="744" spans="1:8" ht="13.8" thickBot="1">
      <c r="A744" s="23"/>
      <c r="B744" s="23"/>
      <c r="D744" s="23"/>
      <c r="F744" s="45"/>
      <c r="H744" s="60"/>
    </row>
    <row r="745" spans="1:8" ht="13.8" thickBot="1">
      <c r="A745" s="23"/>
      <c r="B745" s="23"/>
      <c r="D745" s="23"/>
      <c r="F745" s="45"/>
      <c r="H745" s="60"/>
    </row>
    <row r="746" spans="1:8" ht="13.8" thickBot="1">
      <c r="A746" s="23"/>
      <c r="B746" s="23"/>
      <c r="D746" s="23"/>
      <c r="F746" s="45"/>
      <c r="H746" s="60"/>
    </row>
    <row r="747" spans="1:8" ht="13.8" thickBot="1">
      <c r="A747" s="23"/>
      <c r="B747" s="23"/>
      <c r="D747" s="23"/>
      <c r="F747" s="45"/>
      <c r="H747" s="60"/>
    </row>
    <row r="748" spans="1:8" ht="13.8" thickBot="1">
      <c r="A748" s="23"/>
      <c r="B748" s="23"/>
      <c r="D748" s="23"/>
      <c r="F748" s="45"/>
      <c r="H748" s="60"/>
    </row>
    <row r="749" spans="1:8" ht="13.8" thickBot="1">
      <c r="A749" s="23"/>
      <c r="B749" s="23"/>
      <c r="D749" s="23"/>
      <c r="F749" s="45"/>
      <c r="H749" s="60"/>
    </row>
    <row r="750" spans="1:8" ht="13.8" thickBot="1">
      <c r="A750" s="23"/>
      <c r="B750" s="23"/>
      <c r="D750" s="23"/>
      <c r="F750" s="45"/>
      <c r="H750" s="60"/>
    </row>
    <row r="751" spans="1:8" ht="13.8" thickBot="1">
      <c r="A751" s="23"/>
      <c r="B751" s="23"/>
      <c r="D751" s="23"/>
      <c r="F751" s="45"/>
      <c r="H751" s="60"/>
    </row>
    <row r="752" spans="1:8" ht="13.8" thickBot="1">
      <c r="A752" s="23"/>
      <c r="B752" s="23"/>
      <c r="D752" s="23"/>
      <c r="F752" s="45"/>
      <c r="H752" s="60"/>
    </row>
    <row r="753" spans="1:8" ht="13.8" thickBot="1">
      <c r="A753" s="23"/>
      <c r="B753" s="23"/>
      <c r="D753" s="23"/>
      <c r="F753" s="45"/>
      <c r="H753" s="60"/>
    </row>
    <row r="754" spans="1:8" ht="13.8" thickBot="1">
      <c r="A754" s="23"/>
      <c r="B754" s="23"/>
      <c r="D754" s="23"/>
      <c r="F754" s="45"/>
      <c r="H754" s="60"/>
    </row>
    <row r="755" spans="1:8" ht="13.8" thickBot="1">
      <c r="A755" s="23"/>
      <c r="B755" s="23"/>
      <c r="D755" s="23"/>
      <c r="F755" s="45"/>
      <c r="H755" s="60"/>
    </row>
    <row r="756" spans="1:8" ht="13.8" thickBot="1">
      <c r="A756" s="23"/>
      <c r="B756" s="23"/>
      <c r="D756" s="23"/>
      <c r="F756" s="45"/>
      <c r="H756" s="60"/>
    </row>
    <row r="757" spans="1:8" ht="13.8" thickBot="1">
      <c r="A757" s="23"/>
      <c r="B757" s="23"/>
      <c r="D757" s="23"/>
      <c r="F757" s="45"/>
      <c r="H757" s="60"/>
    </row>
    <row r="758" spans="1:8" ht="13.8" thickBot="1">
      <c r="A758" s="23"/>
      <c r="B758" s="23"/>
      <c r="D758" s="23"/>
      <c r="F758" s="45"/>
      <c r="H758" s="60"/>
    </row>
    <row r="759" spans="1:8" ht="13.8" thickBot="1">
      <c r="A759" s="23"/>
      <c r="B759" s="23"/>
      <c r="D759" s="23"/>
      <c r="F759" s="45"/>
      <c r="H759" s="60"/>
    </row>
    <row r="760" spans="1:8" ht="13.8" thickBot="1">
      <c r="A760" s="23"/>
      <c r="B760" s="23"/>
      <c r="D760" s="23"/>
      <c r="F760" s="45"/>
      <c r="H760" s="60"/>
    </row>
    <row r="761" spans="1:8" ht="13.8" thickBot="1">
      <c r="A761" s="23"/>
      <c r="B761" s="23"/>
      <c r="D761" s="23"/>
      <c r="F761" s="45"/>
      <c r="H761" s="60"/>
    </row>
    <row r="762" spans="1:8" ht="13.8" thickBot="1">
      <c r="A762" s="23"/>
      <c r="B762" s="23"/>
      <c r="D762" s="23"/>
      <c r="F762" s="45"/>
      <c r="H762" s="60"/>
    </row>
    <row r="763" spans="1:8" ht="13.8" thickBot="1">
      <c r="A763" s="23"/>
      <c r="B763" s="23"/>
      <c r="D763" s="23"/>
      <c r="F763" s="45"/>
      <c r="H763" s="60"/>
    </row>
    <row r="764" spans="1:8" ht="13.8" thickBot="1">
      <c r="A764" s="23"/>
      <c r="B764" s="23"/>
      <c r="D764" s="23"/>
      <c r="F764" s="45"/>
      <c r="H764" s="60"/>
    </row>
    <row r="765" spans="1:8" ht="13.8" thickBot="1">
      <c r="A765" s="23"/>
      <c r="B765" s="23"/>
      <c r="D765" s="23"/>
      <c r="F765" s="45"/>
      <c r="H765" s="60"/>
    </row>
    <row r="766" spans="1:8" ht="13.8" thickBot="1">
      <c r="A766" s="23"/>
      <c r="B766" s="23"/>
      <c r="D766" s="23"/>
      <c r="F766" s="45"/>
      <c r="H766" s="60"/>
    </row>
    <row r="767" spans="1:8" ht="13.8" thickBot="1">
      <c r="A767" s="23"/>
      <c r="B767" s="23"/>
      <c r="D767" s="23"/>
      <c r="F767" s="45"/>
      <c r="H767" s="60"/>
    </row>
    <row r="768" spans="1:8" ht="13.8" thickBot="1">
      <c r="A768" s="23"/>
      <c r="B768" s="23"/>
      <c r="D768" s="23"/>
      <c r="F768" s="45"/>
      <c r="H768" s="60"/>
    </row>
    <row r="769" spans="1:8" ht="13.8" thickBot="1">
      <c r="A769" s="23"/>
      <c r="B769" s="23"/>
      <c r="D769" s="23"/>
      <c r="F769" s="45"/>
      <c r="H769" s="60"/>
    </row>
    <row r="770" spans="1:8" ht="13.8" thickBot="1">
      <c r="A770" s="23"/>
      <c r="B770" s="23"/>
      <c r="D770" s="23"/>
      <c r="F770" s="45"/>
      <c r="H770" s="60"/>
    </row>
    <row r="771" spans="1:8" ht="13.8" thickBot="1">
      <c r="A771" s="23"/>
      <c r="B771" s="23"/>
      <c r="D771" s="23"/>
      <c r="F771" s="45"/>
      <c r="H771" s="60"/>
    </row>
    <row r="772" spans="1:8" ht="13.8" thickBot="1">
      <c r="A772" s="23"/>
      <c r="B772" s="23"/>
      <c r="D772" s="23"/>
      <c r="F772" s="45"/>
      <c r="H772" s="60"/>
    </row>
    <row r="773" spans="1:8" ht="13.8" thickBot="1">
      <c r="A773" s="23"/>
      <c r="B773" s="23"/>
      <c r="D773" s="23"/>
      <c r="F773" s="45"/>
      <c r="H773" s="60"/>
    </row>
    <row r="774" spans="1:8" ht="13.8" thickBot="1">
      <c r="A774" s="23"/>
      <c r="B774" s="23"/>
      <c r="D774" s="23"/>
      <c r="F774" s="45"/>
      <c r="H774" s="60"/>
    </row>
    <row r="775" spans="1:8" ht="13.8" thickBot="1">
      <c r="A775" s="23"/>
      <c r="B775" s="23"/>
      <c r="D775" s="23"/>
      <c r="F775" s="45"/>
      <c r="H775" s="60"/>
    </row>
    <row r="776" spans="1:8" ht="13.8" thickBot="1">
      <c r="A776" s="23"/>
      <c r="B776" s="23"/>
      <c r="D776" s="23"/>
      <c r="F776" s="45"/>
      <c r="H776" s="60"/>
    </row>
    <row r="777" spans="1:8" ht="13.8" thickBot="1">
      <c r="A777" s="23"/>
      <c r="B777" s="23"/>
      <c r="D777" s="23"/>
      <c r="F777" s="45"/>
      <c r="H777" s="60"/>
    </row>
    <row r="778" spans="1:8" ht="13.8" thickBot="1">
      <c r="A778" s="23"/>
      <c r="B778" s="23"/>
      <c r="D778" s="23"/>
      <c r="F778" s="45"/>
      <c r="H778" s="60"/>
    </row>
    <row r="779" spans="1:8" ht="13.8" thickBot="1">
      <c r="A779" s="23"/>
      <c r="B779" s="23"/>
      <c r="D779" s="23"/>
      <c r="F779" s="45"/>
      <c r="H779" s="60"/>
    </row>
    <row r="780" spans="1:8" ht="13.8" thickBot="1">
      <c r="A780" s="23"/>
      <c r="B780" s="23"/>
      <c r="D780" s="23"/>
      <c r="F780" s="45"/>
      <c r="H780" s="60"/>
    </row>
    <row r="781" spans="1:8" ht="13.8" thickBot="1">
      <c r="A781" s="23"/>
      <c r="B781" s="23"/>
      <c r="D781" s="23"/>
      <c r="F781" s="45"/>
      <c r="H781" s="60"/>
    </row>
    <row r="782" spans="1:8" ht="13.8" thickBot="1">
      <c r="A782" s="23"/>
      <c r="B782" s="23"/>
      <c r="D782" s="23"/>
      <c r="F782" s="45"/>
      <c r="H782" s="60"/>
    </row>
    <row r="783" spans="1:8" ht="13.8" thickBot="1">
      <c r="A783" s="23"/>
      <c r="B783" s="23"/>
      <c r="D783" s="23"/>
      <c r="F783" s="45"/>
      <c r="H783" s="60"/>
    </row>
    <row r="784" spans="1:8" ht="13.8" thickBot="1">
      <c r="A784" s="23"/>
      <c r="B784" s="23"/>
      <c r="D784" s="23"/>
      <c r="F784" s="45"/>
      <c r="H784" s="60"/>
    </row>
    <row r="785" spans="1:8" ht="13.8" thickBot="1">
      <c r="A785" s="23"/>
      <c r="B785" s="23"/>
      <c r="D785" s="23"/>
      <c r="F785" s="45"/>
      <c r="H785" s="60"/>
    </row>
    <row r="786" spans="1:8" ht="13.8" thickBot="1">
      <c r="A786" s="23"/>
      <c r="B786" s="23"/>
      <c r="D786" s="23"/>
      <c r="F786" s="45"/>
      <c r="H786" s="60"/>
    </row>
    <row r="787" spans="1:8" ht="13.8" thickBot="1">
      <c r="A787" s="23"/>
      <c r="B787" s="23"/>
      <c r="D787" s="23"/>
      <c r="F787" s="45"/>
      <c r="H787" s="60"/>
    </row>
    <row r="788" spans="1:8" ht="13.8" thickBot="1">
      <c r="A788" s="23"/>
      <c r="B788" s="23"/>
      <c r="D788" s="23"/>
      <c r="F788" s="45"/>
      <c r="H788" s="60"/>
    </row>
    <row r="789" spans="1:8" ht="13.8" thickBot="1">
      <c r="A789" s="23"/>
      <c r="B789" s="23"/>
      <c r="D789" s="23"/>
      <c r="F789" s="45"/>
      <c r="H789" s="60"/>
    </row>
    <row r="790" spans="1:8" ht="13.8" thickBot="1">
      <c r="A790" s="23"/>
      <c r="B790" s="23"/>
      <c r="D790" s="23"/>
      <c r="F790" s="45"/>
      <c r="H790" s="60"/>
    </row>
    <row r="791" spans="1:8" ht="13.8" thickBot="1">
      <c r="A791" s="23"/>
      <c r="B791" s="23"/>
      <c r="D791" s="23"/>
      <c r="F791" s="45"/>
      <c r="H791" s="60"/>
    </row>
    <row r="792" spans="1:8" ht="13.8" thickBot="1">
      <c r="A792" s="23"/>
      <c r="B792" s="23"/>
      <c r="D792" s="23"/>
      <c r="F792" s="45"/>
      <c r="H792" s="60"/>
    </row>
    <row r="793" spans="1:8" ht="13.8" thickBot="1">
      <c r="A793" s="23"/>
      <c r="B793" s="23"/>
      <c r="D793" s="23"/>
      <c r="F793" s="45"/>
      <c r="H793" s="60"/>
    </row>
    <row r="794" spans="1:8" ht="13.8" thickBot="1">
      <c r="A794" s="23"/>
      <c r="B794" s="23"/>
      <c r="D794" s="23"/>
      <c r="F794" s="45"/>
      <c r="H794" s="60"/>
    </row>
    <row r="795" spans="1:8" ht="13.8" thickBot="1">
      <c r="A795" s="23"/>
      <c r="B795" s="23"/>
      <c r="D795" s="23"/>
      <c r="F795" s="45"/>
      <c r="H795" s="60"/>
    </row>
    <row r="796" spans="1:8" ht="13.8" thickBot="1">
      <c r="A796" s="23"/>
      <c r="B796" s="23"/>
      <c r="D796" s="23"/>
      <c r="F796" s="45"/>
      <c r="H796" s="60"/>
    </row>
    <row r="797" spans="1:8" ht="13.8" thickBot="1">
      <c r="A797" s="23"/>
      <c r="B797" s="23"/>
      <c r="D797" s="23"/>
      <c r="F797" s="45"/>
      <c r="H797" s="60"/>
    </row>
    <row r="798" spans="1:8" ht="13.8" thickBot="1">
      <c r="A798" s="23"/>
      <c r="B798" s="23"/>
      <c r="D798" s="23"/>
      <c r="F798" s="45"/>
      <c r="H798" s="60"/>
    </row>
    <row r="799" spans="1:8" ht="13.8" thickBot="1">
      <c r="A799" s="23"/>
      <c r="B799" s="23"/>
      <c r="D799" s="23"/>
      <c r="F799" s="45"/>
      <c r="H799" s="60"/>
    </row>
    <row r="800" spans="1:8" ht="13.8" thickBot="1">
      <c r="A800" s="23"/>
      <c r="B800" s="23"/>
      <c r="D800" s="23"/>
      <c r="F800" s="45"/>
      <c r="H800" s="60"/>
    </row>
    <row r="801" spans="1:8" ht="13.8" thickBot="1">
      <c r="A801" s="23"/>
      <c r="B801" s="23"/>
      <c r="D801" s="23"/>
      <c r="F801" s="45"/>
      <c r="H801" s="60"/>
    </row>
    <row r="802" spans="1:8" ht="13.8" thickBot="1">
      <c r="A802" s="23"/>
      <c r="B802" s="23"/>
      <c r="D802" s="23"/>
      <c r="F802" s="45"/>
      <c r="H802" s="60"/>
    </row>
    <row r="803" spans="1:8" ht="13.8" thickBot="1">
      <c r="A803" s="23"/>
      <c r="B803" s="23"/>
      <c r="D803" s="23"/>
      <c r="F803" s="45"/>
      <c r="H803" s="60"/>
    </row>
    <row r="804" spans="1:8" ht="13.8" thickBot="1">
      <c r="A804" s="23"/>
      <c r="B804" s="23"/>
      <c r="D804" s="23"/>
      <c r="F804" s="45"/>
      <c r="H804" s="60"/>
    </row>
    <row r="805" spans="1:8" ht="13.8" thickBot="1">
      <c r="A805" s="23"/>
      <c r="B805" s="23"/>
      <c r="D805" s="23"/>
      <c r="F805" s="45"/>
      <c r="H805" s="60"/>
    </row>
    <row r="806" spans="1:8" ht="13.8" thickBot="1">
      <c r="A806" s="23"/>
      <c r="B806" s="23"/>
      <c r="D806" s="23"/>
      <c r="F806" s="45"/>
      <c r="H806" s="60"/>
    </row>
    <row r="807" spans="1:8" ht="13.8" thickBot="1">
      <c r="A807" s="23"/>
      <c r="B807" s="23"/>
      <c r="D807" s="23"/>
      <c r="F807" s="45"/>
      <c r="H807" s="60"/>
    </row>
    <row r="808" spans="1:8" ht="13.8" thickBot="1">
      <c r="A808" s="23"/>
      <c r="B808" s="23"/>
      <c r="D808" s="23"/>
      <c r="F808" s="45"/>
      <c r="H808" s="60"/>
    </row>
    <row r="809" spans="1:8" ht="13.8" thickBot="1">
      <c r="A809" s="23"/>
      <c r="B809" s="23"/>
      <c r="D809" s="23"/>
      <c r="F809" s="45"/>
      <c r="H809" s="60"/>
    </row>
    <row r="810" spans="1:8" ht="13.8" thickBot="1">
      <c r="A810" s="23"/>
      <c r="B810" s="23"/>
      <c r="D810" s="23"/>
      <c r="F810" s="45"/>
      <c r="H810" s="60"/>
    </row>
    <row r="811" spans="1:8" ht="13.8" thickBot="1">
      <c r="A811" s="23"/>
      <c r="B811" s="23"/>
      <c r="D811" s="23"/>
      <c r="F811" s="45"/>
      <c r="H811" s="60"/>
    </row>
    <row r="812" spans="1:8" ht="13.8" thickBot="1">
      <c r="A812" s="23"/>
      <c r="B812" s="23"/>
      <c r="D812" s="23"/>
      <c r="F812" s="45"/>
      <c r="H812" s="60"/>
    </row>
    <row r="813" spans="1:8" ht="13.8" thickBot="1">
      <c r="A813" s="23"/>
      <c r="B813" s="23"/>
      <c r="D813" s="23"/>
      <c r="F813" s="45"/>
      <c r="H813" s="60"/>
    </row>
    <row r="814" spans="1:8" ht="13.8" thickBot="1">
      <c r="A814" s="23"/>
      <c r="B814" s="23"/>
      <c r="D814" s="23"/>
      <c r="F814" s="45"/>
      <c r="H814" s="60"/>
    </row>
    <row r="815" spans="1:8" ht="13.8" thickBot="1">
      <c r="A815" s="23"/>
      <c r="B815" s="23"/>
      <c r="D815" s="23"/>
      <c r="F815" s="45"/>
      <c r="H815" s="60"/>
    </row>
    <row r="816" spans="1:8" ht="13.8" thickBot="1">
      <c r="A816" s="23"/>
      <c r="B816" s="23"/>
      <c r="D816" s="23"/>
      <c r="F816" s="45"/>
      <c r="H816" s="60"/>
    </row>
    <row r="817" spans="1:8" ht="13.8" thickBot="1">
      <c r="A817" s="23"/>
      <c r="B817" s="23"/>
      <c r="D817" s="23"/>
      <c r="F817" s="45"/>
      <c r="H817" s="60"/>
    </row>
    <row r="818" spans="1:8" ht="13.8" thickBot="1">
      <c r="A818" s="23"/>
      <c r="B818" s="23"/>
      <c r="D818" s="23"/>
      <c r="F818" s="45"/>
      <c r="H818" s="60"/>
    </row>
    <row r="819" spans="1:8" ht="13.8" thickBot="1">
      <c r="A819" s="23"/>
      <c r="B819" s="23"/>
      <c r="D819" s="23"/>
      <c r="F819" s="45"/>
      <c r="H819" s="60"/>
    </row>
    <row r="820" spans="1:8" ht="13.8" thickBot="1">
      <c r="A820" s="23"/>
      <c r="B820" s="23"/>
      <c r="D820" s="23"/>
      <c r="F820" s="45"/>
      <c r="H820" s="60"/>
    </row>
    <row r="821" spans="1:8" ht="13.8" thickBot="1">
      <c r="A821" s="23"/>
      <c r="B821" s="23"/>
      <c r="D821" s="23"/>
      <c r="F821" s="45"/>
      <c r="H821" s="60"/>
    </row>
    <row r="822" spans="1:8" ht="13.8" thickBot="1">
      <c r="A822" s="23"/>
      <c r="B822" s="23"/>
      <c r="D822" s="23"/>
      <c r="F822" s="45"/>
      <c r="H822" s="60"/>
    </row>
    <row r="823" spans="1:8" ht="13.8" thickBot="1">
      <c r="A823" s="23"/>
      <c r="B823" s="23"/>
      <c r="D823" s="23"/>
      <c r="F823" s="45"/>
      <c r="H823" s="60"/>
    </row>
    <row r="824" spans="1:8" ht="13.8" thickBot="1">
      <c r="A824" s="23"/>
      <c r="B824" s="23"/>
      <c r="D824" s="23"/>
      <c r="F824" s="45"/>
      <c r="H824" s="60"/>
    </row>
    <row r="825" spans="1:8" ht="13.8" thickBot="1">
      <c r="A825" s="23"/>
      <c r="B825" s="23"/>
      <c r="D825" s="23"/>
      <c r="F825" s="45"/>
      <c r="H825" s="60"/>
    </row>
    <row r="826" spans="1:8" ht="13.8" thickBot="1">
      <c r="A826" s="23"/>
      <c r="B826" s="23"/>
      <c r="D826" s="23"/>
      <c r="F826" s="45"/>
      <c r="H826" s="60"/>
    </row>
    <row r="827" spans="1:8" ht="13.8" thickBot="1">
      <c r="A827" s="23"/>
      <c r="B827" s="23"/>
      <c r="D827" s="23"/>
      <c r="F827" s="45"/>
      <c r="H827" s="60"/>
    </row>
    <row r="828" spans="1:8" ht="13.8" thickBot="1">
      <c r="A828" s="23"/>
      <c r="B828" s="23"/>
      <c r="D828" s="23"/>
      <c r="F828" s="45"/>
      <c r="H828" s="60"/>
    </row>
    <row r="829" spans="1:8" ht="13.8" thickBot="1">
      <c r="A829" s="23"/>
      <c r="B829" s="23"/>
      <c r="D829" s="23"/>
      <c r="F829" s="45"/>
      <c r="H829" s="60"/>
    </row>
    <row r="830" spans="1:8" ht="13.8" thickBot="1">
      <c r="A830" s="23"/>
      <c r="B830" s="23"/>
      <c r="D830" s="23"/>
      <c r="F830" s="45"/>
      <c r="H830" s="60"/>
    </row>
    <row r="831" spans="1:8" ht="13.8" thickBot="1">
      <c r="A831" s="23"/>
      <c r="B831" s="23"/>
      <c r="D831" s="23"/>
      <c r="F831" s="45"/>
      <c r="H831" s="60"/>
    </row>
    <row r="832" spans="1:8" ht="13.8" thickBot="1">
      <c r="A832" s="23"/>
      <c r="B832" s="23"/>
      <c r="D832" s="23"/>
      <c r="F832" s="45"/>
      <c r="H832" s="60"/>
    </row>
    <row r="833" spans="1:8" ht="13.8" thickBot="1">
      <c r="A833" s="23"/>
      <c r="B833" s="23"/>
      <c r="D833" s="23"/>
      <c r="F833" s="45"/>
      <c r="H833" s="60"/>
    </row>
    <row r="834" spans="1:8" ht="13.8" thickBot="1">
      <c r="A834" s="23"/>
      <c r="B834" s="23"/>
      <c r="D834" s="23"/>
      <c r="F834" s="45"/>
      <c r="H834" s="60"/>
    </row>
    <row r="835" spans="1:8" ht="13.8" thickBot="1">
      <c r="A835" s="23"/>
      <c r="B835" s="23"/>
      <c r="D835" s="23"/>
      <c r="F835" s="45"/>
      <c r="H835" s="60"/>
    </row>
    <row r="836" spans="1:8" ht="13.8" thickBot="1">
      <c r="A836" s="23"/>
      <c r="B836" s="23"/>
      <c r="D836" s="23"/>
      <c r="F836" s="45"/>
      <c r="H836" s="60"/>
    </row>
    <row r="837" spans="1:8" ht="13.8" thickBot="1">
      <c r="A837" s="23"/>
      <c r="B837" s="23"/>
      <c r="D837" s="23"/>
      <c r="F837" s="45"/>
      <c r="H837" s="60"/>
    </row>
    <row r="838" spans="1:8" ht="13.8" thickBot="1">
      <c r="A838" s="23"/>
      <c r="B838" s="23"/>
      <c r="D838" s="23"/>
      <c r="F838" s="45"/>
      <c r="H838" s="60"/>
    </row>
    <row r="839" spans="1:8" ht="13.8" thickBot="1">
      <c r="A839" s="23"/>
      <c r="B839" s="23"/>
      <c r="D839" s="23"/>
      <c r="F839" s="45"/>
      <c r="H839" s="60"/>
    </row>
    <row r="840" spans="1:8" ht="13.8" thickBot="1">
      <c r="A840" s="23"/>
      <c r="B840" s="23"/>
      <c r="D840" s="23"/>
      <c r="F840" s="45"/>
      <c r="H840" s="60"/>
    </row>
    <row r="841" spans="1:8" ht="13.8" thickBot="1">
      <c r="A841" s="23"/>
      <c r="B841" s="23"/>
      <c r="D841" s="23"/>
      <c r="F841" s="45"/>
      <c r="H841" s="60"/>
    </row>
    <row r="842" spans="1:8" ht="13.8" thickBot="1">
      <c r="A842" s="23"/>
      <c r="B842" s="23"/>
      <c r="D842" s="23"/>
      <c r="F842" s="45"/>
      <c r="H842" s="60"/>
    </row>
    <row r="843" spans="1:8" ht="13.8" thickBot="1">
      <c r="A843" s="23"/>
      <c r="B843" s="23"/>
      <c r="D843" s="23"/>
      <c r="F843" s="45"/>
      <c r="H843" s="60"/>
    </row>
    <row r="844" spans="1:8" ht="13.8" thickBot="1">
      <c r="A844" s="23"/>
      <c r="B844" s="23"/>
      <c r="D844" s="23"/>
      <c r="F844" s="45"/>
      <c r="H844" s="60"/>
    </row>
    <row r="845" spans="1:8" ht="13.8" thickBot="1">
      <c r="A845" s="23"/>
      <c r="B845" s="23"/>
      <c r="D845" s="23"/>
      <c r="F845" s="45"/>
      <c r="H845" s="60"/>
    </row>
    <row r="846" spans="1:8" ht="13.8" thickBot="1">
      <c r="A846" s="23"/>
      <c r="B846" s="23"/>
      <c r="D846" s="23"/>
      <c r="F846" s="45"/>
      <c r="H846" s="60"/>
    </row>
    <row r="847" spans="1:8" ht="13.8" thickBot="1">
      <c r="A847" s="23"/>
      <c r="B847" s="23"/>
      <c r="D847" s="23"/>
      <c r="F847" s="45"/>
      <c r="H847" s="60"/>
    </row>
    <row r="848" spans="1:8" ht="13.8" thickBot="1">
      <c r="A848" s="23"/>
      <c r="B848" s="23"/>
      <c r="D848" s="23"/>
      <c r="F848" s="45"/>
      <c r="H848" s="60"/>
    </row>
    <row r="849" spans="1:8" ht="13.8" thickBot="1">
      <c r="A849" s="23"/>
      <c r="B849" s="23"/>
      <c r="D849" s="23"/>
      <c r="F849" s="45"/>
      <c r="H849" s="60"/>
    </row>
    <row r="850" spans="1:8" ht="13.8" thickBot="1">
      <c r="A850" s="23"/>
      <c r="B850" s="23"/>
      <c r="D850" s="23"/>
      <c r="F850" s="45"/>
      <c r="H850" s="60"/>
    </row>
    <row r="851" spans="1:8" ht="13.8" thickBot="1">
      <c r="A851" s="23"/>
      <c r="B851" s="23"/>
      <c r="D851" s="23"/>
      <c r="F851" s="45"/>
      <c r="H851" s="60"/>
    </row>
    <row r="852" spans="1:8" ht="13.8" thickBot="1">
      <c r="A852" s="23"/>
      <c r="B852" s="23"/>
      <c r="D852" s="23"/>
      <c r="F852" s="45"/>
      <c r="H852" s="60"/>
    </row>
    <row r="853" spans="1:8" ht="13.8" thickBot="1">
      <c r="A853" s="23"/>
      <c r="B853" s="23"/>
      <c r="D853" s="23"/>
      <c r="F853" s="45"/>
      <c r="H853" s="60"/>
    </row>
    <row r="854" spans="1:8" ht="13.8" thickBot="1">
      <c r="A854" s="23"/>
      <c r="B854" s="23"/>
      <c r="D854" s="23"/>
      <c r="F854" s="45"/>
      <c r="H854" s="60"/>
    </row>
    <row r="855" spans="1:8" ht="13.8" thickBot="1">
      <c r="A855" s="23"/>
      <c r="B855" s="23"/>
      <c r="D855" s="23"/>
      <c r="F855" s="45"/>
      <c r="H855" s="60"/>
    </row>
    <row r="856" spans="1:8" ht="13.8" thickBot="1">
      <c r="A856" s="23"/>
      <c r="B856" s="23"/>
      <c r="D856" s="23"/>
      <c r="F856" s="45"/>
      <c r="H856" s="60"/>
    </row>
    <row r="857" spans="1:8" ht="13.8" thickBot="1">
      <c r="A857" s="23"/>
      <c r="B857" s="23"/>
      <c r="D857" s="23"/>
      <c r="F857" s="45"/>
      <c r="H857" s="60"/>
    </row>
    <row r="858" spans="1:8" ht="13.8" thickBot="1">
      <c r="A858" s="23"/>
      <c r="B858" s="23"/>
      <c r="D858" s="23"/>
      <c r="F858" s="45"/>
      <c r="H858" s="60"/>
    </row>
    <row r="859" spans="1:8" ht="13.8" thickBot="1">
      <c r="A859" s="23"/>
      <c r="B859" s="23"/>
      <c r="D859" s="23"/>
      <c r="F859" s="45"/>
      <c r="H859" s="60"/>
    </row>
    <row r="860" spans="1:8" ht="13.8" thickBot="1">
      <c r="A860" s="23"/>
      <c r="B860" s="23"/>
      <c r="D860" s="23"/>
      <c r="F860" s="45"/>
      <c r="H860" s="60"/>
    </row>
    <row r="861" spans="1:8" ht="13.8" thickBot="1">
      <c r="A861" s="23"/>
      <c r="B861" s="23"/>
      <c r="D861" s="23"/>
      <c r="F861" s="45"/>
      <c r="H861" s="60"/>
    </row>
    <row r="862" spans="1:8" ht="13.8" thickBot="1">
      <c r="A862" s="23"/>
      <c r="B862" s="23"/>
      <c r="D862" s="23"/>
      <c r="F862" s="45"/>
      <c r="H862" s="60"/>
    </row>
    <row r="863" spans="1:8" ht="13.8" thickBot="1">
      <c r="A863" s="23"/>
      <c r="B863" s="23"/>
      <c r="D863" s="23"/>
      <c r="F863" s="45"/>
      <c r="H863" s="60"/>
    </row>
    <row r="864" spans="1:8" ht="13.8" thickBot="1">
      <c r="A864" s="23"/>
      <c r="B864" s="23"/>
      <c r="D864" s="23"/>
      <c r="F864" s="45"/>
      <c r="H864" s="60"/>
    </row>
    <row r="865" spans="1:8" ht="13.8" thickBot="1">
      <c r="A865" s="23"/>
      <c r="B865" s="23"/>
      <c r="D865" s="23"/>
      <c r="F865" s="45"/>
      <c r="H865" s="60"/>
    </row>
    <row r="866" spans="1:8" ht="13.8" thickBot="1">
      <c r="A866" s="23"/>
      <c r="B866" s="23"/>
      <c r="D866" s="23"/>
      <c r="F866" s="45"/>
      <c r="H866" s="60"/>
    </row>
    <row r="867" spans="1:8" ht="13.8" thickBot="1">
      <c r="A867" s="23"/>
      <c r="B867" s="23"/>
      <c r="D867" s="23"/>
      <c r="F867" s="45"/>
      <c r="H867" s="60"/>
    </row>
    <row r="868" spans="1:8" ht="13.8" thickBot="1">
      <c r="A868" s="23"/>
      <c r="B868" s="23"/>
      <c r="D868" s="23"/>
      <c r="F868" s="45"/>
      <c r="H868" s="60"/>
    </row>
    <row r="869" spans="1:8" ht="13.8" thickBot="1">
      <c r="A869" s="23"/>
      <c r="B869" s="23"/>
      <c r="D869" s="23"/>
      <c r="F869" s="45"/>
      <c r="H869" s="60"/>
    </row>
    <row r="870" spans="1:8" ht="13.8" thickBot="1">
      <c r="A870" s="23"/>
      <c r="B870" s="23"/>
      <c r="D870" s="23"/>
      <c r="F870" s="45"/>
      <c r="H870" s="60"/>
    </row>
    <row r="871" spans="1:8" ht="13.8" thickBot="1">
      <c r="A871" s="23"/>
      <c r="B871" s="23"/>
      <c r="D871" s="23"/>
      <c r="F871" s="45"/>
      <c r="H871" s="60"/>
    </row>
    <row r="872" spans="1:8" ht="13.8" thickBot="1">
      <c r="A872" s="23"/>
      <c r="B872" s="23"/>
      <c r="D872" s="23"/>
      <c r="F872" s="45"/>
      <c r="H872" s="60"/>
    </row>
    <row r="873" spans="1:8" ht="13.8" thickBot="1">
      <c r="A873" s="23"/>
      <c r="B873" s="23"/>
      <c r="D873" s="23"/>
      <c r="F873" s="45"/>
      <c r="H873" s="60"/>
    </row>
    <row r="874" spans="1:8" ht="13.8" thickBot="1">
      <c r="A874" s="23"/>
      <c r="B874" s="23"/>
      <c r="D874" s="23"/>
      <c r="F874" s="45"/>
      <c r="H874" s="60"/>
    </row>
    <row r="875" spans="1:8" ht="13.8" thickBot="1">
      <c r="A875" s="23"/>
      <c r="B875" s="23"/>
      <c r="D875" s="23"/>
      <c r="F875" s="45"/>
      <c r="H875" s="60"/>
    </row>
    <row r="876" spans="1:8" ht="13.8" thickBot="1">
      <c r="A876" s="23"/>
      <c r="B876" s="23"/>
      <c r="D876" s="23"/>
      <c r="F876" s="45"/>
      <c r="H876" s="60"/>
    </row>
    <row r="877" spans="1:8" ht="13.8" thickBot="1">
      <c r="A877" s="23"/>
      <c r="B877" s="23"/>
      <c r="D877" s="23"/>
      <c r="F877" s="45"/>
      <c r="H877" s="60"/>
    </row>
    <row r="878" spans="1:8" ht="13.8" thickBot="1">
      <c r="A878" s="23"/>
      <c r="B878" s="23"/>
      <c r="D878" s="23"/>
      <c r="F878" s="45"/>
      <c r="H878" s="60"/>
    </row>
    <row r="879" spans="1:8" ht="13.8" thickBot="1">
      <c r="A879" s="23"/>
      <c r="B879" s="23"/>
      <c r="D879" s="23"/>
      <c r="F879" s="45"/>
      <c r="H879" s="60"/>
    </row>
    <row r="880" spans="1:8" ht="13.8" thickBot="1">
      <c r="A880" s="23"/>
      <c r="B880" s="23"/>
      <c r="D880" s="23"/>
      <c r="F880" s="45"/>
      <c r="H880" s="60"/>
    </row>
    <row r="881" spans="1:8" ht="13.8" thickBot="1">
      <c r="A881" s="23"/>
      <c r="B881" s="23"/>
      <c r="D881" s="23"/>
      <c r="F881" s="45"/>
      <c r="H881" s="60"/>
    </row>
    <row r="882" spans="1:8" ht="13.8" thickBot="1">
      <c r="A882" s="23"/>
      <c r="B882" s="23"/>
      <c r="D882" s="23"/>
      <c r="F882" s="45"/>
      <c r="H882" s="60"/>
    </row>
    <row r="883" spans="1:8" ht="13.8" thickBot="1">
      <c r="A883" s="23"/>
      <c r="B883" s="23"/>
      <c r="D883" s="23"/>
      <c r="F883" s="45"/>
      <c r="H883" s="60"/>
    </row>
    <row r="884" spans="1:8" ht="13.8" thickBot="1">
      <c r="A884" s="23"/>
      <c r="B884" s="23"/>
      <c r="D884" s="23"/>
      <c r="F884" s="45"/>
      <c r="H884" s="60"/>
    </row>
    <row r="885" spans="1:8" ht="13.8" thickBot="1">
      <c r="A885" s="23"/>
      <c r="B885" s="23"/>
      <c r="D885" s="23"/>
      <c r="F885" s="45"/>
      <c r="H885" s="60"/>
    </row>
    <row r="886" spans="1:8" ht="13.8" thickBot="1">
      <c r="A886" s="23"/>
      <c r="B886" s="23"/>
      <c r="D886" s="23"/>
      <c r="F886" s="45"/>
      <c r="H886" s="60"/>
    </row>
    <row r="887" spans="1:8" ht="13.8" thickBot="1">
      <c r="A887" s="23"/>
      <c r="B887" s="23"/>
      <c r="D887" s="23"/>
      <c r="F887" s="45"/>
      <c r="H887" s="60"/>
    </row>
    <row r="888" spans="1:8" ht="13.8" thickBot="1">
      <c r="A888" s="23"/>
      <c r="B888" s="23"/>
      <c r="D888" s="23"/>
      <c r="F888" s="45"/>
      <c r="H888" s="60"/>
    </row>
    <row r="889" spans="1:8" ht="13.8" thickBot="1">
      <c r="A889" s="23"/>
      <c r="B889" s="23"/>
      <c r="D889" s="23"/>
      <c r="F889" s="45"/>
      <c r="H889" s="60"/>
    </row>
    <row r="890" spans="1:8" ht="13.8" thickBot="1">
      <c r="A890" s="23"/>
      <c r="B890" s="23"/>
      <c r="D890" s="23"/>
      <c r="F890" s="45"/>
      <c r="H890" s="60"/>
    </row>
    <row r="891" spans="1:8" ht="13.8" thickBot="1">
      <c r="A891" s="23"/>
      <c r="B891" s="23"/>
      <c r="D891" s="23"/>
      <c r="F891" s="45"/>
      <c r="H891" s="60"/>
    </row>
    <row r="892" spans="1:8" ht="13.8" thickBot="1">
      <c r="A892" s="23"/>
      <c r="B892" s="23"/>
      <c r="D892" s="23"/>
      <c r="F892" s="45"/>
      <c r="H892" s="60"/>
    </row>
    <row r="893" spans="1:8" ht="13.8" thickBot="1">
      <c r="A893" s="23"/>
      <c r="B893" s="23"/>
      <c r="D893" s="23"/>
      <c r="F893" s="45"/>
      <c r="H893" s="60"/>
    </row>
    <row r="894" spans="1:8" ht="13.8" thickBot="1">
      <c r="A894" s="23"/>
      <c r="B894" s="23"/>
      <c r="D894" s="23"/>
      <c r="F894" s="45"/>
      <c r="H894" s="60"/>
    </row>
    <row r="895" spans="1:8" ht="13.8" thickBot="1">
      <c r="A895" s="23"/>
      <c r="B895" s="23"/>
      <c r="D895" s="23"/>
      <c r="F895" s="45"/>
      <c r="H895" s="60"/>
    </row>
    <row r="896" spans="1:8" ht="13.8" thickBot="1">
      <c r="A896" s="23"/>
      <c r="B896" s="23"/>
      <c r="D896" s="23"/>
      <c r="F896" s="45"/>
      <c r="H896" s="60"/>
    </row>
    <row r="897" spans="1:8" ht="13.8" thickBot="1">
      <c r="A897" s="23"/>
      <c r="B897" s="23"/>
      <c r="D897" s="23"/>
      <c r="F897" s="45"/>
      <c r="H897" s="60"/>
    </row>
    <row r="898" spans="1:8" ht="13.8" thickBot="1">
      <c r="A898" s="23"/>
      <c r="B898" s="23"/>
      <c r="D898" s="23"/>
      <c r="F898" s="45"/>
      <c r="H898" s="60"/>
    </row>
    <row r="899" spans="1:8" ht="13.8" thickBot="1">
      <c r="A899" s="23"/>
      <c r="B899" s="23"/>
      <c r="D899" s="23"/>
      <c r="F899" s="45"/>
      <c r="H899" s="60"/>
    </row>
    <row r="900" spans="1:8" ht="13.8" thickBot="1">
      <c r="A900" s="23"/>
      <c r="B900" s="23"/>
      <c r="D900" s="23"/>
      <c r="F900" s="45"/>
      <c r="H900" s="60"/>
    </row>
    <row r="901" spans="1:8" ht="13.8" thickBot="1">
      <c r="A901" s="23"/>
      <c r="B901" s="23"/>
      <c r="D901" s="23"/>
      <c r="F901" s="45"/>
      <c r="H901" s="60"/>
    </row>
    <row r="902" spans="1:8" ht="13.8" thickBot="1">
      <c r="A902" s="23"/>
      <c r="B902" s="23"/>
      <c r="D902" s="23"/>
      <c r="F902" s="45"/>
      <c r="H902" s="60"/>
    </row>
    <row r="903" spans="1:8" ht="13.8" thickBot="1">
      <c r="A903" s="23"/>
      <c r="B903" s="23"/>
      <c r="D903" s="23"/>
      <c r="F903" s="45"/>
      <c r="H903" s="60"/>
    </row>
    <row r="904" spans="1:8" ht="13.8" thickBot="1">
      <c r="A904" s="23"/>
      <c r="B904" s="23"/>
      <c r="D904" s="23"/>
      <c r="F904" s="45"/>
      <c r="H904" s="60"/>
    </row>
    <row r="905" spans="1:8" ht="13.8" thickBot="1">
      <c r="A905" s="23"/>
      <c r="B905" s="23"/>
      <c r="D905" s="23"/>
      <c r="F905" s="45"/>
      <c r="H905" s="60"/>
    </row>
    <row r="906" spans="1:8" ht="13.8" thickBot="1">
      <c r="A906" s="23"/>
      <c r="B906" s="23"/>
      <c r="D906" s="23"/>
      <c r="F906" s="45"/>
      <c r="H906" s="60"/>
    </row>
    <row r="907" spans="1:8" ht="13.8" thickBot="1">
      <c r="A907" s="23"/>
      <c r="B907" s="23"/>
      <c r="D907" s="23"/>
      <c r="F907" s="45"/>
      <c r="H907" s="60"/>
    </row>
    <row r="908" spans="1:8" ht="13.8" thickBot="1">
      <c r="A908" s="23"/>
      <c r="B908" s="23"/>
      <c r="D908" s="23"/>
      <c r="F908" s="45"/>
      <c r="H908" s="60"/>
    </row>
    <row r="909" spans="1:8" ht="13.8" thickBot="1">
      <c r="A909" s="23"/>
      <c r="B909" s="23"/>
      <c r="D909" s="23"/>
      <c r="F909" s="45"/>
      <c r="H909" s="60"/>
    </row>
    <row r="910" spans="1:8" ht="13.8" thickBot="1">
      <c r="A910" s="23"/>
      <c r="B910" s="23"/>
      <c r="D910" s="23"/>
      <c r="F910" s="45"/>
      <c r="H910" s="60"/>
    </row>
    <row r="911" spans="1:8" ht="13.8" thickBot="1">
      <c r="A911" s="23"/>
      <c r="B911" s="23"/>
      <c r="D911" s="23"/>
      <c r="F911" s="45"/>
      <c r="H911" s="60"/>
    </row>
    <row r="912" spans="1:8" ht="13.8" thickBot="1">
      <c r="A912" s="23"/>
      <c r="B912" s="23"/>
      <c r="D912" s="23"/>
      <c r="F912" s="45"/>
      <c r="H912" s="60"/>
    </row>
    <row r="913" spans="1:8" ht="13.8" thickBot="1">
      <c r="A913" s="23"/>
      <c r="B913" s="23"/>
      <c r="D913" s="23"/>
      <c r="F913" s="45"/>
      <c r="H913" s="60"/>
    </row>
    <row r="914" spans="1:8" ht="13.8" thickBot="1">
      <c r="A914" s="23"/>
      <c r="B914" s="23"/>
      <c r="D914" s="23"/>
      <c r="F914" s="45"/>
      <c r="H914" s="60"/>
    </row>
    <row r="915" spans="1:8" ht="13.8" thickBot="1">
      <c r="A915" s="23"/>
      <c r="B915" s="23"/>
      <c r="D915" s="23"/>
      <c r="F915" s="45"/>
      <c r="H915" s="60"/>
    </row>
    <row r="916" spans="1:8" ht="13.8" thickBot="1">
      <c r="A916" s="23"/>
      <c r="B916" s="23"/>
      <c r="D916" s="23"/>
      <c r="F916" s="45"/>
      <c r="H916" s="60"/>
    </row>
    <row r="917" spans="1:8" ht="13.8" thickBot="1">
      <c r="A917" s="23"/>
      <c r="B917" s="23"/>
      <c r="D917" s="23"/>
      <c r="F917" s="45"/>
      <c r="H917" s="60"/>
    </row>
    <row r="918" spans="1:8" ht="13.8" thickBot="1">
      <c r="A918" s="23"/>
      <c r="B918" s="23"/>
      <c r="D918" s="23"/>
      <c r="F918" s="45"/>
      <c r="H918" s="60"/>
    </row>
    <row r="919" spans="1:8" ht="13.8" thickBot="1">
      <c r="A919" s="23"/>
      <c r="B919" s="23"/>
      <c r="D919" s="23"/>
      <c r="F919" s="45"/>
      <c r="H919" s="60"/>
    </row>
    <row r="920" spans="1:8" ht="13.8" thickBot="1">
      <c r="A920" s="23"/>
      <c r="B920" s="23"/>
      <c r="D920" s="23"/>
      <c r="F920" s="45"/>
      <c r="H920" s="60"/>
    </row>
    <row r="921" spans="1:8" ht="13.8" thickBot="1">
      <c r="A921" s="23"/>
      <c r="B921" s="23"/>
      <c r="D921" s="23"/>
      <c r="F921" s="45"/>
      <c r="H921" s="60"/>
    </row>
    <row r="922" spans="1:8" ht="13.8" thickBot="1">
      <c r="A922" s="23"/>
      <c r="B922" s="23"/>
      <c r="D922" s="23"/>
      <c r="F922" s="45"/>
      <c r="H922" s="60"/>
    </row>
    <row r="923" spans="1:8" ht="13.8" thickBot="1">
      <c r="A923" s="23"/>
      <c r="B923" s="23"/>
      <c r="D923" s="23"/>
      <c r="F923" s="45"/>
      <c r="H923" s="60"/>
    </row>
    <row r="924" spans="1:8" ht="13.8" thickBot="1">
      <c r="A924" s="23"/>
      <c r="B924" s="23"/>
      <c r="D924" s="23"/>
      <c r="F924" s="45"/>
      <c r="H924" s="60"/>
    </row>
    <row r="925" spans="1:8" ht="13.8" thickBot="1">
      <c r="A925" s="23"/>
      <c r="B925" s="23"/>
      <c r="D925" s="23"/>
      <c r="F925" s="45"/>
      <c r="H925" s="60"/>
    </row>
    <row r="926" spans="1:8" ht="13.8" thickBot="1">
      <c r="A926" s="23"/>
      <c r="B926" s="23"/>
      <c r="D926" s="23"/>
      <c r="F926" s="45"/>
      <c r="H926" s="60"/>
    </row>
    <row r="927" spans="1:8" ht="13.8" thickBot="1">
      <c r="A927" s="23"/>
      <c r="B927" s="23"/>
      <c r="D927" s="23"/>
      <c r="F927" s="45"/>
      <c r="H927" s="60"/>
    </row>
    <row r="928" spans="1:8" ht="13.8" thickBot="1">
      <c r="A928" s="23"/>
      <c r="B928" s="23"/>
      <c r="D928" s="23"/>
      <c r="F928" s="45"/>
      <c r="H928" s="60"/>
    </row>
    <row r="929" spans="1:8" ht="13.8" thickBot="1">
      <c r="A929" s="23"/>
      <c r="B929" s="23"/>
      <c r="D929" s="23"/>
      <c r="F929" s="45"/>
      <c r="H929" s="60"/>
    </row>
    <row r="930" spans="1:8" ht="13.8" thickBot="1">
      <c r="A930" s="23"/>
      <c r="B930" s="23"/>
      <c r="D930" s="23"/>
      <c r="F930" s="45"/>
      <c r="H930" s="60"/>
    </row>
    <row r="931" spans="1:8" ht="13.8" thickBot="1">
      <c r="A931" s="23"/>
      <c r="B931" s="23"/>
      <c r="D931" s="23"/>
      <c r="F931" s="45"/>
      <c r="H931" s="60"/>
    </row>
    <row r="932" spans="1:8" ht="13.8" thickBot="1">
      <c r="A932" s="23"/>
      <c r="B932" s="23"/>
      <c r="D932" s="23"/>
      <c r="F932" s="45"/>
      <c r="H932" s="60"/>
    </row>
    <row r="933" spans="1:8" ht="13.8" thickBot="1">
      <c r="A933" s="23"/>
      <c r="B933" s="23"/>
      <c r="D933" s="23"/>
      <c r="F933" s="45"/>
      <c r="H933" s="60"/>
    </row>
    <row r="934" spans="1:8" ht="13.8" thickBot="1">
      <c r="A934" s="23"/>
      <c r="B934" s="23"/>
      <c r="D934" s="23"/>
      <c r="F934" s="45"/>
      <c r="H934" s="60"/>
    </row>
    <row r="935" spans="1:8" ht="13.8" thickBot="1">
      <c r="A935" s="23"/>
      <c r="B935" s="23"/>
      <c r="D935" s="23"/>
      <c r="F935" s="45"/>
      <c r="H935" s="60"/>
    </row>
    <row r="936" spans="1:8" ht="13.8" thickBot="1">
      <c r="A936" s="23"/>
      <c r="B936" s="23"/>
      <c r="D936" s="23"/>
      <c r="F936" s="45"/>
      <c r="H936" s="60"/>
    </row>
    <row r="937" spans="1:8" ht="13.8" thickBot="1">
      <c r="A937" s="23"/>
      <c r="B937" s="23"/>
      <c r="D937" s="23"/>
      <c r="F937" s="45"/>
      <c r="H937" s="60"/>
    </row>
    <row r="938" spans="1:8" ht="13.8" thickBot="1">
      <c r="A938" s="23"/>
      <c r="B938" s="23"/>
      <c r="D938" s="23"/>
      <c r="F938" s="45"/>
      <c r="H938" s="60"/>
    </row>
    <row r="939" spans="1:8" ht="13.8" thickBot="1">
      <c r="A939" s="23"/>
      <c r="B939" s="23"/>
      <c r="D939" s="23"/>
      <c r="F939" s="45"/>
      <c r="H939" s="60"/>
    </row>
    <row r="940" spans="1:8" ht="13.8" thickBot="1">
      <c r="A940" s="23"/>
      <c r="B940" s="23"/>
      <c r="D940" s="23"/>
      <c r="F940" s="45"/>
      <c r="H940" s="60"/>
    </row>
    <row r="941" spans="1:8" ht="13.8" thickBot="1">
      <c r="A941" s="23"/>
      <c r="B941" s="23"/>
      <c r="D941" s="23"/>
      <c r="F941" s="45"/>
      <c r="H941" s="60"/>
    </row>
    <row r="942" spans="1:8" ht="13.8" thickBot="1">
      <c r="A942" s="23"/>
      <c r="B942" s="23"/>
      <c r="D942" s="23"/>
      <c r="F942" s="45"/>
      <c r="H942" s="60"/>
    </row>
    <row r="943" spans="1:8" ht="13.8" thickBot="1">
      <c r="A943" s="23"/>
      <c r="B943" s="23"/>
      <c r="D943" s="23"/>
      <c r="F943" s="45"/>
      <c r="H943" s="60"/>
    </row>
    <row r="944" spans="1:8" ht="13.8" thickBot="1">
      <c r="A944" s="23"/>
      <c r="B944" s="23"/>
      <c r="D944" s="23"/>
      <c r="F944" s="45"/>
      <c r="H944" s="60"/>
    </row>
    <row r="945" spans="1:8" ht="13.8" thickBot="1">
      <c r="A945" s="23"/>
      <c r="B945" s="23"/>
      <c r="D945" s="23"/>
      <c r="F945" s="45"/>
      <c r="H945" s="60"/>
    </row>
    <row r="946" spans="1:8" ht="13.8" thickBot="1">
      <c r="A946" s="23"/>
      <c r="B946" s="23"/>
      <c r="D946" s="23"/>
      <c r="F946" s="45"/>
      <c r="H946" s="60"/>
    </row>
    <row r="947" spans="1:8" ht="13.8" thickBot="1">
      <c r="A947" s="23"/>
      <c r="B947" s="23"/>
      <c r="D947" s="23"/>
      <c r="F947" s="45"/>
      <c r="H947" s="60"/>
    </row>
    <row r="948" spans="1:8" ht="13.8" thickBot="1">
      <c r="A948" s="23"/>
      <c r="B948" s="23"/>
      <c r="D948" s="23"/>
      <c r="F948" s="45"/>
      <c r="H948" s="60"/>
    </row>
    <row r="949" spans="1:8" ht="13.8" thickBot="1">
      <c r="A949" s="23"/>
      <c r="B949" s="23"/>
      <c r="D949" s="23"/>
      <c r="F949" s="45"/>
      <c r="H949" s="60"/>
    </row>
    <row r="950" spans="1:8" ht="13.8" thickBot="1">
      <c r="A950" s="23"/>
      <c r="B950" s="23"/>
      <c r="D950" s="23"/>
      <c r="F950" s="45"/>
      <c r="H950" s="60"/>
    </row>
    <row r="951" spans="1:8" ht="13.8" thickBot="1">
      <c r="A951" s="23"/>
      <c r="B951" s="23"/>
      <c r="D951" s="23"/>
      <c r="F951" s="45"/>
      <c r="H951" s="60"/>
    </row>
    <row r="952" spans="1:8" ht="13.8" thickBot="1">
      <c r="A952" s="23"/>
      <c r="B952" s="23"/>
      <c r="D952" s="23"/>
      <c r="F952" s="45"/>
      <c r="H952" s="60"/>
    </row>
    <row r="953" spans="1:8" ht="13.8" thickBot="1">
      <c r="A953" s="23"/>
      <c r="B953" s="23"/>
      <c r="D953" s="23"/>
      <c r="F953" s="45"/>
      <c r="H953" s="60"/>
    </row>
    <row r="954" spans="1:8" ht="13.8" thickBot="1">
      <c r="A954" s="23"/>
      <c r="B954" s="23"/>
      <c r="D954" s="23"/>
      <c r="F954" s="45"/>
      <c r="H954" s="60"/>
    </row>
    <row r="955" spans="1:8" ht="13.8" thickBot="1">
      <c r="A955" s="23"/>
      <c r="B955" s="23"/>
      <c r="D955" s="23"/>
      <c r="F955" s="45"/>
      <c r="H955" s="60"/>
    </row>
    <row r="956" spans="1:8" ht="13.8" thickBot="1">
      <c r="A956" s="23"/>
      <c r="B956" s="23"/>
      <c r="D956" s="23"/>
      <c r="F956" s="45"/>
      <c r="H956" s="60"/>
    </row>
    <row r="957" spans="1:8" ht="13.8" thickBot="1">
      <c r="A957" s="23"/>
      <c r="B957" s="23"/>
      <c r="D957" s="23"/>
      <c r="F957" s="45"/>
      <c r="H957" s="60"/>
    </row>
    <row r="958" spans="1:8" ht="13.8" thickBot="1">
      <c r="A958" s="23"/>
      <c r="B958" s="23"/>
      <c r="D958" s="23"/>
      <c r="F958" s="45"/>
      <c r="H958" s="60"/>
    </row>
    <row r="959" spans="1:8" ht="13.8" thickBot="1">
      <c r="A959" s="23"/>
      <c r="B959" s="23"/>
      <c r="D959" s="23"/>
      <c r="F959" s="45"/>
      <c r="H959" s="60"/>
    </row>
    <row r="960" spans="1:8" ht="13.8" thickBot="1">
      <c r="A960" s="23"/>
      <c r="B960" s="23"/>
      <c r="D960" s="23"/>
      <c r="F960" s="45"/>
      <c r="H960" s="60"/>
    </row>
    <row r="961" spans="1:8" ht="13.8" thickBot="1">
      <c r="A961" s="23"/>
      <c r="B961" s="23"/>
      <c r="D961" s="23"/>
      <c r="F961" s="45"/>
      <c r="H961" s="60"/>
    </row>
    <row r="962" spans="1:8" ht="13.8" thickBot="1">
      <c r="A962" s="23"/>
      <c r="B962" s="23"/>
      <c r="D962" s="23"/>
      <c r="F962" s="45"/>
      <c r="H962" s="60"/>
    </row>
    <row r="963" spans="1:8" ht="13.8" thickBot="1">
      <c r="A963" s="23"/>
      <c r="B963" s="23"/>
      <c r="D963" s="23"/>
      <c r="F963" s="45"/>
      <c r="H963" s="60"/>
    </row>
    <row r="964" spans="1:8" ht="13.8" thickBot="1">
      <c r="A964" s="23"/>
      <c r="B964" s="23"/>
      <c r="D964" s="23"/>
      <c r="F964" s="45"/>
      <c r="H964" s="60"/>
    </row>
    <row r="965" spans="1:8" ht="13.8" thickBot="1">
      <c r="A965" s="23"/>
      <c r="B965" s="23"/>
      <c r="D965" s="23"/>
      <c r="F965" s="45"/>
      <c r="H965" s="60"/>
    </row>
    <row r="966" spans="1:8" ht="13.8" thickBot="1">
      <c r="A966" s="23"/>
      <c r="B966" s="23"/>
      <c r="D966" s="23"/>
      <c r="F966" s="45"/>
      <c r="H966" s="60"/>
    </row>
    <row r="967" spans="1:8" ht="13.8" thickBot="1">
      <c r="A967" s="23"/>
      <c r="B967" s="23"/>
      <c r="D967" s="23"/>
      <c r="F967" s="45"/>
      <c r="H967" s="60"/>
    </row>
    <row r="968" spans="1:8" ht="13.8" thickBot="1">
      <c r="A968" s="23"/>
      <c r="B968" s="23"/>
      <c r="D968" s="23"/>
      <c r="F968" s="45"/>
      <c r="H968" s="60"/>
    </row>
    <row r="969" spans="1:8" ht="13.8" thickBot="1">
      <c r="A969" s="23"/>
      <c r="B969" s="23"/>
      <c r="D969" s="23"/>
      <c r="F969" s="45"/>
      <c r="H969" s="60"/>
    </row>
    <row r="970" spans="1:8" ht="13.8" thickBot="1">
      <c r="A970" s="23"/>
      <c r="B970" s="23"/>
      <c r="D970" s="23"/>
      <c r="F970" s="45"/>
      <c r="H970" s="60"/>
    </row>
    <row r="971" spans="1:8" ht="13.8" thickBot="1">
      <c r="A971" s="23"/>
      <c r="B971" s="23"/>
      <c r="D971" s="23"/>
      <c r="F971" s="45"/>
      <c r="H971" s="60"/>
    </row>
    <row r="972" spans="1:8" ht="13.8" thickBot="1">
      <c r="A972" s="23"/>
      <c r="B972" s="23"/>
      <c r="D972" s="23"/>
      <c r="F972" s="45"/>
      <c r="H972" s="60"/>
    </row>
    <row r="973" spans="1:8" ht="13.8" thickBot="1">
      <c r="A973" s="23"/>
      <c r="B973" s="23"/>
      <c r="D973" s="23"/>
      <c r="F973" s="45"/>
      <c r="H973" s="60"/>
    </row>
    <row r="974" spans="1:8" ht="13.8" thickBot="1">
      <c r="A974" s="23"/>
      <c r="B974" s="23"/>
      <c r="D974" s="23"/>
      <c r="F974" s="45"/>
      <c r="H974" s="60"/>
    </row>
    <row r="975" spans="1:8" ht="13.8" thickBot="1">
      <c r="A975" s="23"/>
      <c r="B975" s="23"/>
      <c r="D975" s="23"/>
      <c r="F975" s="45"/>
      <c r="H975" s="60"/>
    </row>
    <row r="976" spans="1:8" ht="13.8" thickBot="1">
      <c r="A976" s="23"/>
      <c r="B976" s="23"/>
      <c r="D976" s="23"/>
      <c r="F976" s="45"/>
      <c r="H976" s="60"/>
    </row>
    <row r="977" spans="1:8" ht="13.8" thickBot="1">
      <c r="A977" s="23"/>
      <c r="B977" s="23"/>
      <c r="D977" s="23"/>
      <c r="F977" s="45"/>
      <c r="H977" s="60"/>
    </row>
    <row r="978" spans="1:8" ht="13.8" thickBot="1">
      <c r="A978" s="23"/>
      <c r="B978" s="23"/>
      <c r="D978" s="23"/>
      <c r="F978" s="45"/>
      <c r="H978" s="60"/>
    </row>
    <row r="979" spans="1:8" ht="13.8" thickBot="1">
      <c r="A979" s="23"/>
      <c r="B979" s="23"/>
      <c r="D979" s="23"/>
      <c r="F979" s="45"/>
      <c r="H979" s="60"/>
    </row>
    <row r="980" spans="1:8" ht="13.8" thickBot="1">
      <c r="A980" s="23"/>
      <c r="B980" s="23"/>
      <c r="D980" s="23"/>
      <c r="F980" s="45"/>
      <c r="H980" s="60"/>
    </row>
    <row r="981" spans="1:8" ht="13.8" thickBot="1">
      <c r="A981" s="23"/>
      <c r="B981" s="23"/>
      <c r="D981" s="23"/>
      <c r="F981" s="45"/>
      <c r="H981" s="60"/>
    </row>
    <row r="982" spans="1:8" ht="13.8" thickBot="1">
      <c r="A982" s="23"/>
      <c r="B982" s="23"/>
      <c r="D982" s="23"/>
      <c r="F982" s="45"/>
      <c r="H982" s="60"/>
    </row>
    <row r="983" spans="1:8" ht="13.8" thickBot="1">
      <c r="A983" s="23"/>
      <c r="B983" s="23"/>
      <c r="D983" s="23"/>
      <c r="F983" s="45"/>
      <c r="H983" s="60"/>
    </row>
    <row r="984" spans="1:8" ht="13.8" thickBot="1">
      <c r="A984" s="23"/>
      <c r="B984" s="23"/>
      <c r="D984" s="23"/>
      <c r="F984" s="45"/>
      <c r="H984" s="60"/>
    </row>
    <row r="985" spans="1:8" ht="13.8" thickBot="1">
      <c r="A985" s="23"/>
      <c r="B985" s="23"/>
      <c r="D985" s="23"/>
      <c r="F985" s="45"/>
      <c r="H985" s="60"/>
    </row>
    <row r="986" spans="1:8" ht="13.8" thickBot="1">
      <c r="A986" s="23"/>
      <c r="B986" s="23"/>
      <c r="D986" s="23"/>
      <c r="F986" s="45"/>
      <c r="H986" s="60"/>
    </row>
    <row r="987" spans="1:8" ht="13.8" thickBot="1">
      <c r="A987" s="23"/>
      <c r="B987" s="23"/>
      <c r="D987" s="23"/>
      <c r="F987" s="45"/>
      <c r="H987" s="60"/>
    </row>
    <row r="988" spans="1:8" ht="13.8" thickBot="1">
      <c r="A988" s="23"/>
      <c r="B988" s="23"/>
      <c r="D988" s="23"/>
      <c r="F988" s="45"/>
      <c r="H988" s="60"/>
    </row>
    <row r="989" spans="1:8" ht="13.8" thickBot="1">
      <c r="A989" s="23"/>
      <c r="B989" s="23"/>
      <c r="D989" s="23"/>
      <c r="F989" s="45"/>
      <c r="H989" s="60"/>
    </row>
    <row r="990" spans="1:8" ht="13.8" thickBot="1">
      <c r="A990" s="23"/>
      <c r="B990" s="23"/>
      <c r="D990" s="23"/>
      <c r="F990" s="45"/>
      <c r="H990" s="60"/>
    </row>
    <row r="991" spans="1:8" ht="13.8" thickBot="1">
      <c r="A991" s="23"/>
      <c r="B991" s="23"/>
      <c r="D991" s="23"/>
      <c r="F991" s="45"/>
      <c r="H991" s="60"/>
    </row>
    <row r="992" spans="1:8" ht="13.8" thickBot="1">
      <c r="A992" s="23"/>
      <c r="B992" s="23"/>
      <c r="D992" s="23"/>
      <c r="F992" s="45"/>
      <c r="H992" s="60"/>
    </row>
    <row r="993" spans="1:8" ht="13.8" thickBot="1">
      <c r="A993" s="23"/>
      <c r="B993" s="23"/>
      <c r="D993" s="23"/>
      <c r="F993" s="45"/>
      <c r="H993" s="60"/>
    </row>
    <row r="994" spans="1:8" ht="13.8" thickBot="1">
      <c r="A994" s="23"/>
      <c r="B994" s="23"/>
      <c r="D994" s="23"/>
      <c r="F994" s="45"/>
      <c r="H994" s="60"/>
    </row>
    <row r="995" spans="1:8" ht="13.8" thickBot="1">
      <c r="A995" s="23"/>
      <c r="B995" s="23"/>
      <c r="D995" s="23"/>
      <c r="F995" s="45"/>
      <c r="H995" s="60"/>
    </row>
    <row r="996" spans="1:8" ht="13.8" thickBot="1">
      <c r="A996" s="23"/>
      <c r="B996" s="23"/>
      <c r="D996" s="23"/>
      <c r="F996" s="45"/>
      <c r="H996" s="60"/>
    </row>
    <row r="997" spans="1:8" ht="13.8" thickBot="1">
      <c r="A997" s="23"/>
      <c r="B997" s="23"/>
      <c r="D997" s="23"/>
      <c r="F997" s="45"/>
      <c r="H997" s="60"/>
    </row>
    <row r="998" spans="1:8" ht="13.8" thickBot="1">
      <c r="A998" s="23"/>
      <c r="B998" s="23"/>
      <c r="D998" s="23"/>
      <c r="F998" s="45"/>
      <c r="H998" s="60"/>
    </row>
    <row r="999" spans="1:8" ht="13.8" thickBot="1">
      <c r="A999" s="23"/>
      <c r="B999" s="23"/>
      <c r="D999" s="23"/>
      <c r="F999" s="45"/>
      <c r="H999" s="60"/>
    </row>
    <row r="1000" spans="1:8" ht="13.8" thickBot="1">
      <c r="A1000" s="23"/>
      <c r="B1000" s="23"/>
      <c r="D1000" s="23"/>
      <c r="F1000" s="45"/>
      <c r="H1000" s="60"/>
    </row>
    <row r="1001" spans="1:8" ht="13.8" thickBot="1">
      <c r="A1001" s="23"/>
      <c r="B1001" s="23"/>
      <c r="D1001" s="23"/>
      <c r="F1001" s="45"/>
      <c r="H1001" s="60"/>
    </row>
    <row r="1002" spans="1:8" ht="13.8" thickBot="1">
      <c r="B1002" s="23"/>
      <c r="D1002" s="23"/>
      <c r="F1002" s="45"/>
      <c r="H1002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1002"/>
  <sheetViews>
    <sheetView tabSelected="1" topLeftCell="H1" workbookViewId="0">
      <selection activeCell="T1" sqref="T1"/>
    </sheetView>
  </sheetViews>
  <sheetFormatPr defaultColWidth="12.6640625" defaultRowHeight="15.75" customHeight="1"/>
  <cols>
    <col min="3" max="3" width="16.21875" customWidth="1"/>
    <col min="5" max="5" width="14.44140625" customWidth="1"/>
    <col min="14" max="14" width="15.21875" customWidth="1"/>
    <col min="21" max="24" width="14.88671875" customWidth="1"/>
  </cols>
  <sheetData>
    <row r="1" spans="1:34" ht="14.4" thickBot="1">
      <c r="A1" s="32" t="s">
        <v>0</v>
      </c>
      <c r="B1" s="33" t="s">
        <v>54</v>
      </c>
      <c r="C1" s="5" t="s">
        <v>55</v>
      </c>
      <c r="D1" s="23" t="s">
        <v>56</v>
      </c>
      <c r="E1" s="5" t="s">
        <v>57</v>
      </c>
      <c r="F1" s="23" t="s">
        <v>58</v>
      </c>
      <c r="H1" s="23" t="s">
        <v>59</v>
      </c>
      <c r="I1" s="5" t="s">
        <v>60</v>
      </c>
      <c r="K1" s="5" t="s">
        <v>61</v>
      </c>
      <c r="L1" s="34" t="s">
        <v>62</v>
      </c>
      <c r="M1" s="5" t="s">
        <v>63</v>
      </c>
      <c r="N1" s="23" t="s">
        <v>64</v>
      </c>
      <c r="P1" s="5" t="s">
        <v>65</v>
      </c>
      <c r="Q1" s="5" t="s">
        <v>66</v>
      </c>
      <c r="R1" s="23" t="s">
        <v>67</v>
      </c>
      <c r="T1" s="61" t="s">
        <v>62</v>
      </c>
      <c r="U1" s="5" t="s">
        <v>69</v>
      </c>
      <c r="V1" s="58" t="s">
        <v>82</v>
      </c>
      <c r="W1" s="4" t="s">
        <v>83</v>
      </c>
      <c r="X1" s="5"/>
    </row>
    <row r="2" spans="1:34" ht="13.8" thickBot="1">
      <c r="A2" s="6">
        <v>45443</v>
      </c>
      <c r="B2" s="35">
        <v>657.52838134765602</v>
      </c>
      <c r="D2" s="24">
        <v>94.339401245117188</v>
      </c>
      <c r="F2" s="24">
        <v>381.16000366210938</v>
      </c>
      <c r="H2" s="36">
        <v>77.769599914550696</v>
      </c>
      <c r="J2" s="35"/>
      <c r="L2" s="36">
        <v>132.43699645996</v>
      </c>
      <c r="N2" s="24">
        <v>89.448097229003906</v>
      </c>
      <c r="P2" s="36">
        <v>16.490999221801701</v>
      </c>
      <c r="R2" s="24">
        <v>46.218284606933594</v>
      </c>
      <c r="T2" s="62">
        <v>132.43699649999999</v>
      </c>
      <c r="V2" s="59">
        <v>40.373001100000003</v>
      </c>
    </row>
    <row r="3" spans="1:34" ht="13.8" thickBot="1">
      <c r="A3" s="12">
        <v>45446</v>
      </c>
      <c r="B3" s="35">
        <v>667.13879394531205</v>
      </c>
      <c r="C3" s="5">
        <f t="shared" ref="C3:C247" si="0">LN(B3/B2)</f>
        <v>1.4510182475003873E-2</v>
      </c>
      <c r="D3" s="24">
        <v>96.867599487304688</v>
      </c>
      <c r="E3" s="5">
        <f t="shared" ref="E3:E247" si="1">LN(D3/D2)</f>
        <v>2.6446161306746853E-2</v>
      </c>
      <c r="F3" s="24">
        <v>392.70181274414063</v>
      </c>
      <c r="G3" s="5">
        <f t="shared" ref="G3:G247" si="2">LN(F3/F2)</f>
        <v>2.9831333589775723E-2</v>
      </c>
      <c r="H3" s="36">
        <v>79.357398986816406</v>
      </c>
      <c r="I3" s="5">
        <f t="shared" ref="I3:I246" si="3">LN(H3/H2)</f>
        <v>2.0211079352409927E-2</v>
      </c>
      <c r="J3" s="35"/>
      <c r="K3" s="5" t="e">
        <f t="shared" ref="K3:K247" si="4">LN(J3/J2)</f>
        <v>#DIV/0!</v>
      </c>
      <c r="L3" s="36">
        <v>136.40199279785099</v>
      </c>
      <c r="M3" s="5">
        <f t="shared" ref="M3:M247" si="5">LN(L3/L2)</f>
        <v>2.9499321331896797E-2</v>
      </c>
      <c r="N3" s="24">
        <v>92.427101135253906</v>
      </c>
      <c r="O3" s="5">
        <f t="shared" ref="O3:O247" si="6">LN(N3/N2)</f>
        <v>3.2761700138898078E-2</v>
      </c>
      <c r="P3" s="36">
        <v>16.9930000305175</v>
      </c>
      <c r="Q3" s="5">
        <f t="shared" ref="Q3:Q247" si="7">LN(P3/P2)</f>
        <v>2.9986765990495864E-2</v>
      </c>
      <c r="R3" s="24">
        <v>47.401767730712891</v>
      </c>
      <c r="S3" s="5">
        <f t="shared" ref="S3:S247" si="8">LN(R3/R2)</f>
        <v>2.5284031398556527E-2</v>
      </c>
      <c r="T3" s="62">
        <v>136.40199279999999</v>
      </c>
      <c r="U3" s="5">
        <f>LN(T3/T2)</f>
        <v>2.9499321045319334E-2</v>
      </c>
      <c r="V3" s="59">
        <v>41.111999509999997</v>
      </c>
      <c r="W3" s="5">
        <f t="shared" ref="V3:W3" si="9">LN(V3/V2)</f>
        <v>1.8138765813158705E-2</v>
      </c>
      <c r="X3" s="5"/>
    </row>
    <row r="4" spans="1:34" ht="13.8" thickBot="1">
      <c r="A4" s="12">
        <v>45447</v>
      </c>
      <c r="B4" s="35">
        <v>646.87579345703102</v>
      </c>
      <c r="C4" s="5">
        <f t="shared" si="0"/>
        <v>-3.0843808089860914E-2</v>
      </c>
      <c r="D4" s="24">
        <v>91.740303039550781</v>
      </c>
      <c r="E4" s="5">
        <f t="shared" si="1"/>
        <v>-5.4383299959367019E-2</v>
      </c>
      <c r="F4" s="24">
        <v>366.81500244140625</v>
      </c>
      <c r="G4" s="5">
        <f t="shared" si="2"/>
        <v>-6.8192937255428382E-2</v>
      </c>
      <c r="H4" s="36">
        <v>76.033798217773395</v>
      </c>
      <c r="I4" s="5">
        <f t="shared" si="3"/>
        <v>-4.2783732753412088E-2</v>
      </c>
      <c r="J4" s="35"/>
      <c r="K4" s="5" t="e">
        <f t="shared" si="4"/>
        <v>#DIV/0!</v>
      </c>
      <c r="L4" s="36">
        <v>127.379997253417</v>
      </c>
      <c r="M4" s="5">
        <f t="shared" si="5"/>
        <v>-6.843163187645844E-2</v>
      </c>
      <c r="N4" s="24">
        <v>86.30419921875</v>
      </c>
      <c r="O4" s="5">
        <f t="shared" si="6"/>
        <v>-6.854198268046266E-2</v>
      </c>
      <c r="P4" s="36">
        <v>16.089000701904201</v>
      </c>
      <c r="Q4" s="5">
        <f t="shared" si="7"/>
        <v>-5.4665644052617098E-2</v>
      </c>
      <c r="R4" s="24">
        <v>44.255455017089844</v>
      </c>
      <c r="S4" s="5">
        <f t="shared" si="8"/>
        <v>-6.8680880824231627E-2</v>
      </c>
      <c r="T4" s="62">
        <v>127.3799973</v>
      </c>
      <c r="U4" s="5">
        <f>LN(T4/T3)</f>
        <v>-6.8431631526512243E-2</v>
      </c>
      <c r="V4" s="59">
        <v>38.5</v>
      </c>
      <c r="W4" s="5">
        <f t="shared" ref="V4:W4" si="10">LN(V4/V3)</f>
        <v>-6.5641796477528616E-2</v>
      </c>
      <c r="X4" s="5"/>
    </row>
    <row r="5" spans="1:34" ht="13.8" thickBot="1">
      <c r="A5" s="12">
        <v>45448</v>
      </c>
      <c r="B5" s="35">
        <v>660.18817138671795</v>
      </c>
      <c r="C5" s="5">
        <f t="shared" si="0"/>
        <v>2.0370599493333821E-2</v>
      </c>
      <c r="D5" s="24">
        <v>96.496902465820313</v>
      </c>
      <c r="E5" s="5">
        <f t="shared" si="1"/>
        <v>5.0549116622989304E-2</v>
      </c>
      <c r="F5" s="24">
        <v>378.83590698242188</v>
      </c>
      <c r="G5" s="5">
        <f t="shared" si="2"/>
        <v>3.2245507797635596E-2</v>
      </c>
      <c r="H5" s="36">
        <v>78.089599609375</v>
      </c>
      <c r="I5" s="5">
        <f t="shared" si="3"/>
        <v>2.6678925542016937E-2</v>
      </c>
      <c r="J5" s="35"/>
      <c r="K5" s="5" t="e">
        <f t="shared" si="4"/>
        <v>#DIV/0!</v>
      </c>
      <c r="L5" s="36">
        <v>131.83099365234301</v>
      </c>
      <c r="M5" s="5">
        <f t="shared" si="5"/>
        <v>3.4346027736866867E-2</v>
      </c>
      <c r="N5" s="24">
        <v>89.117202758789063</v>
      </c>
      <c r="O5" s="5">
        <f t="shared" si="6"/>
        <v>3.2074133037840388E-2</v>
      </c>
      <c r="P5" s="36">
        <v>16.625</v>
      </c>
      <c r="Q5" s="5">
        <f t="shared" si="7"/>
        <v>3.2771734246679972E-2</v>
      </c>
      <c r="R5" s="24">
        <v>46.046501159667969</v>
      </c>
      <c r="S5" s="5">
        <f t="shared" si="8"/>
        <v>3.9673139576153017E-2</v>
      </c>
      <c r="T5" s="62">
        <v>131.83099369999999</v>
      </c>
      <c r="U5" s="5">
        <f>LN(T5/T4)</f>
        <v>3.434602773266645E-2</v>
      </c>
      <c r="V5" s="59">
        <v>39.772998809999997</v>
      </c>
      <c r="W5" s="5">
        <f t="shared" ref="V5:W5" si="11">LN(V5/V4)</f>
        <v>3.253001890511182E-2</v>
      </c>
      <c r="X5" s="5"/>
      <c r="Z5" s="5" t="s">
        <v>70</v>
      </c>
      <c r="AA5" s="5" t="s">
        <v>71</v>
      </c>
      <c r="AC5" s="5" t="s">
        <v>72</v>
      </c>
    </row>
    <row r="6" spans="1:34" ht="13.8" thickBot="1">
      <c r="A6" s="12">
        <v>45449</v>
      </c>
      <c r="B6" s="35">
        <v>665.17028808593705</v>
      </c>
      <c r="C6" s="5">
        <f t="shared" si="0"/>
        <v>7.5181776380594239E-3</v>
      </c>
      <c r="D6" s="24">
        <v>98.37359619140625</v>
      </c>
      <c r="E6" s="5">
        <f t="shared" si="1"/>
        <v>1.9261527632778205E-2</v>
      </c>
      <c r="F6" s="24">
        <v>385.25689697265625</v>
      </c>
      <c r="G6" s="5">
        <f t="shared" si="2"/>
        <v>1.6807228409837723E-2</v>
      </c>
      <c r="H6" s="36">
        <v>78.815498352050696</v>
      </c>
      <c r="I6" s="5">
        <f t="shared" si="3"/>
        <v>9.2527767550796853E-3</v>
      </c>
      <c r="J6" s="35"/>
      <c r="K6" s="5" t="e">
        <f t="shared" si="4"/>
        <v>#DIV/0!</v>
      </c>
      <c r="L6" s="36">
        <v>134.85499572753901</v>
      </c>
      <c r="M6" s="5">
        <f t="shared" si="5"/>
        <v>2.2679344333580573E-2</v>
      </c>
      <c r="N6" s="24">
        <v>90.126701354980469</v>
      </c>
      <c r="O6" s="5">
        <f t="shared" si="6"/>
        <v>1.1264084822211419E-2</v>
      </c>
      <c r="P6" s="36">
        <v>16.768999099731399</v>
      </c>
      <c r="Q6" s="5">
        <f t="shared" si="7"/>
        <v>8.6243035365721303E-3</v>
      </c>
      <c r="R6" s="24">
        <v>46.8629150390625</v>
      </c>
      <c r="S6" s="5">
        <f t="shared" si="8"/>
        <v>1.7574857896770615E-2</v>
      </c>
      <c r="T6" s="62">
        <v>134.85499569999999</v>
      </c>
      <c r="U6" s="5">
        <f>LN(T6/T5)</f>
        <v>2.2679343767867843E-2</v>
      </c>
      <c r="V6" s="59">
        <v>40.761001589999999</v>
      </c>
      <c r="W6" s="5">
        <f t="shared" ref="V6:W6" si="12">LN(V6/V5)</f>
        <v>2.4537520719320294E-2</v>
      </c>
      <c r="X6" s="5"/>
      <c r="Z6" s="5">
        <f>C251</f>
        <v>0.13764899029097766</v>
      </c>
      <c r="AA6" s="5">
        <v>0.9230011683212348</v>
      </c>
      <c r="AC6" s="5">
        <f>Z6*AA6</f>
        <v>0.12705017885681069</v>
      </c>
    </row>
    <row r="7" spans="1:34" ht="13.8" thickBot="1">
      <c r="A7" s="12">
        <v>45450</v>
      </c>
      <c r="B7" s="35">
        <v>670.51708984375</v>
      </c>
      <c r="C7" s="5">
        <f t="shared" si="0"/>
        <v>8.0061104207248095E-3</v>
      </c>
      <c r="D7" s="24">
        <v>100.22830200195313</v>
      </c>
      <c r="E7" s="5">
        <f t="shared" si="1"/>
        <v>1.8678167214390973E-2</v>
      </c>
      <c r="F7" s="24">
        <v>391.327392578125</v>
      </c>
      <c r="G7" s="5">
        <f t="shared" si="2"/>
        <v>1.5634154169620655E-2</v>
      </c>
      <c r="H7" s="36">
        <v>79.765296936035099</v>
      </c>
      <c r="I7" s="5">
        <f t="shared" si="3"/>
        <v>1.1978877262223233E-2</v>
      </c>
      <c r="J7" s="35"/>
      <c r="K7" s="5" t="e">
        <f t="shared" si="4"/>
        <v>#DIV/0!</v>
      </c>
      <c r="L7" s="36">
        <v>136.76400756835901</v>
      </c>
      <c r="M7" s="5">
        <f t="shared" si="5"/>
        <v>1.4056772548875685E-2</v>
      </c>
      <c r="N7" s="24">
        <v>91.856201171875</v>
      </c>
      <c r="O7" s="5">
        <f t="shared" si="6"/>
        <v>1.9007850349551554E-2</v>
      </c>
      <c r="P7" s="36">
        <v>17.096000671386701</v>
      </c>
      <c r="Q7" s="5">
        <f t="shared" si="7"/>
        <v>1.931266720992228E-2</v>
      </c>
      <c r="R7" s="24">
        <v>47.467765808105469</v>
      </c>
      <c r="S7" s="5">
        <f t="shared" si="8"/>
        <v>1.2824227560086473E-2</v>
      </c>
      <c r="T7" s="62">
        <v>136.76400760000001</v>
      </c>
      <c r="U7" s="5">
        <f>LN(T7/T6)</f>
        <v>1.4056772984442656E-2</v>
      </c>
      <c r="V7" s="59">
        <v>41.707000729999997</v>
      </c>
      <c r="W7" s="5">
        <f t="shared" ref="V7:W7" si="13">LN(V7/V6)</f>
        <v>2.2943217009204743E-2</v>
      </c>
      <c r="X7" s="5"/>
      <c r="Z7" s="5">
        <f>E251</f>
        <v>0.21559877155901619</v>
      </c>
      <c r="AA7" s="5">
        <v>2.6193271690816512E-2</v>
      </c>
      <c r="AC7" s="5">
        <f t="shared" ref="AC7:AC8" si="14">Z7*AA7</f>
        <v>5.647237199651595E-3</v>
      </c>
    </row>
    <row r="8" spans="1:34" ht="13.8" thickBot="1">
      <c r="A8" s="13">
        <v>45453</v>
      </c>
      <c r="B8" s="35">
        <v>671.83197021484295</v>
      </c>
      <c r="C8" s="5">
        <f t="shared" si="0"/>
        <v>1.9590743283644557E-3</v>
      </c>
      <c r="D8" s="24">
        <v>99.856399536132813</v>
      </c>
      <c r="E8" s="5">
        <f t="shared" si="1"/>
        <v>-3.7174545705147585E-3</v>
      </c>
      <c r="F8" s="24">
        <v>393.0845947265625</v>
      </c>
      <c r="G8" s="5">
        <f t="shared" si="2"/>
        <v>4.4803116634219578E-3</v>
      </c>
      <c r="H8" s="36">
        <v>80.150001525878906</v>
      </c>
      <c r="I8" s="5">
        <f t="shared" si="3"/>
        <v>4.8113637116393108E-3</v>
      </c>
      <c r="J8" s="35"/>
      <c r="K8" s="5" t="e">
        <f t="shared" si="4"/>
        <v>#DIV/0!</v>
      </c>
      <c r="L8" s="36">
        <v>137.64300537109301</v>
      </c>
      <c r="M8" s="5">
        <f t="shared" si="5"/>
        <v>6.4065477027780383E-3</v>
      </c>
      <c r="N8" s="24">
        <v>92.009696960449219</v>
      </c>
      <c r="O8" s="5">
        <f t="shared" si="6"/>
        <v>1.6696497370325605E-3</v>
      </c>
      <c r="P8" s="36">
        <v>17.100000381469702</v>
      </c>
      <c r="Q8" s="5">
        <f t="shared" si="7"/>
        <v>2.3392852837136513E-4</v>
      </c>
      <c r="R8" s="24">
        <v>47.729057312011719</v>
      </c>
      <c r="S8" s="5">
        <f t="shared" si="8"/>
        <v>5.4895142822035062E-3</v>
      </c>
      <c r="T8" s="62">
        <v>137.64300539999999</v>
      </c>
      <c r="U8" s="5">
        <f>LN(T8/T7)</f>
        <v>6.4065476814372671E-3</v>
      </c>
      <c r="V8" s="59">
        <v>42.187999730000001</v>
      </c>
      <c r="W8" s="5">
        <f t="shared" ref="V8:W8" si="15">LN(V8/V7)</f>
        <v>1.1466816087068244E-2</v>
      </c>
      <c r="X8" s="5"/>
      <c r="Z8" s="5">
        <f>I251</f>
        <v>0.16166850642599195</v>
      </c>
      <c r="AA8" s="5">
        <v>3.7487906761496839E-2</v>
      </c>
      <c r="AC8" s="5">
        <f t="shared" si="14"/>
        <v>6.0606138951680389E-3</v>
      </c>
    </row>
    <row r="9" spans="1:34" ht="13.8" thickBot="1">
      <c r="A9" s="13">
        <v>45454</v>
      </c>
      <c r="B9" s="35">
        <v>671.77947998046795</v>
      </c>
      <c r="C9" s="5">
        <f t="shared" si="0"/>
        <v>-7.8133056091602912E-5</v>
      </c>
      <c r="D9" s="24">
        <v>100.69300079345703</v>
      </c>
      <c r="E9" s="5">
        <f t="shared" si="1"/>
        <v>8.343142475525301E-3</v>
      </c>
      <c r="F9" s="24">
        <v>395.53158569335938</v>
      </c>
      <c r="G9" s="5">
        <f t="shared" si="2"/>
        <v>6.2058042448478908E-3</v>
      </c>
      <c r="H9" s="36">
        <v>80.258598327636705</v>
      </c>
      <c r="I9" s="5">
        <f t="shared" si="3"/>
        <v>1.3540024468520337E-3</v>
      </c>
      <c r="J9" s="35"/>
      <c r="K9" s="5" t="e">
        <f t="shared" si="4"/>
        <v>#DIV/0!</v>
      </c>
      <c r="L9" s="36">
        <v>138.80499267578099</v>
      </c>
      <c r="M9" s="5">
        <f t="shared" si="5"/>
        <v>8.4066020091959244E-3</v>
      </c>
      <c r="N9" s="24">
        <v>92.120597839355469</v>
      </c>
      <c r="O9" s="5">
        <f t="shared" si="6"/>
        <v>1.2045914816676574E-3</v>
      </c>
      <c r="P9" s="36">
        <v>17.113000869750898</v>
      </c>
      <c r="Q9" s="5">
        <f t="shared" si="7"/>
        <v>7.5997360251723266E-4</v>
      </c>
      <c r="R9" s="24">
        <v>47.847496032714844</v>
      </c>
      <c r="S9" s="5">
        <f t="shared" si="8"/>
        <v>2.4784066213759718E-3</v>
      </c>
      <c r="T9" s="62">
        <v>138.80499270000001</v>
      </c>
      <c r="U9" s="5">
        <f>LN(T9/T8)</f>
        <v>8.4066019736641039E-3</v>
      </c>
      <c r="V9" s="59">
        <v>42.355998990000003</v>
      </c>
      <c r="W9" s="5">
        <f t="shared" ref="V9:W9" si="16">LN(V9/V8)</f>
        <v>3.9742497082640082E-3</v>
      </c>
      <c r="X9" s="5"/>
      <c r="Z9" s="5">
        <f>U251</f>
        <v>0.13250107544002288</v>
      </c>
      <c r="AA9" s="5">
        <v>1.3317653226451669E-2</v>
      </c>
      <c r="AC9" s="5">
        <f>Z9*AA9</f>
        <v>1.7646033748421365E-3</v>
      </c>
    </row>
    <row r="10" spans="1:34" ht="13.8" thickBot="1">
      <c r="A10" s="13">
        <v>45455</v>
      </c>
      <c r="B10" s="35">
        <v>673.66107177734295</v>
      </c>
      <c r="C10" s="5">
        <f t="shared" si="0"/>
        <v>2.7969916932904853E-3</v>
      </c>
      <c r="D10" s="24">
        <v>101.427001953125</v>
      </c>
      <c r="E10" s="5">
        <f t="shared" si="1"/>
        <v>7.2630553765912756E-3</v>
      </c>
      <c r="F10" s="24">
        <v>397.83871459960938</v>
      </c>
      <c r="G10" s="5">
        <f t="shared" si="2"/>
        <v>5.8160367456678548E-3</v>
      </c>
      <c r="H10" s="36">
        <v>80.744796752929602</v>
      </c>
      <c r="I10" s="5">
        <f t="shared" si="3"/>
        <v>6.0396229902135662E-3</v>
      </c>
      <c r="J10" s="35"/>
      <c r="K10" s="5" t="e">
        <f t="shared" si="4"/>
        <v>#DIV/0!</v>
      </c>
      <c r="L10" s="36">
        <v>140.30799865722599</v>
      </c>
      <c r="M10" s="5">
        <f t="shared" si="5"/>
        <v>1.0769978870207619E-2</v>
      </c>
      <c r="N10" s="24">
        <v>92.561203002929688</v>
      </c>
      <c r="O10" s="5">
        <f t="shared" si="6"/>
        <v>4.7715150872001772E-3</v>
      </c>
      <c r="P10" s="36">
        <v>17.156000137329102</v>
      </c>
      <c r="Q10" s="5">
        <f t="shared" si="7"/>
        <v>2.5095152400603747E-3</v>
      </c>
      <c r="R10" s="24">
        <v>48.325771331787109</v>
      </c>
      <c r="S10" s="5">
        <f t="shared" si="8"/>
        <v>9.9461992927827331E-3</v>
      </c>
      <c r="T10" s="62">
        <v>140.30799870000001</v>
      </c>
      <c r="U10" s="5">
        <f>LN(T10/T9)</f>
        <v>1.0769979000583137E-2</v>
      </c>
      <c r="V10" s="59">
        <v>42.682998660000003</v>
      </c>
      <c r="W10" s="5">
        <f t="shared" ref="V10:W10" si="17">LN(V10/V9)</f>
        <v>7.69061938055685E-3</v>
      </c>
      <c r="X10" s="5"/>
      <c r="AA10">
        <f>SUM(AA6:AA9)</f>
        <v>0.99999999999999978</v>
      </c>
    </row>
    <row r="11" spans="1:34" ht="13.8" thickBot="1">
      <c r="A11" s="13">
        <v>45456</v>
      </c>
      <c r="B11" s="35">
        <v>674.055908203125</v>
      </c>
      <c r="C11" s="5">
        <f t="shared" si="0"/>
        <v>5.8593375752231047E-4</v>
      </c>
      <c r="D11" s="24">
        <v>102.35379791259766</v>
      </c>
      <c r="E11" s="5">
        <f t="shared" si="1"/>
        <v>9.0960713690194563E-3</v>
      </c>
      <c r="F11" s="24">
        <v>398.77880859375</v>
      </c>
      <c r="G11" s="5">
        <f t="shared" si="2"/>
        <v>2.3602152932329984E-3</v>
      </c>
      <c r="H11" s="36">
        <v>80.583900451660099</v>
      </c>
      <c r="I11" s="5">
        <f t="shared" si="3"/>
        <v>-1.9946402270947213E-3</v>
      </c>
      <c r="J11" s="35"/>
      <c r="K11" s="5" t="e">
        <f t="shared" si="4"/>
        <v>#DIV/0!</v>
      </c>
      <c r="L11" s="36">
        <v>141.68600463867099</v>
      </c>
      <c r="M11" s="5">
        <f t="shared" si="5"/>
        <v>9.7733776897674218E-3</v>
      </c>
      <c r="N11" s="24">
        <v>93.040000915527344</v>
      </c>
      <c r="O11" s="5">
        <f t="shared" si="6"/>
        <v>5.1594382430089764E-3</v>
      </c>
      <c r="P11" s="36">
        <v>17.212999343871999</v>
      </c>
      <c r="Q11" s="5">
        <f t="shared" si="7"/>
        <v>3.3168995118401643E-3</v>
      </c>
      <c r="R11" s="24">
        <v>48.823936462402344</v>
      </c>
      <c r="S11" s="5">
        <f t="shared" si="8"/>
        <v>1.0255707573740364E-2</v>
      </c>
      <c r="T11" s="62">
        <v>141.68600459999999</v>
      </c>
      <c r="U11" s="5">
        <f>LN(T11/T10)</f>
        <v>9.7733771119748181E-3</v>
      </c>
      <c r="V11" s="59">
        <v>43.109001159999998</v>
      </c>
      <c r="W11" s="5">
        <f t="shared" ref="V11:W11" si="18">LN(V11/V10)</f>
        <v>9.931135821134203E-3</v>
      </c>
      <c r="X11" s="5"/>
      <c r="AB11" s="5" t="s">
        <v>29</v>
      </c>
      <c r="AC11" s="5">
        <f>SUM(AC6:AC9)</f>
        <v>0.14052263332647247</v>
      </c>
    </row>
    <row r="12" spans="1:34" ht="13.8" thickBot="1">
      <c r="A12" s="13">
        <v>45457</v>
      </c>
      <c r="B12" s="35">
        <v>675.92437744140602</v>
      </c>
      <c r="C12" s="5">
        <f t="shared" si="0"/>
        <v>2.768144766653058E-3</v>
      </c>
      <c r="D12" s="24">
        <v>103.63120269775391</v>
      </c>
      <c r="E12" s="5">
        <f t="shared" si="1"/>
        <v>1.2403050291974064E-2</v>
      </c>
      <c r="F12" s="24">
        <v>401.07769775390625</v>
      </c>
      <c r="G12" s="5">
        <f t="shared" si="2"/>
        <v>5.7482697759311399E-3</v>
      </c>
      <c r="H12" s="36">
        <v>80.759803771972599</v>
      </c>
      <c r="I12" s="5">
        <f t="shared" si="3"/>
        <v>2.1804803708108883E-3</v>
      </c>
      <c r="J12" s="35"/>
      <c r="K12" s="5" t="e">
        <f t="shared" si="4"/>
        <v>#DIV/0!</v>
      </c>
      <c r="L12" s="36">
        <v>143.55499267578099</v>
      </c>
      <c r="M12" s="5">
        <f t="shared" si="5"/>
        <v>1.3104811737128704E-2</v>
      </c>
      <c r="N12" s="24">
        <v>93.656700134277344</v>
      </c>
      <c r="O12" s="5">
        <f t="shared" si="6"/>
        <v>6.6064526933602118E-3</v>
      </c>
      <c r="P12" s="36">
        <v>17.260999679565401</v>
      </c>
      <c r="Q12" s="5">
        <f t="shared" si="7"/>
        <v>2.784728669269538E-3</v>
      </c>
      <c r="R12" s="24">
        <v>49.470378875732422</v>
      </c>
      <c r="S12" s="5">
        <f t="shared" si="8"/>
        <v>1.3153390025716263E-2</v>
      </c>
      <c r="T12" s="62">
        <v>143.55499270000001</v>
      </c>
      <c r="U12" s="5">
        <f>LN(T12/T11)</f>
        <v>1.3104812178772133E-2</v>
      </c>
      <c r="V12" s="59">
        <v>43.321998600000001</v>
      </c>
      <c r="W12" s="5">
        <f t="shared" ref="V12:W12" si="19">LN(V12/V11)</f>
        <v>4.928737878242816E-3</v>
      </c>
      <c r="X12" s="5"/>
    </row>
    <row r="13" spans="1:34" ht="13.8" thickBot="1">
      <c r="A13" s="13">
        <v>45461</v>
      </c>
      <c r="B13" s="35">
        <v>676.56298828125</v>
      </c>
      <c r="C13" s="5">
        <f t="shared" si="0"/>
        <v>9.4435024457619062E-4</v>
      </c>
      <c r="D13" s="24">
        <v>105.32240295410156</v>
      </c>
      <c r="E13" s="5">
        <f t="shared" si="1"/>
        <v>1.6187681291559061E-2</v>
      </c>
      <c r="F13" s="24">
        <v>402.19180297851563</v>
      </c>
      <c r="G13" s="5">
        <f t="shared" si="2"/>
        <v>2.7739281473614865E-3</v>
      </c>
      <c r="H13" s="36">
        <v>80.962196350097599</v>
      </c>
      <c r="I13" s="5">
        <f t="shared" si="3"/>
        <v>2.5029703272982664E-3</v>
      </c>
      <c r="J13" s="35"/>
      <c r="K13" s="5" t="e">
        <f t="shared" si="4"/>
        <v>#DIV/0!</v>
      </c>
      <c r="L13" s="36">
        <v>145.02499389648401</v>
      </c>
      <c r="M13" s="5">
        <f t="shared" si="5"/>
        <v>1.0187913256670655E-2</v>
      </c>
      <c r="N13" s="24">
        <v>93.803001403808594</v>
      </c>
      <c r="O13" s="5">
        <f t="shared" si="6"/>
        <v>1.5608826647471755E-3</v>
      </c>
      <c r="P13" s="36">
        <v>17.343000411987301</v>
      </c>
      <c r="Q13" s="5">
        <f t="shared" si="7"/>
        <v>4.7393876832271618E-3</v>
      </c>
      <c r="R13" s="24">
        <v>49.651203155517578</v>
      </c>
      <c r="S13" s="5">
        <f t="shared" si="8"/>
        <v>3.6485390299773757E-3</v>
      </c>
      <c r="T13" s="62">
        <v>145.0249939</v>
      </c>
      <c r="U13" s="5">
        <f>LN(T13/T12)</f>
        <v>1.0187913112205607E-2</v>
      </c>
      <c r="V13" s="59">
        <v>43.458000179999999</v>
      </c>
      <c r="W13" s="5">
        <f t="shared" ref="V13:W13" si="20">LN(V13/V12)</f>
        <v>3.1344017805325091E-3</v>
      </c>
      <c r="X13" s="5"/>
      <c r="AB13" s="5" t="s">
        <v>32</v>
      </c>
      <c r="AC13" s="5">
        <v>5.5E-2</v>
      </c>
      <c r="AH13" s="5">
        <f>SQRT(VARP(O3:O247)*252)</f>
        <v>0.1616673149590728</v>
      </c>
    </row>
    <row r="14" spans="1:34" ht="13.8" thickBot="1">
      <c r="A14" s="13">
        <v>45462</v>
      </c>
      <c r="B14" s="35">
        <v>675.3583984375</v>
      </c>
      <c r="C14" s="5">
        <f t="shared" si="0"/>
        <v>-1.7820417287067204E-3</v>
      </c>
      <c r="D14" s="24">
        <v>105.00299835205078</v>
      </c>
      <c r="E14" s="5">
        <f t="shared" si="1"/>
        <v>-3.0372446276638026E-3</v>
      </c>
      <c r="F14" s="24">
        <v>402.180908203125</v>
      </c>
      <c r="G14" s="5">
        <f t="shared" si="2"/>
        <v>-2.7088873702112925E-5</v>
      </c>
      <c r="H14" s="36">
        <v>81.007499694824205</v>
      </c>
      <c r="I14" s="5">
        <f t="shared" si="3"/>
        <v>5.5940520991595714E-4</v>
      </c>
      <c r="J14" s="35"/>
      <c r="K14" s="5" t="e">
        <f t="shared" si="4"/>
        <v>#DIV/0!</v>
      </c>
      <c r="L14" s="36">
        <v>143.75799560546801</v>
      </c>
      <c r="M14" s="5">
        <f t="shared" si="5"/>
        <v>-8.7747995322780357E-3</v>
      </c>
      <c r="N14" s="24">
        <v>93.58489990234375</v>
      </c>
      <c r="O14" s="5">
        <f t="shared" si="6"/>
        <v>-2.3278087691898518E-3</v>
      </c>
      <c r="P14" s="36">
        <v>17.320999145507798</v>
      </c>
      <c r="Q14" s="5">
        <f t="shared" si="7"/>
        <v>-1.2694016682857395E-3</v>
      </c>
      <c r="R14" s="24">
        <v>49.318489074707031</v>
      </c>
      <c r="S14" s="5">
        <f t="shared" si="8"/>
        <v>-6.723580254039109E-3</v>
      </c>
      <c r="T14" s="62">
        <v>143.75799559999999</v>
      </c>
      <c r="U14" s="5">
        <f>LN(T14/T13)</f>
        <v>-8.7747995945584266E-3</v>
      </c>
      <c r="V14" s="59">
        <v>43.435001370000002</v>
      </c>
      <c r="W14" s="5">
        <f t="shared" ref="V14:W14" si="21">LN(V14/V13)</f>
        <v>-5.293593299070332E-4</v>
      </c>
      <c r="X14" s="5"/>
      <c r="AF14" s="5" t="s">
        <v>73</v>
      </c>
      <c r="AG14" s="37">
        <f>(O251-AC13)/AH13</f>
        <v>0.3515451951661141</v>
      </c>
    </row>
    <row r="15" spans="1:34" ht="13.8" thickBot="1">
      <c r="A15" s="13">
        <v>45463</v>
      </c>
      <c r="B15" s="35">
        <v>677.09442138671795</v>
      </c>
      <c r="C15" s="5">
        <f t="shared" si="0"/>
        <v>2.5672228668221363E-3</v>
      </c>
      <c r="D15" s="24">
        <v>105.78350067138672</v>
      </c>
      <c r="E15" s="5">
        <f t="shared" si="1"/>
        <v>7.4056534937978254E-3</v>
      </c>
      <c r="F15" s="24">
        <v>404.89010620117188</v>
      </c>
      <c r="G15" s="5">
        <f t="shared" si="2"/>
        <v>6.71367977729782E-3</v>
      </c>
      <c r="H15" s="36">
        <v>81.335098266601506</v>
      </c>
      <c r="I15" s="5">
        <f t="shared" si="3"/>
        <v>4.035897177501269E-3</v>
      </c>
      <c r="J15" s="35"/>
      <c r="K15" s="5" t="e">
        <f t="shared" si="4"/>
        <v>#DIV/0!</v>
      </c>
      <c r="L15" s="36">
        <v>144.65199279785099</v>
      </c>
      <c r="M15" s="5">
        <f t="shared" si="5"/>
        <v>6.19950828088329E-3</v>
      </c>
      <c r="N15" s="24">
        <v>93.875297546386719</v>
      </c>
      <c r="O15" s="5">
        <f t="shared" si="6"/>
        <v>3.0982350417904226E-3</v>
      </c>
      <c r="P15" s="36">
        <v>17.350999832153299</v>
      </c>
      <c r="Q15" s="5">
        <f t="shared" si="7"/>
        <v>1.7305430905180952E-3</v>
      </c>
      <c r="R15" s="24">
        <v>49.660243988037109</v>
      </c>
      <c r="S15" s="5">
        <f t="shared" si="8"/>
        <v>6.9056505551884986E-3</v>
      </c>
      <c r="T15" s="62">
        <v>144.65199279999999</v>
      </c>
      <c r="U15" s="5">
        <f>LN(T15/T14)</f>
        <v>6.1995083337760123E-3</v>
      </c>
      <c r="V15" s="59">
        <v>43.622001650000001</v>
      </c>
      <c r="W15" s="5">
        <f t="shared" ref="V15:W15" si="22">LN(V15/V14)</f>
        <v>4.2960488213436973E-3</v>
      </c>
      <c r="X15" s="5"/>
    </row>
    <row r="16" spans="1:34" ht="13.8" thickBot="1">
      <c r="A16" s="13">
        <v>45464</v>
      </c>
      <c r="B16" s="35">
        <v>675.8837890625</v>
      </c>
      <c r="C16" s="5">
        <f t="shared" si="0"/>
        <v>-1.7895818838263252E-3</v>
      </c>
      <c r="D16" s="24">
        <v>105.70439910888672</v>
      </c>
      <c r="E16" s="5">
        <f t="shared" si="1"/>
        <v>-7.4804815094190499E-4</v>
      </c>
      <c r="F16" s="24">
        <v>403.45089721679688</v>
      </c>
      <c r="G16" s="5">
        <f t="shared" si="2"/>
        <v>-3.5608994200563866E-3</v>
      </c>
      <c r="H16" s="36">
        <v>81.254203796386705</v>
      </c>
      <c r="I16" s="5">
        <f t="shared" si="3"/>
        <v>-9.9507748496842829E-4</v>
      </c>
      <c r="J16" s="35"/>
      <c r="K16" s="5" t="e">
        <f t="shared" si="4"/>
        <v>#DIV/0!</v>
      </c>
      <c r="L16" s="36">
        <v>144.11099243164</v>
      </c>
      <c r="M16" s="5">
        <f t="shared" si="5"/>
        <v>-3.7470245624453592E-3</v>
      </c>
      <c r="N16" s="24">
        <v>93.553703308105469</v>
      </c>
      <c r="O16" s="5">
        <f t="shared" si="6"/>
        <v>-3.4316413405665771E-3</v>
      </c>
      <c r="P16" s="36">
        <v>17.290000915527301</v>
      </c>
      <c r="Q16" s="5">
        <f t="shared" si="7"/>
        <v>-3.521779299472132E-3</v>
      </c>
      <c r="R16" s="24">
        <v>49.506546020507813</v>
      </c>
      <c r="S16" s="5">
        <f t="shared" si="8"/>
        <v>-3.0997895683783083E-3</v>
      </c>
      <c r="T16" s="62">
        <v>144.11099239999999</v>
      </c>
      <c r="U16" s="5">
        <f>LN(T16/T15)</f>
        <v>-3.747024796854802E-3</v>
      </c>
      <c r="V16" s="59">
        <v>43.594001769999998</v>
      </c>
      <c r="W16" s="5">
        <f t="shared" ref="V16:W16" si="23">LN(V16/V15)</f>
        <v>-6.4208126637307916E-4</v>
      </c>
      <c r="X16" s="5"/>
      <c r="Z16" s="5" t="s">
        <v>74</v>
      </c>
      <c r="AA16" s="5">
        <f t="array" ref="AA16">MMULT(TRANSPOSE(AA6:AA9), MMULT(AB21:AE24,AA6:AA9))</f>
        <v>2.8924402158903038E-5</v>
      </c>
    </row>
    <row r="17" spans="1:32" ht="13.8" thickBot="1">
      <c r="A17" s="13">
        <v>45467</v>
      </c>
      <c r="B17" s="35">
        <v>676.40008544921795</v>
      </c>
      <c r="C17" s="5">
        <f t="shared" si="0"/>
        <v>7.6359175988982802E-4</v>
      </c>
      <c r="D17" s="24">
        <v>106.52799987792969</v>
      </c>
      <c r="E17" s="5">
        <f t="shared" si="1"/>
        <v>7.7613494202264637E-3</v>
      </c>
      <c r="F17" s="24">
        <v>403.42190551757813</v>
      </c>
      <c r="G17" s="5">
        <f t="shared" si="2"/>
        <v>-7.1861882400769134E-5</v>
      </c>
      <c r="H17" s="36">
        <v>81.498298645019503</v>
      </c>
      <c r="I17" s="5">
        <f t="shared" si="3"/>
        <v>2.9995856038061231E-3</v>
      </c>
      <c r="J17" s="35"/>
      <c r="K17" s="5" t="e">
        <f t="shared" si="4"/>
        <v>#DIV/0!</v>
      </c>
      <c r="L17" s="36">
        <v>144.80099487304599</v>
      </c>
      <c r="M17" s="5">
        <f t="shared" si="5"/>
        <v>4.7765671458906674E-3</v>
      </c>
      <c r="N17" s="24">
        <v>93.73919677734375</v>
      </c>
      <c r="O17" s="5">
        <f t="shared" si="6"/>
        <v>1.9807854948314611E-3</v>
      </c>
      <c r="P17" s="36">
        <v>17.311000823974599</v>
      </c>
      <c r="Q17" s="5">
        <f t="shared" si="7"/>
        <v>1.2138325464573808E-3</v>
      </c>
      <c r="R17" s="24">
        <v>49.428791046142578</v>
      </c>
      <c r="S17" s="5">
        <f t="shared" si="8"/>
        <v>-1.5718345472804506E-3</v>
      </c>
      <c r="T17" s="62">
        <v>144.80099490000001</v>
      </c>
      <c r="U17" s="5">
        <f>LN(T17/T16)</f>
        <v>4.7765675515889965E-3</v>
      </c>
      <c r="V17" s="59">
        <v>43.814998629999998</v>
      </c>
      <c r="W17" s="5">
        <f t="shared" ref="V17:W17" si="24">LN(V17/V16)</f>
        <v>5.056626431745149E-3</v>
      </c>
      <c r="X17" s="5"/>
      <c r="Z17" s="5" t="s">
        <v>75</v>
      </c>
      <c r="AA17" s="5">
        <f>SQRT(AA16)</f>
        <v>5.3781411434531022E-3</v>
      </c>
    </row>
    <row r="18" spans="1:32" ht="13.8" thickBot="1">
      <c r="A18" s="13">
        <v>45468</v>
      </c>
      <c r="B18" s="35">
        <v>677.50732421875</v>
      </c>
      <c r="C18" s="5">
        <f t="shared" si="0"/>
        <v>1.6356199965680311E-3</v>
      </c>
      <c r="D18" s="24">
        <v>106.08439636230469</v>
      </c>
      <c r="E18" s="5">
        <f t="shared" si="1"/>
        <v>-4.1728908302214249E-3</v>
      </c>
      <c r="F18" s="24">
        <v>404.57040405273438</v>
      </c>
      <c r="G18" s="5">
        <f t="shared" si="2"/>
        <v>2.8428471287297689E-3</v>
      </c>
      <c r="H18" s="36">
        <v>81.774200439453097</v>
      </c>
      <c r="I18" s="5">
        <f t="shared" si="3"/>
        <v>3.3796513018926012E-3</v>
      </c>
      <c r="J18" s="35"/>
      <c r="K18" s="5" t="e">
        <f t="shared" si="4"/>
        <v>#DIV/0!</v>
      </c>
      <c r="L18" s="36">
        <v>144.88999938964801</v>
      </c>
      <c r="M18" s="5">
        <f t="shared" si="5"/>
        <v>6.1447902189099642E-4</v>
      </c>
      <c r="N18" s="24">
        <v>94.381401062011719</v>
      </c>
      <c r="O18" s="5">
        <f t="shared" si="6"/>
        <v>6.8276072562329796E-3</v>
      </c>
      <c r="P18" s="36">
        <v>17.4239997863769</v>
      </c>
      <c r="Q18" s="5">
        <f t="shared" si="7"/>
        <v>6.506368737409559E-3</v>
      </c>
      <c r="R18" s="24">
        <v>49.388103485107422</v>
      </c>
      <c r="S18" s="5">
        <f t="shared" si="8"/>
        <v>-8.2349407006751356E-4</v>
      </c>
      <c r="T18" s="62">
        <v>144.88999939999999</v>
      </c>
      <c r="U18" s="5">
        <f>LN(T18/T17)</f>
        <v>6.144789071928586E-4</v>
      </c>
      <c r="V18" s="59">
        <v>43.973999020000001</v>
      </c>
      <c r="W18" s="5">
        <f t="shared" ref="V18:W18" si="25">LN(V18/V17)</f>
        <v>3.6223346458888954E-3</v>
      </c>
      <c r="X18" s="5"/>
      <c r="Z18" s="5" t="s">
        <v>76</v>
      </c>
      <c r="AA18" s="5">
        <f>SQRT(252)*AA17</f>
        <v>8.5375343888288768E-2</v>
      </c>
    </row>
    <row r="19" spans="1:32" ht="13.8" thickBot="1">
      <c r="A19" s="13">
        <v>45469</v>
      </c>
      <c r="B19" s="35">
        <v>678.57550048828102</v>
      </c>
      <c r="C19" s="5">
        <f t="shared" si="0"/>
        <v>1.5753853245386654E-3</v>
      </c>
      <c r="D19" s="24">
        <v>106.42749786376953</v>
      </c>
      <c r="E19" s="5">
        <f t="shared" si="1"/>
        <v>3.2290126708180338E-3</v>
      </c>
      <c r="F19" s="24">
        <v>406.09500122070313</v>
      </c>
      <c r="G19" s="5">
        <f t="shared" si="2"/>
        <v>3.7613519844842979E-3</v>
      </c>
      <c r="H19" s="36">
        <v>81.768997192382798</v>
      </c>
      <c r="I19" s="5">
        <f t="shared" si="3"/>
        <v>-6.3631470429773262E-5</v>
      </c>
      <c r="J19" s="35"/>
      <c r="K19" s="5" t="e">
        <f t="shared" si="4"/>
        <v>#DIV/0!</v>
      </c>
      <c r="L19" s="36">
        <v>144.47000122070301</v>
      </c>
      <c r="M19" s="5">
        <f t="shared" si="5"/>
        <v>-2.9029476292951996E-3</v>
      </c>
      <c r="N19" s="24">
        <v>94.642997741699219</v>
      </c>
      <c r="O19" s="5">
        <f t="shared" si="6"/>
        <v>2.7678632848691094E-3</v>
      </c>
      <c r="P19" s="36">
        <v>17.537000656127901</v>
      </c>
      <c r="Q19" s="5">
        <f t="shared" si="7"/>
        <v>6.4644181707483386E-3</v>
      </c>
      <c r="R19" s="24">
        <v>49.195526123046875</v>
      </c>
      <c r="S19" s="5">
        <f t="shared" si="8"/>
        <v>-3.9068881472659623E-3</v>
      </c>
      <c r="T19" s="62">
        <v>144.47000120000001</v>
      </c>
      <c r="U19" s="5">
        <f>LN(T19/T18)</f>
        <v>-2.9029478440455313E-3</v>
      </c>
      <c r="V19" s="59">
        <v>43.999000549999998</v>
      </c>
      <c r="W19" s="5">
        <f t="shared" ref="V19:W19" si="26">LN(V19/V18)</f>
        <v>5.6839100167789698E-4</v>
      </c>
      <c r="X19" s="5"/>
      <c r="Z19" s="5" t="s">
        <v>77</v>
      </c>
      <c r="AA19" s="5">
        <f>(AC11-AC13)/AA18</f>
        <v>1.0017251987690547</v>
      </c>
    </row>
    <row r="20" spans="1:32" ht="13.8" thickBot="1">
      <c r="A20" s="13">
        <v>45470</v>
      </c>
      <c r="B20" s="35">
        <v>680.693603515625</v>
      </c>
      <c r="C20" s="5">
        <f t="shared" si="0"/>
        <v>3.1165348134452194E-3</v>
      </c>
      <c r="D20" s="24">
        <v>107.26059722900391</v>
      </c>
      <c r="E20" s="5">
        <f t="shared" si="1"/>
        <v>7.7973795016010898E-3</v>
      </c>
      <c r="F20" s="24">
        <v>407.33639526367188</v>
      </c>
      <c r="G20" s="5">
        <f t="shared" si="2"/>
        <v>3.0522426650573158E-3</v>
      </c>
      <c r="H20" s="36">
        <v>82.055702209472599</v>
      </c>
      <c r="I20" s="5">
        <f t="shared" si="3"/>
        <v>3.5001475459958825E-3</v>
      </c>
      <c r="J20" s="35"/>
      <c r="K20" s="5" t="e">
        <f t="shared" si="4"/>
        <v>#DIV/0!</v>
      </c>
      <c r="L20" s="36">
        <v>144.43600463867099</v>
      </c>
      <c r="M20" s="5">
        <f t="shared" si="5"/>
        <v>-2.3534700905795061E-4</v>
      </c>
      <c r="N20" s="24">
        <v>95.123703002929688</v>
      </c>
      <c r="O20" s="5">
        <f t="shared" si="6"/>
        <v>5.0662870518679856E-3</v>
      </c>
      <c r="P20" s="36">
        <v>17.672000885009702</v>
      </c>
      <c r="Q20" s="5">
        <f t="shared" si="7"/>
        <v>7.6685440965110034E-3</v>
      </c>
      <c r="R20" s="24">
        <v>49.155746459960938</v>
      </c>
      <c r="S20" s="5">
        <f t="shared" si="8"/>
        <v>-8.0893036176175968E-4</v>
      </c>
      <c r="T20" s="62">
        <v>144.43600459999999</v>
      </c>
      <c r="U20" s="5">
        <f>LN(T20/T19)</f>
        <v>-2.3534713349282948E-4</v>
      </c>
      <c r="V20" s="59">
        <v>43.895000459999999</v>
      </c>
      <c r="W20" s="5">
        <f t="shared" ref="V20:W20" si="27">LN(V20/V19)</f>
        <v>-2.3664900298240809E-3</v>
      </c>
      <c r="X20" s="5"/>
      <c r="AA20" s="38"/>
      <c r="AB20" s="39" t="s">
        <v>78</v>
      </c>
      <c r="AC20" s="39" t="s">
        <v>79</v>
      </c>
      <c r="AD20" s="39" t="s">
        <v>80</v>
      </c>
      <c r="AE20" s="39" t="s">
        <v>40</v>
      </c>
    </row>
    <row r="21" spans="1:32" ht="13.8" thickBot="1">
      <c r="A21" s="13">
        <v>45471</v>
      </c>
      <c r="B21" s="35">
        <v>680.08819580078102</v>
      </c>
      <c r="C21" s="5">
        <f t="shared" si="0"/>
        <v>-8.8979402148322293E-4</v>
      </c>
      <c r="D21" s="24">
        <v>108.30590057373047</v>
      </c>
      <c r="E21" s="5">
        <f t="shared" si="1"/>
        <v>9.6982745324737142E-3</v>
      </c>
      <c r="F21" s="24">
        <v>407.73159790039063</v>
      </c>
      <c r="G21" s="5">
        <f t="shared" si="2"/>
        <v>9.6974159457617701E-4</v>
      </c>
      <c r="H21" s="36">
        <v>81.938499450683594</v>
      </c>
      <c r="I21" s="5">
        <f t="shared" si="3"/>
        <v>-1.4293527156055482E-3</v>
      </c>
      <c r="J21" s="35"/>
      <c r="K21" s="5" t="e">
        <f t="shared" si="4"/>
        <v>#DIV/0!</v>
      </c>
      <c r="L21" s="36">
        <v>145.11199951171801</v>
      </c>
      <c r="M21" s="5">
        <f t="shared" si="5"/>
        <v>4.66931970904743E-3</v>
      </c>
      <c r="N21" s="24">
        <v>94.941596984863281</v>
      </c>
      <c r="O21" s="5">
        <f t="shared" si="6"/>
        <v>-1.916247456033339E-3</v>
      </c>
      <c r="P21" s="36">
        <v>17.688999176025298</v>
      </c>
      <c r="Q21" s="5">
        <f t="shared" si="7"/>
        <v>9.614146825923397E-4</v>
      </c>
      <c r="R21" s="24">
        <v>49.511970520019531</v>
      </c>
      <c r="S21" s="5">
        <f t="shared" si="8"/>
        <v>7.2207124825669697E-3</v>
      </c>
      <c r="T21" s="62">
        <v>145.1119995</v>
      </c>
      <c r="U21" s="5">
        <f>LN(T21/T20)</f>
        <v>4.6693198960337939E-3</v>
      </c>
      <c r="V21" s="59">
        <v>44.210998539999999</v>
      </c>
      <c r="W21" s="5">
        <f t="shared" ref="V21:W21" si="28">LN(V21/V20)</f>
        <v>7.1731650180537907E-3</v>
      </c>
      <c r="X21" s="5"/>
      <c r="AA21" s="37" t="s">
        <v>78</v>
      </c>
      <c r="AB21" s="37">
        <f>VARP($C$3:$C$247)</f>
        <v>2.6304771104653489E-5</v>
      </c>
      <c r="AC21" s="37">
        <f>_xlfn.COVARIANCE.P(C3:C247,E3:E247)</f>
        <v>4.8548628111690863E-5</v>
      </c>
      <c r="AD21" s="37">
        <f>_xlfn.COVARIANCE.P(C3:C247,I3:I247)</f>
        <v>3.3261212596926566E-5</v>
      </c>
      <c r="AE21" s="37">
        <f>_xlfn.COVARIANCE.P(C3:C247,U3:U247)</f>
        <v>5.4481517549709058E-5</v>
      </c>
      <c r="AF21" s="40"/>
    </row>
    <row r="22" spans="1:32" ht="13.8" thickBot="1">
      <c r="A22" s="12">
        <v>45474</v>
      </c>
      <c r="B22" s="35">
        <v>682.048828125</v>
      </c>
      <c r="C22" s="5">
        <f t="shared" si="0"/>
        <v>2.8787613049261985E-3</v>
      </c>
      <c r="D22" s="24">
        <v>108.94249725341797</v>
      </c>
      <c r="E22" s="5">
        <f t="shared" si="1"/>
        <v>5.8605587715004088E-3</v>
      </c>
      <c r="F22" s="24">
        <v>410.00949096679688</v>
      </c>
      <c r="G22" s="5">
        <f t="shared" si="2"/>
        <v>5.5711984862521404E-3</v>
      </c>
      <c r="H22" s="36">
        <v>82.505401611328097</v>
      </c>
      <c r="I22" s="5">
        <f t="shared" si="3"/>
        <v>6.8948061044652315E-3</v>
      </c>
      <c r="J22" s="35"/>
      <c r="K22" s="5" t="e">
        <f t="shared" si="4"/>
        <v>#DIV/0!</v>
      </c>
      <c r="L22" s="36">
        <v>146.63299560546801</v>
      </c>
      <c r="M22" s="5">
        <f t="shared" si="5"/>
        <v>1.0426981779658097E-2</v>
      </c>
      <c r="N22" s="24">
        <v>95.699600219726563</v>
      </c>
      <c r="O22" s="5">
        <f t="shared" si="6"/>
        <v>7.952187045392467E-3</v>
      </c>
      <c r="P22" s="36">
        <v>17.770999908447202</v>
      </c>
      <c r="Q22" s="5">
        <f t="shared" si="7"/>
        <v>4.6249791713626849E-3</v>
      </c>
      <c r="R22" s="24">
        <v>50.134902954101563</v>
      </c>
      <c r="S22" s="5">
        <f t="shared" si="8"/>
        <v>1.250296225634958E-2</v>
      </c>
      <c r="T22" s="62">
        <v>146.63299559999999</v>
      </c>
      <c r="U22" s="5">
        <f>LN(T22/T21)</f>
        <v>1.0426981823119205E-2</v>
      </c>
      <c r="V22" s="59">
        <v>45.112998959999999</v>
      </c>
      <c r="W22" s="5">
        <f t="shared" ref="V22:W22" si="29">LN(V22/V21)</f>
        <v>2.0196836381089607E-2</v>
      </c>
      <c r="X22" s="5"/>
      <c r="AA22" s="41" t="s">
        <v>79</v>
      </c>
      <c r="AB22" s="41">
        <f>_xlfn.COVARIANCE.P(E3:E247,C3:C247)</f>
        <v>4.8548628111690863E-5</v>
      </c>
      <c r="AC22" s="37">
        <f>VARP($E$3:$E$247)</f>
        <v>1.6255758532583857E-4</v>
      </c>
      <c r="AD22" s="37">
        <f>_xlfn.COVARIANCE.P(E3:E247,I3:I247)</f>
        <v>6.9128112991718825E-5</v>
      </c>
      <c r="AE22" s="37">
        <f>_xlfn.COVARIANCE.P(E3:E247,U3:U247)</f>
        <v>1.4278398702542231E-4</v>
      </c>
    </row>
    <row r="23" spans="1:32" ht="13.8" thickBot="1">
      <c r="A23" s="12">
        <v>45475</v>
      </c>
      <c r="B23" s="35">
        <v>682.02307128906205</v>
      </c>
      <c r="C23" s="5">
        <f t="shared" si="0"/>
        <v>-3.7764630958381293E-5</v>
      </c>
      <c r="D23" s="24">
        <v>108.35759735107422</v>
      </c>
      <c r="E23" s="5">
        <f t="shared" si="1"/>
        <v>-5.3833507616606949E-3</v>
      </c>
      <c r="F23" s="24">
        <v>408.41180419921875</v>
      </c>
      <c r="G23" s="5">
        <f t="shared" si="2"/>
        <v>-3.9043187330773717E-3</v>
      </c>
      <c r="H23" s="36">
        <v>82.525497436523395</v>
      </c>
      <c r="I23" s="5">
        <f t="shared" si="3"/>
        <v>2.435401541233915E-4</v>
      </c>
      <c r="J23" s="35"/>
      <c r="K23" s="5" t="e">
        <f t="shared" si="4"/>
        <v>#DIV/0!</v>
      </c>
      <c r="L23" s="36">
        <v>146.641998291015</v>
      </c>
      <c r="M23" s="5">
        <f t="shared" si="5"/>
        <v>6.1394157273494536E-5</v>
      </c>
      <c r="N23" s="24">
        <v>95.5823974609375</v>
      </c>
      <c r="O23" s="5">
        <f t="shared" si="6"/>
        <v>-1.2254448915974682E-3</v>
      </c>
      <c r="P23" s="36">
        <v>17.770999908447202</v>
      </c>
      <c r="Q23" s="5">
        <f t="shared" si="7"/>
        <v>0</v>
      </c>
      <c r="R23" s="24">
        <v>49.898025512695313</v>
      </c>
      <c r="S23" s="5">
        <f t="shared" si="8"/>
        <v>-4.7359981916712491E-3</v>
      </c>
      <c r="T23" s="62">
        <v>146.64199830000001</v>
      </c>
      <c r="U23" s="5">
        <f>LN(T23/T22)</f>
        <v>6.1394255835707859E-5</v>
      </c>
      <c r="V23" s="59">
        <v>45.078998570000003</v>
      </c>
      <c r="W23" s="5">
        <f t="shared" ref="V23:W23" si="30">LN(V23/V22)</f>
        <v>-7.5395583958122187E-4</v>
      </c>
      <c r="X23" s="5"/>
      <c r="AA23" s="41" t="s">
        <v>80</v>
      </c>
      <c r="AB23" s="41">
        <f>_xlfn.COVARIANCE.P(I3:I247,C3:C247)</f>
        <v>3.3261212596926566E-5</v>
      </c>
      <c r="AC23" s="37">
        <f>_xlfn.COVARIANCE.P(I3:I247,E3:E247)</f>
        <v>6.9128112991718825E-5</v>
      </c>
      <c r="AD23" s="37">
        <f>VARP($I$3:$I$247)</f>
        <v>5.4411410878546821E-5</v>
      </c>
      <c r="AE23" s="37">
        <f>_xlfn.COVARIANCE.P(I3:I247,U3:U247)</f>
        <v>7.4774512460078793E-5</v>
      </c>
    </row>
    <row r="24" spans="1:32" ht="13.8" thickBot="1">
      <c r="A24" s="12">
        <v>45476</v>
      </c>
      <c r="B24" s="35">
        <v>685.720703125</v>
      </c>
      <c r="C24" s="5">
        <f t="shared" si="0"/>
        <v>5.4069203799635215E-3</v>
      </c>
      <c r="D24" s="24">
        <v>109.18309783935547</v>
      </c>
      <c r="E24" s="5">
        <f t="shared" si="1"/>
        <v>7.5894255087719346E-3</v>
      </c>
      <c r="F24" s="24">
        <v>411.47650146484375</v>
      </c>
      <c r="G24" s="5">
        <f t="shared" si="2"/>
        <v>7.4759245085604629E-3</v>
      </c>
      <c r="H24" s="36">
        <v>83.287902832031193</v>
      </c>
      <c r="I24" s="5">
        <f t="shared" si="3"/>
        <v>9.1960090933585689E-3</v>
      </c>
      <c r="J24" s="35"/>
      <c r="K24" s="5" t="e">
        <f t="shared" si="4"/>
        <v>#DIV/0!</v>
      </c>
      <c r="L24" s="36">
        <v>148.32099914550699</v>
      </c>
      <c r="M24" s="5">
        <f t="shared" si="5"/>
        <v>1.1384607585045815E-2</v>
      </c>
      <c r="N24" s="24">
        <v>96.3988037109375</v>
      </c>
      <c r="O24" s="5">
        <f t="shared" si="6"/>
        <v>8.5051157756604896E-3</v>
      </c>
      <c r="P24" s="36">
        <v>17.853000640869102</v>
      </c>
      <c r="Q24" s="5">
        <f t="shared" si="7"/>
        <v>4.603687176281593E-3</v>
      </c>
      <c r="R24" s="24">
        <v>50.358219146728516</v>
      </c>
      <c r="S24" s="5">
        <f t="shared" si="8"/>
        <v>9.1804130043891385E-3</v>
      </c>
      <c r="T24" s="62">
        <v>148.32099909999999</v>
      </c>
      <c r="U24" s="5">
        <f>LN(T24/T23)</f>
        <v>1.1384607216959861E-2</v>
      </c>
      <c r="V24" s="59">
        <v>45.424999239999998</v>
      </c>
      <c r="W24" s="5">
        <f t="shared" ref="V24:W24" si="31">LN(V24/V23)</f>
        <v>7.6461231340720368E-3</v>
      </c>
      <c r="X24" s="5"/>
      <c r="AA24" s="42" t="s">
        <v>40</v>
      </c>
      <c r="AB24" s="41">
        <f>_xlfn.COVARIANCE.P(U3:U247,C3:C247)</f>
        <v>5.4481517549709058E-5</v>
      </c>
      <c r="AC24" s="37">
        <f>_xlfn.COVARIANCE.P(U3:U247,E3:E247)</f>
        <v>1.4278398702542231E-4</v>
      </c>
      <c r="AD24" s="37">
        <f>_xlfn.COVARIANCE.P(U3:U247,I3:I247)</f>
        <v>7.4774512460078793E-5</v>
      </c>
      <c r="AE24" s="37">
        <f>VARP($U$3:$U$247)</f>
        <v>1.5724089648078043E-4</v>
      </c>
    </row>
    <row r="25" spans="1:32" ht="13.8" thickBot="1">
      <c r="A25" s="12">
        <v>45477</v>
      </c>
      <c r="B25" s="35">
        <v>686.541015625</v>
      </c>
      <c r="C25" s="5">
        <f t="shared" si="0"/>
        <v>1.195562896643565E-3</v>
      </c>
      <c r="D25" s="24">
        <v>110.08889770507813</v>
      </c>
      <c r="E25" s="5">
        <f t="shared" si="1"/>
        <v>8.2619307214450502E-3</v>
      </c>
      <c r="F25" s="24">
        <v>412.39859008789063</v>
      </c>
      <c r="G25" s="5">
        <f t="shared" si="2"/>
        <v>2.2384194339971982E-3</v>
      </c>
      <c r="H25" s="36">
        <v>83.819000244140597</v>
      </c>
      <c r="I25" s="5">
        <f t="shared" si="3"/>
        <v>6.3564004900917206E-3</v>
      </c>
      <c r="J25" s="35"/>
      <c r="K25" s="5" t="e">
        <f t="shared" si="4"/>
        <v>#DIV/0!</v>
      </c>
      <c r="L25" s="36">
        <v>148.92199707031199</v>
      </c>
      <c r="M25" s="5">
        <f t="shared" si="5"/>
        <v>4.0438210584631158E-3</v>
      </c>
      <c r="N25" s="24">
        <v>96.668800354003906</v>
      </c>
      <c r="O25" s="5">
        <f t="shared" si="6"/>
        <v>2.7969147945178753E-3</v>
      </c>
      <c r="P25" s="36">
        <v>17.9270000457763</v>
      </c>
      <c r="Q25" s="5">
        <f t="shared" si="7"/>
        <v>4.1363615983631271E-3</v>
      </c>
      <c r="R25" s="24">
        <v>50.596908569335938</v>
      </c>
      <c r="S25" s="5">
        <f t="shared" si="8"/>
        <v>4.7286328642146894E-3</v>
      </c>
      <c r="T25" s="62">
        <v>148.9219971</v>
      </c>
      <c r="U25" s="5">
        <f>LN(T25/T24)</f>
        <v>4.043821564630035E-3</v>
      </c>
      <c r="V25" s="59">
        <v>45.609001159999998</v>
      </c>
      <c r="W25" s="5">
        <f t="shared" ref="V25:W25" si="32">LN(V25/V24)</f>
        <v>4.0424933490253237E-3</v>
      </c>
      <c r="X25" s="5"/>
    </row>
    <row r="26" spans="1:32" ht="13.8" thickBot="1">
      <c r="A26" s="12">
        <v>45478</v>
      </c>
      <c r="B26" s="35">
        <v>688.984375</v>
      </c>
      <c r="C26" s="5">
        <f t="shared" si="0"/>
        <v>3.5526235451310458E-3</v>
      </c>
      <c r="D26" s="24">
        <v>109.98680114746094</v>
      </c>
      <c r="E26" s="5">
        <f t="shared" si="1"/>
        <v>-9.278313368885128E-4</v>
      </c>
      <c r="F26" s="24">
        <v>413.831787109375</v>
      </c>
      <c r="G26" s="5">
        <f t="shared" si="2"/>
        <v>3.4692465890765619E-3</v>
      </c>
      <c r="H26" s="36">
        <v>83.920501708984304</v>
      </c>
      <c r="I26" s="5">
        <f t="shared" si="3"/>
        <v>1.2102274783282506E-3</v>
      </c>
      <c r="J26" s="35"/>
      <c r="K26" s="5" t="e">
        <f t="shared" si="4"/>
        <v>#DIV/0!</v>
      </c>
      <c r="L26" s="36">
        <v>149.34100341796801</v>
      </c>
      <c r="M26" s="5">
        <f t="shared" si="5"/>
        <v>2.8096453305312174E-3</v>
      </c>
      <c r="N26" s="24">
        <v>96.829696655273438</v>
      </c>
      <c r="O26" s="5">
        <f t="shared" si="6"/>
        <v>1.6630241664740955E-3</v>
      </c>
      <c r="P26" s="36">
        <v>17.857000350952099</v>
      </c>
      <c r="Q26" s="5">
        <f t="shared" si="7"/>
        <v>-3.9123509577228925E-3</v>
      </c>
      <c r="R26" s="24">
        <v>50.765068054199219</v>
      </c>
      <c r="S26" s="5">
        <f t="shared" si="8"/>
        <v>3.3180023661551379E-3</v>
      </c>
      <c r="T26" s="62">
        <v>149.34100340000001</v>
      </c>
      <c r="U26" s="5">
        <f>LN(T26/T25)</f>
        <v>2.8096450108630617E-3</v>
      </c>
      <c r="V26" s="59">
        <v>45.875</v>
      </c>
      <c r="W26" s="5">
        <f t="shared" ref="V26:W26" si="33">LN(V26/V25)</f>
        <v>5.8152154743494723E-3</v>
      </c>
      <c r="X26" s="5"/>
    </row>
    <row r="27" spans="1:32" ht="13.8" thickBot="1">
      <c r="A27" s="12">
        <v>45481</v>
      </c>
      <c r="B27" s="35">
        <v>689.47210693359295</v>
      </c>
      <c r="C27" s="5">
        <f t="shared" si="0"/>
        <v>7.0764940400905123E-4</v>
      </c>
      <c r="D27" s="24">
        <v>109.19619750976563</v>
      </c>
      <c r="E27" s="5">
        <f t="shared" si="1"/>
        <v>-7.2141276591699737E-3</v>
      </c>
      <c r="F27" s="24">
        <v>413.69189453125</v>
      </c>
      <c r="G27" s="5">
        <f t="shared" si="2"/>
        <v>-3.3809927754633971E-4</v>
      </c>
      <c r="H27" s="36">
        <v>83.978401184082003</v>
      </c>
      <c r="I27" s="5">
        <f t="shared" si="3"/>
        <v>6.8969452920967069E-4</v>
      </c>
      <c r="J27" s="35"/>
      <c r="K27" s="5" t="e">
        <f t="shared" si="4"/>
        <v>#DIV/0!</v>
      </c>
      <c r="L27" s="36">
        <v>148.49400329589801</v>
      </c>
      <c r="M27" s="5">
        <f t="shared" si="5"/>
        <v>-5.6877290201961042E-3</v>
      </c>
      <c r="N27" s="24">
        <v>96.864700317382813</v>
      </c>
      <c r="O27" s="5">
        <f t="shared" si="6"/>
        <v>3.6143185386384151E-4</v>
      </c>
      <c r="P27" s="36">
        <v>17.868999481201101</v>
      </c>
      <c r="Q27" s="5">
        <f t="shared" si="7"/>
        <v>6.7173099460135E-4</v>
      </c>
      <c r="R27" s="24">
        <v>50.5616455078125</v>
      </c>
      <c r="S27" s="5">
        <f t="shared" si="8"/>
        <v>-4.0151863714719552E-3</v>
      </c>
      <c r="T27" s="62">
        <v>148.4940033</v>
      </c>
      <c r="U27" s="5">
        <f>LN(T27/T26)</f>
        <v>-5.687728872256834E-3</v>
      </c>
      <c r="V27" s="59">
        <v>45.881000520000001</v>
      </c>
      <c r="W27" s="5">
        <f t="shared" ref="V27:W27" si="34">LN(V27/V26)</f>
        <v>1.3079297211192919E-4</v>
      </c>
      <c r="X27" s="5"/>
    </row>
    <row r="28" spans="1:32" ht="13.8" thickBot="1">
      <c r="A28" s="12">
        <v>45482</v>
      </c>
      <c r="B28" s="35">
        <v>692.15020751953102</v>
      </c>
      <c r="C28" s="5">
        <f t="shared" si="0"/>
        <v>3.8767525858065311E-3</v>
      </c>
      <c r="D28" s="24">
        <v>110.01000213623047</v>
      </c>
      <c r="E28" s="5">
        <f t="shared" si="1"/>
        <v>7.4250488044705935E-3</v>
      </c>
      <c r="F28" s="24">
        <v>415.94219970703125</v>
      </c>
      <c r="G28" s="5">
        <f t="shared" si="2"/>
        <v>5.4248269449030948E-3</v>
      </c>
      <c r="H28" s="36">
        <v>84.363998413085895</v>
      </c>
      <c r="I28" s="5">
        <f t="shared" si="3"/>
        <v>4.5811144939273711E-3</v>
      </c>
      <c r="J28" s="35"/>
      <c r="K28" s="5" t="e">
        <f t="shared" si="4"/>
        <v>#DIV/0!</v>
      </c>
      <c r="L28" s="36">
        <v>149.15199279785099</v>
      </c>
      <c r="M28" s="5">
        <f t="shared" si="5"/>
        <v>4.4212963214373428E-3</v>
      </c>
      <c r="N28" s="24">
        <v>97.331100463867188</v>
      </c>
      <c r="O28" s="5">
        <f t="shared" si="6"/>
        <v>4.8034101805377056E-3</v>
      </c>
      <c r="P28" s="36">
        <v>17.982000350952099</v>
      </c>
      <c r="Q28" s="5">
        <f t="shared" si="7"/>
        <v>6.3039382163729797E-3</v>
      </c>
      <c r="R28" s="24">
        <v>50.850055694580078</v>
      </c>
      <c r="S28" s="5">
        <f t="shared" si="8"/>
        <v>5.6879228119173448E-3</v>
      </c>
      <c r="T28" s="62">
        <v>149.15199279999999</v>
      </c>
      <c r="U28" s="5">
        <f>LN(T28/T27)</f>
        <v>4.421296308221411E-3</v>
      </c>
      <c r="V28" s="59">
        <v>46.0320015</v>
      </c>
      <c r="W28" s="5">
        <f t="shared" ref="V28:W28" si="35">LN(V28/V27)</f>
        <v>3.2857400483724407E-3</v>
      </c>
      <c r="X28" s="5"/>
    </row>
    <row r="29" spans="1:32" ht="13.8" thickBot="1">
      <c r="A29" s="13">
        <v>45483</v>
      </c>
      <c r="B29" s="35">
        <v>692.70281982421795</v>
      </c>
      <c r="C29" s="5">
        <f t="shared" si="0"/>
        <v>7.9808084050372993E-4</v>
      </c>
      <c r="D29" s="24">
        <v>109.64559936523438</v>
      </c>
      <c r="E29" s="5">
        <f t="shared" si="1"/>
        <v>-3.3179495793225094E-3</v>
      </c>
      <c r="F29" s="24">
        <v>414.197998046875</v>
      </c>
      <c r="G29" s="5">
        <f t="shared" si="2"/>
        <v>-4.2021919466810921E-3</v>
      </c>
      <c r="H29" s="36">
        <v>84.197402954101506</v>
      </c>
      <c r="I29" s="5">
        <f t="shared" si="3"/>
        <v>-1.9766745159593099E-3</v>
      </c>
      <c r="J29" s="35"/>
      <c r="K29" s="5" t="e">
        <f t="shared" si="4"/>
        <v>#DIV/0!</v>
      </c>
      <c r="L29" s="36">
        <v>148.65800476074199</v>
      </c>
      <c r="M29" s="5">
        <f t="shared" si="5"/>
        <v>-3.3174741896706684E-3</v>
      </c>
      <c r="N29" s="24">
        <v>96.9844970703125</v>
      </c>
      <c r="O29" s="5">
        <f t="shared" si="6"/>
        <v>-3.5674311845488018E-3</v>
      </c>
      <c r="P29" s="36">
        <v>17.9039993286132</v>
      </c>
      <c r="Q29" s="5">
        <f t="shared" si="7"/>
        <v>-4.3471630091306427E-3</v>
      </c>
      <c r="R29" s="24">
        <v>50.758739471435547</v>
      </c>
      <c r="S29" s="5">
        <f t="shared" si="8"/>
        <v>-1.7974083361536712E-3</v>
      </c>
      <c r="T29" s="62">
        <v>148.65800479999999</v>
      </c>
      <c r="U29" s="5">
        <f>LN(T29/T28)</f>
        <v>-3.3174739399961426E-3</v>
      </c>
      <c r="V29" s="59">
        <v>45.946998600000001</v>
      </c>
      <c r="W29" s="5">
        <f t="shared" ref="V29:W29" si="36">LN(V29/V28)</f>
        <v>-1.8483115516994919E-3</v>
      </c>
      <c r="X29" s="5"/>
    </row>
    <row r="30" spans="1:32" ht="13.8" thickBot="1">
      <c r="A30" s="13">
        <v>45484</v>
      </c>
      <c r="B30" s="35">
        <v>693.34649658203102</v>
      </c>
      <c r="C30" s="5">
        <f t="shared" si="0"/>
        <v>9.2879350895636406E-4</v>
      </c>
      <c r="D30" s="24">
        <v>109.54920196533203</v>
      </c>
      <c r="E30" s="5">
        <f t="shared" si="1"/>
        <v>-8.7955923709693911E-4</v>
      </c>
      <c r="F30" s="24">
        <v>415.78350830078125</v>
      </c>
      <c r="G30" s="5">
        <f t="shared" si="2"/>
        <v>3.8205964118845142E-3</v>
      </c>
      <c r="H30" s="36">
        <v>84.009498596191406</v>
      </c>
      <c r="I30" s="5">
        <f t="shared" si="3"/>
        <v>-2.2342060205782391E-3</v>
      </c>
      <c r="J30" s="35"/>
      <c r="K30" s="5" t="e">
        <f t="shared" si="4"/>
        <v>#DIV/0!</v>
      </c>
      <c r="L30" s="36">
        <v>148.899002075195</v>
      </c>
      <c r="M30" s="5">
        <f t="shared" si="5"/>
        <v>1.6198399742714282E-3</v>
      </c>
      <c r="N30" s="24">
        <v>97.096000671386719</v>
      </c>
      <c r="O30" s="5">
        <f t="shared" si="6"/>
        <v>1.1490450059627756E-3</v>
      </c>
      <c r="P30" s="36">
        <v>17.9300003051757</v>
      </c>
      <c r="Q30" s="5">
        <f t="shared" si="7"/>
        <v>1.4511905671314527E-3</v>
      </c>
      <c r="R30" s="24">
        <v>50.831974029541016</v>
      </c>
      <c r="S30" s="5">
        <f t="shared" si="8"/>
        <v>1.4417571895604959E-3</v>
      </c>
      <c r="T30" s="62">
        <v>148.89900209999999</v>
      </c>
      <c r="U30" s="5">
        <f>LN(T30/T29)</f>
        <v>1.619839876778259E-3</v>
      </c>
      <c r="V30" s="59">
        <v>46.306999210000001</v>
      </c>
      <c r="W30" s="5">
        <f t="shared" ref="V30:W30" si="37">LN(V30/V29)</f>
        <v>7.8045926658414809E-3</v>
      </c>
      <c r="X30" s="5"/>
    </row>
    <row r="31" spans="1:32" ht="13.8" thickBot="1">
      <c r="A31" s="13">
        <v>45485</v>
      </c>
      <c r="B31" s="35">
        <v>694.24279785156205</v>
      </c>
      <c r="C31" s="5">
        <f t="shared" si="0"/>
        <v>1.2918828327435281E-3</v>
      </c>
      <c r="D31" s="24">
        <v>110.54859924316406</v>
      </c>
      <c r="E31" s="5">
        <f t="shared" si="1"/>
        <v>9.0814550706849947E-3</v>
      </c>
      <c r="F31" s="24">
        <v>416.2080078125</v>
      </c>
      <c r="G31" s="5">
        <f t="shared" si="2"/>
        <v>1.0204420125288953E-3</v>
      </c>
      <c r="H31" s="36">
        <v>84.106796264648395</v>
      </c>
      <c r="I31" s="5">
        <f t="shared" si="3"/>
        <v>1.1575044453716462E-3</v>
      </c>
      <c r="J31" s="35"/>
      <c r="K31" s="5" t="e">
        <f t="shared" si="4"/>
        <v>#DIV/0!</v>
      </c>
      <c r="L31" s="36">
        <v>149.22799682617099</v>
      </c>
      <c r="M31" s="5">
        <f t="shared" si="5"/>
        <v>2.2070787666880246E-3</v>
      </c>
      <c r="N31" s="24">
        <v>97.378501892089844</v>
      </c>
      <c r="O31" s="5">
        <f t="shared" si="6"/>
        <v>2.9052797738224681E-3</v>
      </c>
      <c r="P31" s="36">
        <v>18.047000885009702</v>
      </c>
      <c r="Q31" s="5">
        <f t="shared" si="7"/>
        <v>6.5042103808814365E-3</v>
      </c>
      <c r="R31" s="24">
        <v>50.858192443847656</v>
      </c>
      <c r="S31" s="5">
        <f t="shared" si="8"/>
        <v>5.1565290522869746E-4</v>
      </c>
      <c r="T31" s="62">
        <v>149.2279968</v>
      </c>
      <c r="U31" s="5">
        <f>LN(T31/T30)</f>
        <v>2.2070784247228614E-3</v>
      </c>
      <c r="V31" s="59">
        <v>46.213001249999998</v>
      </c>
      <c r="W31" s="5">
        <f t="shared" ref="V31:W31" si="38">LN(V31/V30)</f>
        <v>-2.0319496730300045E-3</v>
      </c>
      <c r="X31" s="5"/>
    </row>
    <row r="32" spans="1:32" ht="13.8" thickBot="1">
      <c r="A32" s="13">
        <v>45488</v>
      </c>
      <c r="B32" s="35">
        <v>696.02288818359295</v>
      </c>
      <c r="C32" s="5">
        <f t="shared" si="0"/>
        <v>2.5607929803351539E-3</v>
      </c>
      <c r="D32" s="24">
        <v>111.49349975585938</v>
      </c>
      <c r="E32" s="5">
        <f t="shared" si="1"/>
        <v>8.5110546229210538E-3</v>
      </c>
      <c r="F32" s="24">
        <v>418.96688842773438</v>
      </c>
      <c r="G32" s="5">
        <f t="shared" si="2"/>
        <v>6.6067374937651491E-3</v>
      </c>
      <c r="H32" s="36">
        <v>84.311798095703097</v>
      </c>
      <c r="I32" s="5">
        <f t="shared" si="3"/>
        <v>2.4344334790108555E-3</v>
      </c>
      <c r="J32" s="35"/>
      <c r="K32" s="5" t="e">
        <f t="shared" si="4"/>
        <v>#DIV/0!</v>
      </c>
      <c r="L32" s="36">
        <v>149.98800659179599</v>
      </c>
      <c r="M32" s="5">
        <f t="shared" si="5"/>
        <v>5.0800183905995253E-3</v>
      </c>
      <c r="N32" s="24">
        <v>97.767097473144531</v>
      </c>
      <c r="O32" s="5">
        <f t="shared" si="6"/>
        <v>3.982627289112901E-3</v>
      </c>
      <c r="P32" s="36">
        <v>18.086000442504801</v>
      </c>
      <c r="Q32" s="5">
        <f t="shared" si="7"/>
        <v>2.1586677666728129E-3</v>
      </c>
      <c r="R32" s="24">
        <v>51.222549438476563</v>
      </c>
      <c r="S32" s="5">
        <f t="shared" si="8"/>
        <v>7.1386342852668306E-3</v>
      </c>
      <c r="T32" s="62">
        <v>149.98800660000001</v>
      </c>
      <c r="U32" s="5">
        <f>LN(T32/T31)</f>
        <v>5.0800186206730194E-3</v>
      </c>
      <c r="V32" s="59">
        <v>46.448001859999998</v>
      </c>
      <c r="W32" s="5">
        <f t="shared" ref="V32:W32" si="39">LN(V32/V31)</f>
        <v>5.0722764907238579E-3</v>
      </c>
      <c r="X32" s="5"/>
    </row>
    <row r="33" spans="1:24" ht="13.8" thickBot="1">
      <c r="A33" s="13">
        <v>45489</v>
      </c>
      <c r="B33" s="35">
        <v>697.19580078125</v>
      </c>
      <c r="C33" s="5">
        <f t="shared" si="0"/>
        <v>1.6837455369321146E-3</v>
      </c>
      <c r="D33" s="24">
        <v>111.36540222167969</v>
      </c>
      <c r="E33" s="5">
        <f t="shared" si="1"/>
        <v>-1.1495843078308317E-3</v>
      </c>
      <c r="F33" s="24">
        <v>420.11550903320313</v>
      </c>
      <c r="G33" s="5">
        <f t="shared" si="2"/>
        <v>2.7378034062160487E-3</v>
      </c>
      <c r="H33" s="36">
        <v>84.305900573730398</v>
      </c>
      <c r="I33" s="5">
        <f t="shared" si="3"/>
        <v>-6.9951399190524151E-5</v>
      </c>
      <c r="J33" s="35"/>
      <c r="K33" s="5" t="e">
        <f t="shared" si="4"/>
        <v>#DIV/0!</v>
      </c>
      <c r="L33" s="36">
        <v>150.072006225585</v>
      </c>
      <c r="M33" s="5">
        <f t="shared" si="5"/>
        <v>5.5988557218659908E-4</v>
      </c>
      <c r="N33" s="24">
        <v>97.471298217773438</v>
      </c>
      <c r="O33" s="5">
        <f t="shared" si="6"/>
        <v>-3.0301363689581623E-3</v>
      </c>
      <c r="P33" s="36">
        <v>18.099000930786101</v>
      </c>
      <c r="Q33" s="5">
        <f t="shared" si="7"/>
        <v>7.1855676922912622E-4</v>
      </c>
      <c r="R33" s="24">
        <v>51.270469665527344</v>
      </c>
      <c r="S33" s="5">
        <f t="shared" si="8"/>
        <v>9.3509257433301333E-4</v>
      </c>
      <c r="T33" s="62">
        <v>150.0720062</v>
      </c>
      <c r="U33" s="5">
        <f>LN(T33/T32)</f>
        <v>5.5988534700405015E-4</v>
      </c>
      <c r="V33" s="59">
        <v>46.553001399999999</v>
      </c>
      <c r="W33" s="5">
        <f t="shared" ref="V33:W33" si="40">LN(V33/V32)</f>
        <v>2.2580312240273394E-3</v>
      </c>
      <c r="X33" s="5"/>
    </row>
    <row r="34" spans="1:24" ht="13.8" thickBot="1">
      <c r="A34" s="13">
        <v>45491</v>
      </c>
      <c r="B34" s="35">
        <v>698.25787353515602</v>
      </c>
      <c r="C34" s="5">
        <f t="shared" si="0"/>
        <v>1.5221902074254912E-3</v>
      </c>
      <c r="D34" s="24">
        <v>110.84839630126953</v>
      </c>
      <c r="E34" s="5">
        <f t="shared" si="1"/>
        <v>-4.6532380682412404E-3</v>
      </c>
      <c r="F34" s="24">
        <v>419.9849853515625</v>
      </c>
      <c r="G34" s="5">
        <f t="shared" si="2"/>
        <v>-3.1073349810717171E-4</v>
      </c>
      <c r="H34" s="36">
        <v>84.000198364257798</v>
      </c>
      <c r="I34" s="5">
        <f t="shared" si="3"/>
        <v>-3.6326971819142569E-3</v>
      </c>
      <c r="J34" s="35"/>
      <c r="K34" s="5" t="e">
        <f t="shared" si="4"/>
        <v>#DIV/0!</v>
      </c>
      <c r="L34" s="36">
        <v>148.82600402832</v>
      </c>
      <c r="M34" s="5">
        <f t="shared" si="5"/>
        <v>-8.3373550317081442E-3</v>
      </c>
      <c r="N34" s="24">
        <v>97.705497741699219</v>
      </c>
      <c r="O34" s="5">
        <f t="shared" si="6"/>
        <v>2.3998717181335648E-3</v>
      </c>
      <c r="P34" s="36">
        <v>18.1679992675781</v>
      </c>
      <c r="Q34" s="5">
        <f t="shared" si="7"/>
        <v>3.8050249351926626E-3</v>
      </c>
      <c r="R34" s="24">
        <v>51.055294036865234</v>
      </c>
      <c r="S34" s="5">
        <f t="shared" si="8"/>
        <v>-4.2057041754562999E-3</v>
      </c>
      <c r="T34" s="62">
        <v>148.82600400000001</v>
      </c>
      <c r="U34" s="5">
        <f>LN(T34/T33)</f>
        <v>-8.3373550515125298E-3</v>
      </c>
      <c r="V34" s="59">
        <v>46.222000119999997</v>
      </c>
      <c r="W34" s="5">
        <f t="shared" ref="V34:W34" si="41">LN(V34/V33)</f>
        <v>-7.1356007337362772E-3</v>
      </c>
      <c r="X34" s="5"/>
    </row>
    <row r="35" spans="1:24" ht="13.8" thickBot="1">
      <c r="A35" s="13">
        <v>45492</v>
      </c>
      <c r="B35" s="35">
        <v>692.08502197265602</v>
      </c>
      <c r="C35" s="5">
        <f t="shared" si="0"/>
        <v>-8.8796686664944589E-3</v>
      </c>
      <c r="D35" s="24">
        <v>109.35160064697266</v>
      </c>
      <c r="E35" s="5">
        <f t="shared" si="1"/>
        <v>-1.3595083822928034E-2</v>
      </c>
      <c r="F35" s="24">
        <v>413.20260620117188</v>
      </c>
      <c r="G35" s="5">
        <f t="shared" si="2"/>
        <v>-1.6280916889810766E-2</v>
      </c>
      <c r="H35" s="36">
        <v>83.261901855468693</v>
      </c>
      <c r="I35" s="5">
        <f t="shared" si="3"/>
        <v>-8.8280764469311854E-3</v>
      </c>
      <c r="J35" s="35"/>
      <c r="K35" s="5" t="e">
        <f t="shared" si="4"/>
        <v>#DIV/0!</v>
      </c>
      <c r="L35" s="36">
        <v>145.72799682617099</v>
      </c>
      <c r="M35" s="5">
        <f t="shared" si="5"/>
        <v>-2.1036016723240666E-2</v>
      </c>
      <c r="N35" s="24">
        <v>96.40899658203125</v>
      </c>
      <c r="O35" s="5">
        <f t="shared" si="6"/>
        <v>-1.3358306329154353E-2</v>
      </c>
      <c r="P35" s="36">
        <v>17.944999694824201</v>
      </c>
      <c r="Q35" s="5">
        <f t="shared" si="7"/>
        <v>-1.2350256896017412E-2</v>
      </c>
      <c r="R35" s="24">
        <v>50.098739624023438</v>
      </c>
      <c r="S35" s="5">
        <f t="shared" si="8"/>
        <v>-1.8913391639475627E-2</v>
      </c>
      <c r="T35" s="62">
        <v>145.7279968</v>
      </c>
      <c r="U35" s="5">
        <f>LN(T35/T34)</f>
        <v>-2.1036016712539397E-2</v>
      </c>
      <c r="V35" s="59">
        <v>45.32799911</v>
      </c>
      <c r="W35" s="5">
        <f t="shared" ref="V35:W35" si="42">LN(V35/V34)</f>
        <v>-1.9530954363847823E-2</v>
      </c>
      <c r="X35" s="5"/>
    </row>
    <row r="36" spans="1:24" ht="13.8" thickBot="1">
      <c r="A36" s="13">
        <v>45495</v>
      </c>
      <c r="B36" s="35">
        <v>693.28271484375</v>
      </c>
      <c r="C36" s="5">
        <f t="shared" si="0"/>
        <v>1.7290617323555144E-3</v>
      </c>
      <c r="D36" s="24">
        <v>110.24040222167969</v>
      </c>
      <c r="E36" s="5">
        <f t="shared" si="1"/>
        <v>8.0950710107923901E-3</v>
      </c>
      <c r="F36" s="24">
        <v>414.70089721679688</v>
      </c>
      <c r="G36" s="5">
        <f t="shared" si="2"/>
        <v>3.6194861965392817E-3</v>
      </c>
      <c r="H36" s="36">
        <v>83.782897949218693</v>
      </c>
      <c r="I36" s="5">
        <f t="shared" si="3"/>
        <v>6.2378210361024857E-3</v>
      </c>
      <c r="J36" s="35"/>
      <c r="K36" s="5" t="e">
        <f t="shared" si="4"/>
        <v>#DIV/0!</v>
      </c>
      <c r="L36" s="36">
        <v>147.42399597167901</v>
      </c>
      <c r="M36" s="5">
        <f t="shared" si="5"/>
        <v>1.1570912766631638E-2</v>
      </c>
      <c r="N36" s="24">
        <v>96.701301574707031</v>
      </c>
      <c r="O36" s="5">
        <f t="shared" si="6"/>
        <v>3.0273394915602209E-3</v>
      </c>
      <c r="P36" s="36">
        <v>17.961999893188398</v>
      </c>
      <c r="Q36" s="5">
        <f t="shared" si="7"/>
        <v>9.4690170883027051E-4</v>
      </c>
      <c r="R36" s="24">
        <v>50.753318786621094</v>
      </c>
      <c r="S36" s="5">
        <f t="shared" si="8"/>
        <v>1.2981160024766793E-2</v>
      </c>
      <c r="T36" s="62">
        <v>147.42399599999999</v>
      </c>
      <c r="U36" s="5">
        <f>LN(T36/T35)</f>
        <v>1.1570913138325263E-2</v>
      </c>
      <c r="V36" s="59">
        <v>45.7179985</v>
      </c>
      <c r="W36" s="5">
        <f t="shared" ref="V36:W36" si="43">LN(V36/V35)</f>
        <v>8.5671371745240001E-3</v>
      </c>
      <c r="X36" s="5"/>
    </row>
    <row r="37" spans="1:24" ht="13.8" thickBot="1">
      <c r="A37" s="13">
        <v>45496</v>
      </c>
      <c r="B37" s="35">
        <v>689.63171386718705</v>
      </c>
      <c r="C37" s="5">
        <f t="shared" si="0"/>
        <v>-5.2801668466265833E-3</v>
      </c>
      <c r="D37" s="24">
        <v>110.18409729003906</v>
      </c>
      <c r="E37" s="5">
        <f t="shared" si="1"/>
        <v>-5.1087726627449331E-4</v>
      </c>
      <c r="F37" s="24">
        <v>413.93460083007813</v>
      </c>
      <c r="G37" s="5">
        <f t="shared" si="2"/>
        <v>-1.8495384447564213E-3</v>
      </c>
      <c r="H37" s="36">
        <v>83.840400695800696</v>
      </c>
      <c r="I37" s="5">
        <f t="shared" si="3"/>
        <v>6.8609494387114524E-4</v>
      </c>
      <c r="J37" s="35"/>
      <c r="K37" s="5" t="e">
        <f t="shared" si="4"/>
        <v>#DIV/0!</v>
      </c>
      <c r="L37" s="36">
        <v>146.90699768066401</v>
      </c>
      <c r="M37" s="5">
        <f t="shared" si="5"/>
        <v>-3.5130437084429341E-3</v>
      </c>
      <c r="N37" s="24">
        <v>96.544502258300781</v>
      </c>
      <c r="O37" s="5">
        <f t="shared" si="6"/>
        <v>-1.6227969529653704E-3</v>
      </c>
      <c r="P37" s="36">
        <v>17.9270000457763</v>
      </c>
      <c r="Q37" s="5">
        <f t="shared" si="7"/>
        <v>-1.9504504760412896E-3</v>
      </c>
      <c r="R37" s="24">
        <v>50.608661651611328</v>
      </c>
      <c r="S37" s="5">
        <f t="shared" si="8"/>
        <v>-2.8542700644316153E-3</v>
      </c>
      <c r="T37" s="62">
        <v>146.90699770000001</v>
      </c>
      <c r="U37" s="5">
        <f>LN(T37/T36)</f>
        <v>-3.5130437689279456E-3</v>
      </c>
      <c r="V37" s="59">
        <v>45.631999970000003</v>
      </c>
      <c r="W37" s="5">
        <f t="shared" ref="V37:W37" si="44">LN(V37/V36)</f>
        <v>-1.8828364936243553E-3</v>
      </c>
      <c r="X37" s="5"/>
    </row>
    <row r="38" spans="1:24" ht="13.8" thickBot="1">
      <c r="A38" s="13">
        <v>45497</v>
      </c>
      <c r="B38" s="35">
        <v>691.09661865234295</v>
      </c>
      <c r="C38" s="5">
        <f t="shared" si="0"/>
        <v>2.1219313029355643E-3</v>
      </c>
      <c r="D38" s="24">
        <v>111.57949829101563</v>
      </c>
      <c r="E38" s="5">
        <f t="shared" si="1"/>
        <v>1.258474740868735E-2</v>
      </c>
      <c r="F38" s="24">
        <v>416.168701171875</v>
      </c>
      <c r="G38" s="5">
        <f t="shared" si="2"/>
        <v>5.3827173812602304E-3</v>
      </c>
      <c r="H38" s="36">
        <v>83.311096191406193</v>
      </c>
      <c r="I38" s="5">
        <f t="shared" si="3"/>
        <v>-6.3332519714657878E-3</v>
      </c>
      <c r="J38" s="35"/>
      <c r="K38" s="5" t="e">
        <f t="shared" si="4"/>
        <v>#DIV/0!</v>
      </c>
      <c r="L38" s="36">
        <v>147.69500732421801</v>
      </c>
      <c r="M38" s="5">
        <f t="shared" si="5"/>
        <v>5.3496684306288981E-3</v>
      </c>
      <c r="N38" s="24">
        <v>96.761703491210938</v>
      </c>
      <c r="O38" s="5">
        <f t="shared" si="6"/>
        <v>2.2472255712011266E-3</v>
      </c>
      <c r="P38" s="36">
        <v>17.9270000457763</v>
      </c>
      <c r="Q38" s="5">
        <f t="shared" si="7"/>
        <v>0</v>
      </c>
      <c r="R38" s="24">
        <v>51.194526672363281</v>
      </c>
      <c r="S38" s="5">
        <f t="shared" si="8"/>
        <v>1.1509884871160236E-2</v>
      </c>
      <c r="T38" s="62">
        <v>147.69500729999999</v>
      </c>
      <c r="U38" s="5">
        <f>LN(T38/T37)</f>
        <v>5.3496681350350727E-3</v>
      </c>
      <c r="V38" s="59">
        <v>46.4109993</v>
      </c>
      <c r="W38" s="5">
        <f t="shared" ref="V38:W38" si="45">LN(V38/V37)</f>
        <v>1.6927260884291168E-2</v>
      </c>
      <c r="X38" s="5"/>
    </row>
    <row r="39" spans="1:24" ht="13.8" thickBot="1">
      <c r="A39" s="13">
        <v>45498</v>
      </c>
      <c r="B39" s="35">
        <v>689.96569824218705</v>
      </c>
      <c r="C39" s="5">
        <f t="shared" si="0"/>
        <v>-1.6377547183855381E-3</v>
      </c>
      <c r="D39" s="24">
        <v>110.95500183105469</v>
      </c>
      <c r="E39" s="5">
        <f t="shared" si="1"/>
        <v>-5.6125957906284392E-3</v>
      </c>
      <c r="F39" s="24">
        <v>417.63778686523438</v>
      </c>
      <c r="G39" s="5">
        <f t="shared" si="2"/>
        <v>3.5238085445501439E-3</v>
      </c>
      <c r="H39" s="36">
        <v>82.956497192382798</v>
      </c>
      <c r="I39" s="5">
        <f t="shared" si="3"/>
        <v>-4.2654077012725397E-3</v>
      </c>
      <c r="J39" s="35"/>
      <c r="K39" s="5" t="e">
        <f t="shared" si="4"/>
        <v>#DIV/0!</v>
      </c>
      <c r="L39" s="36">
        <v>147.46699523925699</v>
      </c>
      <c r="M39" s="5">
        <f t="shared" si="5"/>
        <v>-1.5449964991185151E-3</v>
      </c>
      <c r="N39" s="24">
        <v>96.7322998046875</v>
      </c>
      <c r="O39" s="5">
        <f t="shared" si="6"/>
        <v>-3.039234937405975E-4</v>
      </c>
      <c r="P39" s="36">
        <v>17.9179992675781</v>
      </c>
      <c r="Q39" s="5">
        <f t="shared" si="7"/>
        <v>-5.022055271190764E-4</v>
      </c>
      <c r="R39" s="24">
        <v>51.050769805908203</v>
      </c>
      <c r="S39" s="5">
        <f t="shared" si="8"/>
        <v>-2.8120014540449936E-3</v>
      </c>
      <c r="T39" s="62">
        <v>147.46699520000001</v>
      </c>
      <c r="U39" s="5">
        <f>LN(T39/T38)</f>
        <v>-1.5449966013539151E-3</v>
      </c>
      <c r="V39" s="59">
        <v>46.403999329999998</v>
      </c>
      <c r="W39" s="5">
        <f t="shared" ref="V39:W39" si="46">LN(V39/V38)</f>
        <v>-1.5083704393899087E-4</v>
      </c>
      <c r="X39" s="5"/>
    </row>
    <row r="40" spans="1:24" ht="13.8" thickBot="1">
      <c r="A40" s="13">
        <v>45499</v>
      </c>
      <c r="B40" s="35">
        <v>694.27917480468705</v>
      </c>
      <c r="C40" s="5">
        <f t="shared" si="0"/>
        <v>6.2322651261666456E-3</v>
      </c>
      <c r="D40" s="24">
        <v>112.08480072021484</v>
      </c>
      <c r="E40" s="5">
        <f t="shared" si="1"/>
        <v>1.013100387918903E-2</v>
      </c>
      <c r="F40" s="24">
        <v>422.93389892578125</v>
      </c>
      <c r="G40" s="5">
        <f t="shared" si="2"/>
        <v>1.2601381257097557E-2</v>
      </c>
      <c r="H40" s="36">
        <v>84.010597229003906</v>
      </c>
      <c r="I40" s="5">
        <f t="shared" si="3"/>
        <v>1.2626608194179807E-2</v>
      </c>
      <c r="J40" s="35"/>
      <c r="K40" s="5" t="e">
        <f t="shared" si="4"/>
        <v>#DIV/0!</v>
      </c>
      <c r="L40" s="36">
        <v>150.48699951171801</v>
      </c>
      <c r="M40" s="5">
        <f t="shared" si="5"/>
        <v>2.0272308824008402E-2</v>
      </c>
      <c r="N40" s="24">
        <v>98.31109619140625</v>
      </c>
      <c r="O40" s="5">
        <f t="shared" si="6"/>
        <v>1.6189534253989939E-2</v>
      </c>
      <c r="P40" s="36">
        <v>18.1840000152587</v>
      </c>
      <c r="Q40" s="5">
        <f t="shared" si="7"/>
        <v>1.4736334090304027E-2</v>
      </c>
      <c r="R40" s="24">
        <v>51.859951019287109</v>
      </c>
      <c r="S40" s="5">
        <f t="shared" si="8"/>
        <v>1.5726211683755389E-2</v>
      </c>
      <c r="T40" s="62">
        <v>150.4869995</v>
      </c>
      <c r="U40" s="5">
        <f>LN(T40/T39)</f>
        <v>2.0272309012349585E-2</v>
      </c>
      <c r="V40" s="59">
        <v>46.923999790000003</v>
      </c>
      <c r="W40" s="5">
        <f t="shared" ref="V40:W40" si="47">LN(V40/V39)</f>
        <v>1.1143619193402503E-2</v>
      </c>
      <c r="X40" s="5"/>
    </row>
    <row r="41" spans="1:24" ht="13.8" thickBot="1">
      <c r="A41" s="13">
        <v>45502</v>
      </c>
      <c r="B41" s="35">
        <v>694.57269287109295</v>
      </c>
      <c r="C41" s="5">
        <f t="shared" si="0"/>
        <v>4.2267728849579934E-4</v>
      </c>
      <c r="D41" s="24">
        <v>112.75160217285156</v>
      </c>
      <c r="E41" s="5">
        <f t="shared" si="1"/>
        <v>5.9314541507912728E-3</v>
      </c>
      <c r="F41" s="24">
        <v>424.53131103515625</v>
      </c>
      <c r="G41" s="5">
        <f t="shared" si="2"/>
        <v>3.7698633110832699E-3</v>
      </c>
      <c r="H41" s="36">
        <v>84.230300903320298</v>
      </c>
      <c r="I41" s="5">
        <f t="shared" si="3"/>
        <v>2.6117763474336067E-3</v>
      </c>
      <c r="J41" s="35"/>
      <c r="K41" s="5" t="e">
        <f t="shared" si="4"/>
        <v>#DIV/0!</v>
      </c>
      <c r="L41" s="36">
        <v>151.56799316406199</v>
      </c>
      <c r="M41" s="5">
        <f t="shared" si="5"/>
        <v>7.1576255558661048E-3</v>
      </c>
      <c r="N41" s="24">
        <v>98.483901977539063</v>
      </c>
      <c r="O41" s="5">
        <f t="shared" si="6"/>
        <v>1.7562014497853424E-3</v>
      </c>
      <c r="P41" s="36">
        <v>18.257999420166001</v>
      </c>
      <c r="Q41" s="5">
        <f t="shared" si="7"/>
        <v>4.0612209957138108E-3</v>
      </c>
      <c r="R41" s="24">
        <v>52.123050689697266</v>
      </c>
      <c r="S41" s="5">
        <f t="shared" si="8"/>
        <v>5.0604469488898006E-3</v>
      </c>
      <c r="T41" s="62">
        <v>151.56799319999999</v>
      </c>
      <c r="U41" s="5">
        <f>LN(T41/T40)</f>
        <v>7.1576258708415542E-3</v>
      </c>
      <c r="V41" s="59">
        <v>47.23500061</v>
      </c>
      <c r="W41" s="5">
        <f t="shared" ref="V41:W41" si="48">LN(V41/V40)</f>
        <v>6.6058889670980673E-3</v>
      </c>
      <c r="X41" s="5"/>
    </row>
    <row r="42" spans="1:24" ht="13.8" thickBot="1">
      <c r="A42" s="13">
        <v>45503</v>
      </c>
      <c r="B42" s="35">
        <v>696.63092041015602</v>
      </c>
      <c r="C42" s="5">
        <f t="shared" si="0"/>
        <v>2.958918480510545E-3</v>
      </c>
      <c r="D42" s="24">
        <v>113.2947998046875</v>
      </c>
      <c r="E42" s="5">
        <f t="shared" si="1"/>
        <v>4.8060811644615549E-3</v>
      </c>
      <c r="F42" s="24">
        <v>425.66119384765625</v>
      </c>
      <c r="G42" s="5">
        <f t="shared" si="2"/>
        <v>2.6579473970884922E-3</v>
      </c>
      <c r="H42" s="36">
        <v>84.454902648925696</v>
      </c>
      <c r="I42" s="5">
        <f t="shared" si="3"/>
        <v>2.6629707123596541E-3</v>
      </c>
      <c r="J42" s="35"/>
      <c r="K42" s="5" t="e">
        <f t="shared" si="4"/>
        <v>#DIV/0!</v>
      </c>
      <c r="L42" s="36">
        <v>151.71200561523401</v>
      </c>
      <c r="M42" s="5">
        <f t="shared" si="5"/>
        <v>9.4969970044686677E-4</v>
      </c>
      <c r="N42" s="24">
        <v>98.680198669433594</v>
      </c>
      <c r="O42" s="5">
        <f t="shared" si="6"/>
        <v>1.9912018071060683E-3</v>
      </c>
      <c r="P42" s="36">
        <v>18.291999816894499</v>
      </c>
      <c r="Q42" s="5">
        <f t="shared" si="7"/>
        <v>1.8604874005838199E-3</v>
      </c>
      <c r="R42" s="24">
        <v>52.328281402587891</v>
      </c>
      <c r="S42" s="5">
        <f t="shared" si="8"/>
        <v>3.9296957326622733E-3</v>
      </c>
      <c r="T42" s="62">
        <v>151.7120056</v>
      </c>
      <c r="U42" s="5">
        <f>LN(T42/T41)</f>
        <v>9.4969936292469889E-4</v>
      </c>
      <c r="V42" s="59">
        <v>47.703998570000003</v>
      </c>
      <c r="W42" s="5">
        <f t="shared" ref="V42:W42" si="49">LN(V42/V41)</f>
        <v>9.8800657090323662E-3</v>
      </c>
      <c r="X42" s="5"/>
    </row>
    <row r="43" spans="1:24" ht="13.8" thickBot="1">
      <c r="A43" s="13">
        <v>45504</v>
      </c>
      <c r="B43" s="35">
        <v>700.21490478515602</v>
      </c>
      <c r="C43" s="5">
        <f t="shared" si="0"/>
        <v>5.1315502041078863E-3</v>
      </c>
      <c r="D43" s="24">
        <v>113.84960174560547</v>
      </c>
      <c r="E43" s="5">
        <f t="shared" si="1"/>
        <v>4.8850250362547695E-3</v>
      </c>
      <c r="F43" s="24">
        <v>427.802001953125</v>
      </c>
      <c r="G43" s="5">
        <f t="shared" si="2"/>
        <v>5.0167660561764938E-3</v>
      </c>
      <c r="H43" s="36">
        <v>84.901298522949205</v>
      </c>
      <c r="I43" s="5">
        <f t="shared" si="3"/>
        <v>5.2716925006606108E-3</v>
      </c>
      <c r="J43" s="35"/>
      <c r="K43" s="5" t="e">
        <f t="shared" si="4"/>
        <v>#DIV/0!</v>
      </c>
      <c r="L43" s="36">
        <v>152.07400512695301</v>
      </c>
      <c r="M43" s="5">
        <f t="shared" si="5"/>
        <v>2.3832544637460633E-3</v>
      </c>
      <c r="N43" s="24">
        <v>99.038002014160156</v>
      </c>
      <c r="O43" s="5">
        <f t="shared" si="6"/>
        <v>3.6193302799439621E-3</v>
      </c>
      <c r="P43" s="36">
        <v>18.3710002899169</v>
      </c>
      <c r="Q43" s="5">
        <f t="shared" si="7"/>
        <v>4.3095543223580996E-3</v>
      </c>
      <c r="R43" s="24">
        <v>52.601325988769531</v>
      </c>
      <c r="S43" s="5">
        <f t="shared" si="8"/>
        <v>5.2043500258848107E-3</v>
      </c>
      <c r="T43" s="62">
        <v>152.07400509999999</v>
      </c>
      <c r="U43" s="5">
        <f>LN(T43/T42)</f>
        <v>2.3832543869238554E-3</v>
      </c>
      <c r="V43" s="59">
        <v>47.769001009999997</v>
      </c>
      <c r="W43" s="5">
        <f t="shared" ref="V43:W43" si="50">LN(V43/V42)</f>
        <v>1.3616928415352697E-3</v>
      </c>
      <c r="X43" s="5"/>
    </row>
    <row r="44" spans="1:24" ht="13.8" thickBot="1">
      <c r="A44" s="12">
        <v>45505</v>
      </c>
      <c r="B44" s="35">
        <v>700.78948974609295</v>
      </c>
      <c r="C44" s="5">
        <f t="shared" si="0"/>
        <v>8.2024723890252837E-4</v>
      </c>
      <c r="D44" s="24">
        <v>113.12539672851563</v>
      </c>
      <c r="E44" s="5">
        <f t="shared" si="1"/>
        <v>-6.3813854349716636E-3</v>
      </c>
      <c r="F44" s="24">
        <v>427.40509033203125</v>
      </c>
      <c r="G44" s="5">
        <f t="shared" si="2"/>
        <v>-9.2822347516181012E-4</v>
      </c>
      <c r="H44" s="36">
        <v>85.3406982421875</v>
      </c>
      <c r="I44" s="5">
        <f t="shared" si="3"/>
        <v>5.1620716780849596E-3</v>
      </c>
      <c r="J44" s="35"/>
      <c r="K44" s="5" t="e">
        <f t="shared" si="4"/>
        <v>#DIV/0!</v>
      </c>
      <c r="L44" s="36">
        <v>151.36700439453099</v>
      </c>
      <c r="M44" s="5">
        <f t="shared" si="5"/>
        <v>-4.6598975721331599E-3</v>
      </c>
      <c r="N44" s="24">
        <v>99.190498352050781</v>
      </c>
      <c r="O44" s="5">
        <f t="shared" si="6"/>
        <v>1.5385917533771035E-3</v>
      </c>
      <c r="P44" s="36">
        <v>18.392000198364201</v>
      </c>
      <c r="Q44" s="5">
        <f t="shared" si="7"/>
        <v>1.1424481382069252E-3</v>
      </c>
      <c r="R44" s="24">
        <v>52.246910095214844</v>
      </c>
      <c r="S44" s="5">
        <f t="shared" si="8"/>
        <v>-6.7605761753173829E-3</v>
      </c>
      <c r="T44" s="62">
        <v>151.36700440000001</v>
      </c>
      <c r="U44" s="5">
        <f>LN(T44/T43)</f>
        <v>-4.6598973587660868E-3</v>
      </c>
      <c r="V44" s="59">
        <v>47.673999790000003</v>
      </c>
      <c r="W44" s="5">
        <f t="shared" ref="V44:W44" si="51">LN(V44/V43)</f>
        <v>-1.9907431781965748E-3</v>
      </c>
      <c r="X44" s="5"/>
    </row>
    <row r="45" spans="1:24" ht="13.8" thickBot="1">
      <c r="A45" s="12">
        <v>45506</v>
      </c>
      <c r="B45" s="35">
        <v>696.87829589843705</v>
      </c>
      <c r="C45" s="5">
        <f t="shared" si="0"/>
        <v>-5.5967578236314642E-3</v>
      </c>
      <c r="D45" s="24">
        <v>112.68710327148438</v>
      </c>
      <c r="E45" s="5">
        <f t="shared" si="1"/>
        <v>-3.8819286570197613E-3</v>
      </c>
      <c r="F45" s="24">
        <v>423.34060668945313</v>
      </c>
      <c r="G45" s="5">
        <f t="shared" si="2"/>
        <v>-9.5551810163960645E-3</v>
      </c>
      <c r="H45" s="36">
        <v>84.446601867675696</v>
      </c>
      <c r="I45" s="5">
        <f t="shared" si="3"/>
        <v>-1.0532055562003945E-2</v>
      </c>
      <c r="J45" s="35"/>
      <c r="K45" s="5" t="e">
        <f t="shared" si="4"/>
        <v>#DIV/0!</v>
      </c>
      <c r="L45" s="36">
        <v>149.05700683593699</v>
      </c>
      <c r="M45" s="5">
        <f t="shared" si="5"/>
        <v>-1.5378551635245387E-2</v>
      </c>
      <c r="N45" s="24">
        <v>98.399200439453125</v>
      </c>
      <c r="O45" s="5">
        <f t="shared" si="6"/>
        <v>-8.0095485520628763E-3</v>
      </c>
      <c r="P45" s="36">
        <v>18.165000915527301</v>
      </c>
      <c r="Q45" s="5">
        <f t="shared" si="7"/>
        <v>-1.2419082172446593E-2</v>
      </c>
      <c r="R45" s="24">
        <v>51.617649078369141</v>
      </c>
      <c r="S45" s="5">
        <f t="shared" si="8"/>
        <v>-1.2117101753671561E-2</v>
      </c>
      <c r="T45" s="62">
        <v>149.05700680000001</v>
      </c>
      <c r="U45" s="5">
        <f>LN(T45/T44)</f>
        <v>-1.5378551912471738E-2</v>
      </c>
      <c r="V45" s="59">
        <v>47.587001800000003</v>
      </c>
      <c r="W45" s="5">
        <f t="shared" ref="V45:W45" si="52">LN(V45/V44)</f>
        <v>-1.8265189896095944E-3</v>
      </c>
      <c r="X45" s="5"/>
    </row>
    <row r="46" spans="1:24" ht="13.8" thickBot="1">
      <c r="A46" s="12">
        <v>45509</v>
      </c>
      <c r="B46" s="35">
        <v>686.48876953125</v>
      </c>
      <c r="C46" s="5">
        <f t="shared" si="0"/>
        <v>-1.5020918125656115E-2</v>
      </c>
      <c r="D46" s="24">
        <v>109.65879821777344</v>
      </c>
      <c r="E46" s="5">
        <f t="shared" si="1"/>
        <v>-2.724126960023086E-2</v>
      </c>
      <c r="F46" s="24">
        <v>411.69320678710938</v>
      </c>
      <c r="G46" s="5">
        <f t="shared" si="2"/>
        <v>-2.7898643549049144E-2</v>
      </c>
      <c r="H46" s="36">
        <v>82.247901916503906</v>
      </c>
      <c r="I46" s="5">
        <f t="shared" si="3"/>
        <v>-2.6381523344606632E-2</v>
      </c>
      <c r="J46" s="35"/>
      <c r="K46" s="5" t="e">
        <f t="shared" si="4"/>
        <v>#DIV/0!</v>
      </c>
      <c r="L46" s="36">
        <v>143.92599487304599</v>
      </c>
      <c r="M46" s="5">
        <f t="shared" si="5"/>
        <v>-3.5029586009723244E-2</v>
      </c>
      <c r="N46" s="24">
        <v>95.699501037597656</v>
      </c>
      <c r="O46" s="5">
        <f t="shared" si="6"/>
        <v>-2.7819593782770664E-2</v>
      </c>
      <c r="P46" s="36">
        <v>17.69700050354</v>
      </c>
      <c r="Q46" s="5">
        <f t="shared" si="7"/>
        <v>-2.6101553931328438E-2</v>
      </c>
      <c r="R46" s="24">
        <v>50.154792785644531</v>
      </c>
      <c r="S46" s="5">
        <f t="shared" si="8"/>
        <v>-2.8749571561513122E-2</v>
      </c>
      <c r="T46" s="62">
        <v>143.92599490000001</v>
      </c>
      <c r="U46" s="5">
        <f>LN(T46/T45)</f>
        <v>-3.5029585581350844E-2</v>
      </c>
      <c r="V46" s="59">
        <v>46.191001890000003</v>
      </c>
      <c r="W46" s="5">
        <f t="shared" ref="V46:W46" si="53">LN(V46/V45)</f>
        <v>-2.9774637685059099E-2</v>
      </c>
      <c r="X46" s="5"/>
    </row>
    <row r="47" spans="1:24" ht="13.8" thickBot="1">
      <c r="A47" s="12">
        <v>45510</v>
      </c>
      <c r="B47" s="35">
        <v>685.12322998046795</v>
      </c>
      <c r="C47" s="5">
        <f t="shared" si="0"/>
        <v>-1.9911461877365551E-3</v>
      </c>
      <c r="D47" s="24">
        <v>109.07890319824219</v>
      </c>
      <c r="E47" s="5">
        <f t="shared" si="1"/>
        <v>-5.3022078438730849E-3</v>
      </c>
      <c r="F47" s="24">
        <v>411.03970336914063</v>
      </c>
      <c r="G47" s="5">
        <f t="shared" si="2"/>
        <v>-1.5886165421095905E-3</v>
      </c>
      <c r="H47" s="36">
        <v>82.185699462890597</v>
      </c>
      <c r="I47" s="5">
        <f t="shared" si="3"/>
        <v>-7.565662499456065E-4</v>
      </c>
      <c r="J47" s="35"/>
      <c r="K47" s="5" t="e">
        <f t="shared" si="4"/>
        <v>#DIV/0!</v>
      </c>
      <c r="L47" s="36">
        <v>143.33999633789</v>
      </c>
      <c r="M47" s="5">
        <f t="shared" si="5"/>
        <v>-4.0798379614527935E-3</v>
      </c>
      <c r="N47" s="24">
        <v>95.164199829101563</v>
      </c>
      <c r="O47" s="5">
        <f t="shared" si="6"/>
        <v>-5.6092657704762171E-3</v>
      </c>
      <c r="P47" s="36">
        <v>17.642000198364201</v>
      </c>
      <c r="Q47" s="5">
        <f t="shared" si="7"/>
        <v>-3.1127280620212769E-3</v>
      </c>
      <c r="R47" s="24">
        <v>49.943233489990234</v>
      </c>
      <c r="S47" s="5">
        <f t="shared" si="8"/>
        <v>-4.2270485949917362E-3</v>
      </c>
      <c r="T47" s="62">
        <v>143.3399963</v>
      </c>
      <c r="U47" s="5">
        <f>LN(T47/T46)</f>
        <v>-4.0798384130662111E-3</v>
      </c>
      <c r="V47" s="59">
        <v>45.976001740000001</v>
      </c>
      <c r="W47" s="5">
        <f t="shared" ref="V47:W47" si="54">LN(V47/V46)</f>
        <v>-4.6654557816800382E-3</v>
      </c>
      <c r="X47" s="5"/>
    </row>
    <row r="48" spans="1:24" ht="13.8" thickBot="1">
      <c r="A48" s="12">
        <v>45511</v>
      </c>
      <c r="B48" s="35">
        <v>690.22161865234295</v>
      </c>
      <c r="C48" s="5">
        <f t="shared" si="0"/>
        <v>7.4140126103843899E-3</v>
      </c>
      <c r="D48" s="24">
        <v>111.83660125732422</v>
      </c>
      <c r="E48" s="5">
        <f t="shared" si="1"/>
        <v>2.4967385788437987E-2</v>
      </c>
      <c r="F48" s="24">
        <v>417.76638793945313</v>
      </c>
      <c r="G48" s="5">
        <f t="shared" si="2"/>
        <v>1.6232584063234756E-2</v>
      </c>
      <c r="H48" s="36">
        <v>83.418601989746094</v>
      </c>
      <c r="I48" s="5">
        <f t="shared" si="3"/>
        <v>1.4890015478114416E-2</v>
      </c>
      <c r="J48" s="35"/>
      <c r="K48" s="5" t="e">
        <f t="shared" si="4"/>
        <v>#DIV/0!</v>
      </c>
      <c r="L48" s="36">
        <v>146.48100280761699</v>
      </c>
      <c r="M48" s="5">
        <f t="shared" si="5"/>
        <v>2.1676341363264986E-2</v>
      </c>
      <c r="N48" s="24">
        <v>96.561698913574219</v>
      </c>
      <c r="O48" s="5">
        <f t="shared" si="6"/>
        <v>1.4578352160362934E-2</v>
      </c>
      <c r="P48" s="36">
        <v>17.861000061035099</v>
      </c>
      <c r="Q48" s="5">
        <f t="shared" si="7"/>
        <v>1.2337134259137544E-2</v>
      </c>
      <c r="R48" s="24">
        <v>50.896167755126953</v>
      </c>
      <c r="S48" s="5">
        <f t="shared" si="8"/>
        <v>1.8900600786503248E-2</v>
      </c>
      <c r="T48" s="62">
        <v>146.4810028</v>
      </c>
      <c r="U48" s="5">
        <f>LN(T48/T47)</f>
        <v>2.1676341575601814E-2</v>
      </c>
      <c r="V48" s="59">
        <v>47.011001589999999</v>
      </c>
      <c r="W48" s="5">
        <f t="shared" ref="V48:W48" si="55">LN(V48/V47)</f>
        <v>2.2262091650162803E-2</v>
      </c>
      <c r="X48" s="5"/>
    </row>
    <row r="49" spans="1:24" ht="13.8" thickBot="1">
      <c r="A49" s="12">
        <v>45512</v>
      </c>
      <c r="B49" s="35">
        <v>688.36602783203102</v>
      </c>
      <c r="C49" s="5">
        <f t="shared" si="0"/>
        <v>-2.6920188145609669E-3</v>
      </c>
      <c r="D49" s="24">
        <v>110.84339904785156</v>
      </c>
      <c r="E49" s="5">
        <f t="shared" si="1"/>
        <v>-8.9205029127511926E-3</v>
      </c>
      <c r="F49" s="24">
        <v>415.46578979492188</v>
      </c>
      <c r="G49" s="5">
        <f t="shared" si="2"/>
        <v>-5.5221198896814837E-3</v>
      </c>
      <c r="H49" s="36">
        <v>83.282997131347599</v>
      </c>
      <c r="I49" s="5">
        <f t="shared" si="3"/>
        <v>-1.6269176663457447E-3</v>
      </c>
      <c r="J49" s="35"/>
      <c r="K49" s="5" t="e">
        <f t="shared" si="4"/>
        <v>#DIV/0!</v>
      </c>
      <c r="L49" s="36">
        <v>146.07099914550699</v>
      </c>
      <c r="M49" s="5">
        <f t="shared" si="5"/>
        <v>-2.8029473584594154E-3</v>
      </c>
      <c r="N49" s="24">
        <v>95.903602600097656</v>
      </c>
      <c r="O49" s="5">
        <f t="shared" si="6"/>
        <v>-6.8386236173715509E-3</v>
      </c>
      <c r="P49" s="36">
        <v>17.7600002288818</v>
      </c>
      <c r="Q49" s="5">
        <f t="shared" si="7"/>
        <v>-5.6708178880612537E-3</v>
      </c>
      <c r="R49" s="24">
        <v>50.651149749755859</v>
      </c>
      <c r="S49" s="5">
        <f t="shared" si="8"/>
        <v>-4.8257007053857685E-3</v>
      </c>
      <c r="T49" s="62">
        <v>146.07099909999999</v>
      </c>
      <c r="U49" s="5">
        <f>LN(T49/T48)</f>
        <v>-2.8029476179997339E-3</v>
      </c>
      <c r="V49" s="59">
        <v>46.946998600000001</v>
      </c>
      <c r="W49" s="5">
        <f t="shared" ref="V49:W49" si="56">LN(V49/V48)</f>
        <v>-1.3623746731528949E-3</v>
      </c>
      <c r="X49" s="5"/>
    </row>
    <row r="50" spans="1:24" ht="13.8" thickBot="1">
      <c r="A50" s="12">
        <v>45513</v>
      </c>
      <c r="B50" s="35">
        <v>691.51837158203102</v>
      </c>
      <c r="C50" s="5">
        <f t="shared" si="0"/>
        <v>4.5690048170887263E-3</v>
      </c>
      <c r="D50" s="24">
        <v>111.52870178222656</v>
      </c>
      <c r="E50" s="5">
        <f t="shared" si="1"/>
        <v>6.1635870809211056E-3</v>
      </c>
      <c r="F50" s="24">
        <v>418.95849609375</v>
      </c>
      <c r="G50" s="5">
        <f t="shared" si="2"/>
        <v>8.3715844715295893E-3</v>
      </c>
      <c r="H50" s="36">
        <v>83.838798522949205</v>
      </c>
      <c r="I50" s="5">
        <f t="shared" si="3"/>
        <v>6.6514776074338916E-3</v>
      </c>
      <c r="J50" s="35"/>
      <c r="K50" s="5" t="e">
        <f t="shared" si="4"/>
        <v>#DIV/0!</v>
      </c>
      <c r="L50" s="36">
        <v>147.56799316406199</v>
      </c>
      <c r="M50" s="5">
        <f t="shared" si="5"/>
        <v>1.019624114721345E-2</v>
      </c>
      <c r="N50" s="24">
        <v>96.691497802734375</v>
      </c>
      <c r="O50" s="5">
        <f t="shared" si="6"/>
        <v>8.181927747743567E-3</v>
      </c>
      <c r="P50" s="36">
        <v>17.965000152587798</v>
      </c>
      <c r="Q50" s="5">
        <f t="shared" si="7"/>
        <v>1.1476678607584587E-2</v>
      </c>
      <c r="R50" s="24">
        <v>50.882606506347656</v>
      </c>
      <c r="S50" s="5">
        <f t="shared" si="8"/>
        <v>4.5592158914752757E-3</v>
      </c>
      <c r="T50" s="62">
        <v>147.56799319999999</v>
      </c>
      <c r="U50" s="5">
        <f>LN(T50/T49)</f>
        <v>1.0196241702288916E-2</v>
      </c>
      <c r="V50" s="59">
        <v>47.436000819999997</v>
      </c>
      <c r="W50" s="5">
        <f t="shared" ref="V50:W50" si="57">LN(V50/V49)</f>
        <v>1.0362175360715398E-2</v>
      </c>
      <c r="X50" s="5"/>
    </row>
    <row r="51" spans="1:24" ht="13.8" thickBot="1">
      <c r="A51" s="13">
        <v>45516</v>
      </c>
      <c r="B51" s="35">
        <v>692.70880126953102</v>
      </c>
      <c r="C51" s="5">
        <f t="shared" si="0"/>
        <v>1.7199922156211527E-3</v>
      </c>
      <c r="D51" s="24">
        <v>111.71620178222656</v>
      </c>
      <c r="E51" s="5">
        <f t="shared" si="1"/>
        <v>1.6797699843911647E-3</v>
      </c>
      <c r="F51" s="24">
        <v>420.50009155273438</v>
      </c>
      <c r="G51" s="5">
        <f t="shared" si="2"/>
        <v>3.6728367894395806E-3</v>
      </c>
      <c r="H51" s="36">
        <v>83.717201232910099</v>
      </c>
      <c r="I51" s="5">
        <f t="shared" si="3"/>
        <v>-1.4514229459163018E-3</v>
      </c>
      <c r="J51" s="35"/>
      <c r="K51" s="5" t="e">
        <f t="shared" si="4"/>
        <v>#DIV/0!</v>
      </c>
      <c r="L51" s="36">
        <v>147.95500183105401</v>
      </c>
      <c r="M51" s="5">
        <f t="shared" si="5"/>
        <v>2.6191456826288977E-3</v>
      </c>
      <c r="N51" s="24">
        <v>96.443099975585938</v>
      </c>
      <c r="O51" s="5">
        <f t="shared" si="6"/>
        <v>-2.5722782657126545E-3</v>
      </c>
      <c r="P51" s="36">
        <v>17.912000656127901</v>
      </c>
      <c r="Q51" s="5">
        <f t="shared" si="7"/>
        <v>-2.9545131320111253E-3</v>
      </c>
      <c r="R51" s="24">
        <v>50.680988311767578</v>
      </c>
      <c r="S51" s="5">
        <f t="shared" si="8"/>
        <v>-3.9702899407366224E-3</v>
      </c>
      <c r="T51" s="62">
        <v>147.95500179999999</v>
      </c>
      <c r="U51" s="5">
        <f>LN(T51/T50)</f>
        <v>2.6191452292054665E-3</v>
      </c>
      <c r="V51" s="59">
        <v>47.556999210000001</v>
      </c>
      <c r="W51" s="5">
        <f t="shared" ref="V51:W51" si="58">LN(V51/V50)</f>
        <v>2.5475236154349455E-3</v>
      </c>
      <c r="X51" s="5"/>
    </row>
    <row r="52" spans="1:24" ht="13.8" thickBot="1">
      <c r="A52" s="13">
        <v>45517</v>
      </c>
      <c r="B52" s="35">
        <v>689.10931396484295</v>
      </c>
      <c r="C52" s="5">
        <f t="shared" si="0"/>
        <v>-5.2097962914713445E-3</v>
      </c>
      <c r="D52" s="24">
        <v>111.06379699707031</v>
      </c>
      <c r="E52" s="5">
        <f t="shared" si="1"/>
        <v>-5.8569589167434318E-3</v>
      </c>
      <c r="F52" s="24">
        <v>415.84249877929688</v>
      </c>
      <c r="G52" s="5">
        <f t="shared" si="2"/>
        <v>-1.1138117269206096E-2</v>
      </c>
      <c r="H52" s="36">
        <v>83.102897644042898</v>
      </c>
      <c r="I52" s="5">
        <f t="shared" si="3"/>
        <v>-7.3648963133265662E-3</v>
      </c>
      <c r="J52" s="35"/>
      <c r="K52" s="5" t="e">
        <f t="shared" si="4"/>
        <v>#DIV/0!</v>
      </c>
      <c r="L52" s="36">
        <v>147.29200744628901</v>
      </c>
      <c r="M52" s="5">
        <f t="shared" si="5"/>
        <v>-4.491124233781979E-3</v>
      </c>
      <c r="N52" s="24">
        <v>95.362998962402344</v>
      </c>
      <c r="O52" s="5">
        <f t="shared" si="6"/>
        <v>-1.1262545208425522E-2</v>
      </c>
      <c r="P52" s="36">
        <v>17.806999206542901</v>
      </c>
      <c r="Q52" s="5">
        <f t="shared" si="7"/>
        <v>-5.8793220666282031E-3</v>
      </c>
      <c r="R52" s="24">
        <v>50.266902923583984</v>
      </c>
      <c r="S52" s="5">
        <f t="shared" si="8"/>
        <v>-8.2039893182553839E-3</v>
      </c>
      <c r="T52" s="62">
        <v>147.29200739999999</v>
      </c>
      <c r="U52" s="5">
        <f>LN(T52/T51)</f>
        <v>-4.4911243381606973E-3</v>
      </c>
      <c r="V52" s="59">
        <v>47.0929985</v>
      </c>
      <c r="W52" s="5">
        <f t="shared" ref="V52:W52" si="59">LN(V52/V51)</f>
        <v>-9.804636836505955E-3</v>
      </c>
      <c r="X52" s="5"/>
    </row>
    <row r="53" spans="1:24" ht="13.8" thickBot="1">
      <c r="A53" s="13">
        <v>45518</v>
      </c>
      <c r="B53" s="35">
        <v>688.24542236328102</v>
      </c>
      <c r="C53" s="5">
        <f t="shared" si="0"/>
        <v>-1.2544215256383526E-3</v>
      </c>
      <c r="D53" s="24">
        <v>111.10579681396484</v>
      </c>
      <c r="E53" s="5">
        <f t="shared" si="1"/>
        <v>3.7808789829780321E-4</v>
      </c>
      <c r="F53" s="24">
        <v>414.91488647460938</v>
      </c>
      <c r="G53" s="5">
        <f t="shared" si="2"/>
        <v>-2.2331735032584204E-3</v>
      </c>
      <c r="H53" s="36">
        <v>82.998100280761705</v>
      </c>
      <c r="I53" s="5">
        <f t="shared" si="3"/>
        <v>-1.261851265145328E-3</v>
      </c>
      <c r="J53" s="35"/>
      <c r="K53" s="5" t="e">
        <f t="shared" si="4"/>
        <v>#DIV/0!</v>
      </c>
      <c r="L53" s="36">
        <v>146.83700561523401</v>
      </c>
      <c r="M53" s="5">
        <f t="shared" si="5"/>
        <v>-3.0938953574546212E-3</v>
      </c>
      <c r="N53" s="24">
        <v>95.378303527832031</v>
      </c>
      <c r="O53" s="5">
        <f t="shared" si="6"/>
        <v>1.6047458272254448E-4</v>
      </c>
      <c r="P53" s="36">
        <v>17.840999603271399</v>
      </c>
      <c r="Q53" s="5">
        <f t="shared" si="7"/>
        <v>1.9075632952042939E-3</v>
      </c>
      <c r="R53" s="24">
        <v>50.180107116699219</v>
      </c>
      <c r="S53" s="5">
        <f t="shared" si="8"/>
        <v>-1.7281913807551984E-3</v>
      </c>
      <c r="T53" s="62">
        <v>146.8370056</v>
      </c>
      <c r="U53" s="5">
        <f>LN(T53/T52)</f>
        <v>-3.0938951469354032E-3</v>
      </c>
      <c r="V53" s="59">
        <v>47.101001740000001</v>
      </c>
      <c r="W53" s="5">
        <f t="shared" ref="V53:W53" si="60">LN(V53/V52)</f>
        <v>1.6993099345741875E-4</v>
      </c>
      <c r="X53" s="5"/>
    </row>
    <row r="54" spans="1:24" ht="13.8" thickBot="1">
      <c r="A54" s="13">
        <v>45520</v>
      </c>
      <c r="B54" s="35">
        <v>693.648193359375</v>
      </c>
      <c r="C54" s="5">
        <f t="shared" si="0"/>
        <v>7.8194131055581845E-3</v>
      </c>
      <c r="D54" s="24">
        <v>112.95770263671875</v>
      </c>
      <c r="E54" s="5">
        <f t="shared" si="1"/>
        <v>1.6530563862596694E-2</v>
      </c>
      <c r="F54" s="24">
        <v>421.54251098632813</v>
      </c>
      <c r="G54" s="5">
        <f t="shared" si="2"/>
        <v>1.5847222424790953E-2</v>
      </c>
      <c r="H54" s="36">
        <v>84.380798339843693</v>
      </c>
      <c r="I54" s="5">
        <f t="shared" si="3"/>
        <v>1.6522148545258217E-2</v>
      </c>
      <c r="J54" s="35"/>
      <c r="K54" s="5" t="e">
        <f t="shared" si="4"/>
        <v>#DIV/0!</v>
      </c>
      <c r="L54" s="36">
        <v>149.44599914550699</v>
      </c>
      <c r="M54" s="5">
        <f t="shared" si="5"/>
        <v>1.7611951588975345E-2</v>
      </c>
      <c r="N54" s="24">
        <v>96.879600524902344</v>
      </c>
      <c r="O54" s="5">
        <f t="shared" si="6"/>
        <v>1.5617849579291796E-2</v>
      </c>
      <c r="P54" s="36">
        <v>18.097999572753899</v>
      </c>
      <c r="Q54" s="5">
        <f t="shared" si="7"/>
        <v>1.4302254165913564E-2</v>
      </c>
      <c r="R54" s="24">
        <v>50.853675842285156</v>
      </c>
      <c r="S54" s="5">
        <f t="shared" si="8"/>
        <v>1.3333732247219964E-2</v>
      </c>
      <c r="T54" s="62">
        <v>149.44599909999999</v>
      </c>
      <c r="U54" s="5">
        <f>LN(T54/T53)</f>
        <v>1.7611951388218493E-2</v>
      </c>
      <c r="V54" s="59">
        <v>47.972999569999999</v>
      </c>
      <c r="W54" s="5">
        <f t="shared" ref="V54:W54" si="61">LN(V54/V53)</f>
        <v>1.8344074520655292E-2</v>
      </c>
      <c r="X54" s="5"/>
    </row>
    <row r="55" spans="1:24" ht="13.8" thickBot="1">
      <c r="A55" s="13">
        <v>45523</v>
      </c>
      <c r="B55" s="35">
        <v>695.70422363281205</v>
      </c>
      <c r="C55" s="5">
        <f t="shared" si="0"/>
        <v>2.9596979847026309E-3</v>
      </c>
      <c r="D55" s="24">
        <v>113.03230285644531</v>
      </c>
      <c r="E55" s="5">
        <f t="shared" si="1"/>
        <v>6.6020815631616131E-4</v>
      </c>
      <c r="F55" s="24">
        <v>423.6007080078125</v>
      </c>
      <c r="G55" s="5">
        <f t="shared" si="2"/>
        <v>4.8706563435878016E-3</v>
      </c>
      <c r="H55" s="36">
        <v>84.681900024414006</v>
      </c>
      <c r="I55" s="5">
        <f t="shared" si="3"/>
        <v>3.5620158183593104E-3</v>
      </c>
      <c r="J55" s="35"/>
      <c r="K55" s="5" t="e">
        <f t="shared" si="4"/>
        <v>#DIV/0!</v>
      </c>
      <c r="L55" s="36">
        <v>149.40499877929599</v>
      </c>
      <c r="M55" s="5">
        <f t="shared" si="5"/>
        <v>-2.743866793346918E-4</v>
      </c>
      <c r="N55" s="24">
        <v>97.06109619140625</v>
      </c>
      <c r="O55" s="5">
        <f t="shared" si="6"/>
        <v>1.8716620344289682E-3</v>
      </c>
      <c r="P55" s="36">
        <v>18.163000106811499</v>
      </c>
      <c r="Q55" s="5">
        <f t="shared" si="7"/>
        <v>3.5851523264495829E-3</v>
      </c>
      <c r="R55" s="24">
        <v>51.003753662109375</v>
      </c>
      <c r="S55" s="5">
        <f t="shared" si="8"/>
        <v>2.946823401255105E-3</v>
      </c>
      <c r="T55" s="62">
        <v>149.40499879999999</v>
      </c>
      <c r="U55" s="5">
        <f>LN(T55/T54)</f>
        <v>-2.7438623625379718E-4</v>
      </c>
      <c r="V55" s="59">
        <v>48.631000520000001</v>
      </c>
      <c r="W55" s="5">
        <f t="shared" ref="V55:W55" si="62">LN(V55/V54)</f>
        <v>1.3622854653205148E-2</v>
      </c>
      <c r="X55" s="5"/>
    </row>
    <row r="56" spans="1:24" ht="13.8" thickBot="1">
      <c r="A56" s="13">
        <v>45524</v>
      </c>
      <c r="B56" s="35">
        <v>698.54962158203102</v>
      </c>
      <c r="C56" s="5">
        <f t="shared" si="0"/>
        <v>4.081612411168673E-3</v>
      </c>
      <c r="D56" s="24">
        <v>113.93299865722656</v>
      </c>
      <c r="E56" s="5">
        <f t="shared" si="1"/>
        <v>7.9369006892368518E-3</v>
      </c>
      <c r="F56" s="24">
        <v>425.650390625</v>
      </c>
      <c r="G56" s="5">
        <f t="shared" si="2"/>
        <v>4.8270449113296966E-3</v>
      </c>
      <c r="H56" s="36">
        <v>85.160697937011705</v>
      </c>
      <c r="I56" s="5">
        <f t="shared" si="3"/>
        <v>5.6381518736732857E-3</v>
      </c>
      <c r="J56" s="35"/>
      <c r="K56" s="5" t="e">
        <f t="shared" si="4"/>
        <v>#DIV/0!</v>
      </c>
      <c r="L56" s="36">
        <v>150.29800415039</v>
      </c>
      <c r="M56" s="5">
        <f t="shared" si="5"/>
        <v>5.959286394497389E-3</v>
      </c>
      <c r="N56" s="24">
        <v>97.612503051757813</v>
      </c>
      <c r="O56" s="5">
        <f t="shared" si="6"/>
        <v>5.6649523831253119E-3</v>
      </c>
      <c r="P56" s="36">
        <v>18.2590007781982</v>
      </c>
      <c r="Q56" s="5">
        <f t="shared" si="7"/>
        <v>5.2715881265488346E-3</v>
      </c>
      <c r="R56" s="24">
        <v>51.46575927734375</v>
      </c>
      <c r="S56" s="5">
        <f t="shared" si="8"/>
        <v>9.0174869118657443E-3</v>
      </c>
      <c r="T56" s="62">
        <v>150.29800420000001</v>
      </c>
      <c r="U56" s="5">
        <f>LN(T56/T55)</f>
        <v>5.9592865859986709E-3</v>
      </c>
      <c r="V56" s="59">
        <v>49.019001009999997</v>
      </c>
      <c r="W56" s="5">
        <f t="shared" ref="V56:W56" si="63">LN(V56/V55)</f>
        <v>7.9468003240962919E-3</v>
      </c>
      <c r="X56" s="5"/>
    </row>
    <row r="57" spans="1:24" ht="13.8" thickBot="1">
      <c r="A57" s="13">
        <v>45525</v>
      </c>
      <c r="B57" s="35">
        <v>699.72021484375</v>
      </c>
      <c r="C57" s="5">
        <f t="shared" si="0"/>
        <v>1.6743456873596671E-3</v>
      </c>
      <c r="D57" s="24">
        <v>113.81590270996094</v>
      </c>
      <c r="E57" s="5">
        <f t="shared" si="1"/>
        <v>-1.0282899884969778E-3</v>
      </c>
      <c r="F57" s="24">
        <v>427.002197265625</v>
      </c>
      <c r="G57" s="5">
        <f t="shared" si="2"/>
        <v>3.1708289927914277E-3</v>
      </c>
      <c r="H57" s="36">
        <v>85.312400817871094</v>
      </c>
      <c r="I57" s="5">
        <f t="shared" si="3"/>
        <v>1.7797872158417675E-3</v>
      </c>
      <c r="J57" s="35"/>
      <c r="K57" s="5" t="e">
        <f t="shared" si="4"/>
        <v>#DIV/0!</v>
      </c>
      <c r="L57" s="36">
        <v>151.23199462890599</v>
      </c>
      <c r="M57" s="5">
        <f t="shared" si="5"/>
        <v>6.1950284839443065E-3</v>
      </c>
      <c r="N57" s="24">
        <v>97.832603454589844</v>
      </c>
      <c r="O57" s="5">
        <f t="shared" si="6"/>
        <v>2.2522998893262365E-3</v>
      </c>
      <c r="P57" s="36">
        <v>18.271999359130799</v>
      </c>
      <c r="Q57" s="5">
        <f t="shared" si="7"/>
        <v>7.116466251850935E-4</v>
      </c>
      <c r="R57" s="24">
        <v>51.695404052734375</v>
      </c>
      <c r="S57" s="5">
        <f t="shared" si="8"/>
        <v>4.4521629517868507E-3</v>
      </c>
      <c r="T57" s="62">
        <v>151.23199460000001</v>
      </c>
      <c r="U57" s="5">
        <f>LN(T57/T56)</f>
        <v>6.1950279627298972E-3</v>
      </c>
      <c r="V57" s="59">
        <v>49.541000369999999</v>
      </c>
      <c r="W57" s="5">
        <f t="shared" ref="V57:W57" si="64">LN(V57/V56)</f>
        <v>1.0592618375223588E-2</v>
      </c>
      <c r="X57" s="5"/>
    </row>
    <row r="58" spans="1:24" ht="13.8" thickBot="1">
      <c r="A58" s="13">
        <v>45526</v>
      </c>
      <c r="B58" s="35">
        <v>700.36370849609295</v>
      </c>
      <c r="C58" s="5">
        <f t="shared" si="0"/>
        <v>9.1922160797169731E-4</v>
      </c>
      <c r="D58" s="24">
        <v>115.22689819335938</v>
      </c>
      <c r="E58" s="5">
        <f t="shared" si="1"/>
        <v>1.2320957721322483E-2</v>
      </c>
      <c r="F58" s="24">
        <v>427.53799438476563</v>
      </c>
      <c r="G58" s="5">
        <f t="shared" si="2"/>
        <v>1.2540011449161878E-3</v>
      </c>
      <c r="H58" s="36">
        <v>85.277603149414006</v>
      </c>
      <c r="I58" s="5">
        <f t="shared" si="3"/>
        <v>-4.0796844047676702E-4</v>
      </c>
      <c r="J58" s="35"/>
      <c r="K58" s="5" t="e">
        <f t="shared" si="4"/>
        <v>#DIV/0!</v>
      </c>
      <c r="L58" s="36">
        <v>151.87899780273401</v>
      </c>
      <c r="M58" s="5">
        <f t="shared" si="5"/>
        <v>4.2690906804840299E-3</v>
      </c>
      <c r="N58" s="24">
        <v>97.973800659179688</v>
      </c>
      <c r="O58" s="5">
        <f t="shared" si="6"/>
        <v>1.4422125742293381E-3</v>
      </c>
      <c r="P58" s="36">
        <v>18.340999603271399</v>
      </c>
      <c r="Q58" s="5">
        <f t="shared" si="7"/>
        <v>3.7691709384397006E-3</v>
      </c>
      <c r="R58" s="24">
        <v>51.905158996582031</v>
      </c>
      <c r="S58" s="5">
        <f t="shared" si="8"/>
        <v>4.0493067659946834E-3</v>
      </c>
      <c r="T58" s="62">
        <v>151.87899780000001</v>
      </c>
      <c r="U58" s="5">
        <f>LN(T58/T57)</f>
        <v>4.2690908536195653E-3</v>
      </c>
      <c r="V58" s="59">
        <v>49.768001560000002</v>
      </c>
      <c r="W58" s="5">
        <f t="shared" ref="V58:W58" si="65">LN(V58/V57)</f>
        <v>4.5716215235966041E-3</v>
      </c>
      <c r="X58" s="5"/>
    </row>
    <row r="59" spans="1:24" ht="13.8" thickBot="1">
      <c r="A59" s="13">
        <v>45527</v>
      </c>
      <c r="B59" s="35">
        <v>701.256103515625</v>
      </c>
      <c r="C59" s="5">
        <f t="shared" si="0"/>
        <v>1.2733768921762299E-3</v>
      </c>
      <c r="D59" s="24">
        <v>114.57170104980469</v>
      </c>
      <c r="E59" s="5">
        <f t="shared" si="1"/>
        <v>-5.7023752201850776E-3</v>
      </c>
      <c r="F59" s="24">
        <v>426.21121215820313</v>
      </c>
      <c r="G59" s="5">
        <f t="shared" si="2"/>
        <v>-3.1081335935857395E-3</v>
      </c>
      <c r="H59" s="36">
        <v>85.411903381347599</v>
      </c>
      <c r="I59" s="5">
        <f t="shared" si="3"/>
        <v>1.573620574304626E-3</v>
      </c>
      <c r="J59" s="35"/>
      <c r="K59" s="5" t="e">
        <f t="shared" si="4"/>
        <v>#DIV/0!</v>
      </c>
      <c r="L59" s="36">
        <v>151.274002075195</v>
      </c>
      <c r="M59" s="5">
        <f t="shared" si="5"/>
        <v>-3.9913610022844813E-3</v>
      </c>
      <c r="N59" s="24">
        <v>97.938499450683594</v>
      </c>
      <c r="O59" s="5">
        <f t="shared" si="6"/>
        <v>-3.6037766754153382E-4</v>
      </c>
      <c r="P59" s="36">
        <v>18.340999603271399</v>
      </c>
      <c r="Q59" s="5">
        <f t="shared" si="7"/>
        <v>0</v>
      </c>
      <c r="R59" s="24">
        <v>51.721622467041016</v>
      </c>
      <c r="S59" s="5">
        <f t="shared" si="8"/>
        <v>-3.5422642460022765E-3</v>
      </c>
      <c r="T59" s="62">
        <v>151.27400209999999</v>
      </c>
      <c r="U59" s="5">
        <f>LN(T59/T58)</f>
        <v>-3.9913608203093641E-3</v>
      </c>
      <c r="V59" s="59">
        <v>50.07400131</v>
      </c>
      <c r="W59" s="5">
        <f t="shared" ref="V59:W59" si="66">LN(V59/V58)</f>
        <v>6.1296989106652076E-3</v>
      </c>
      <c r="X59" s="5"/>
    </row>
    <row r="60" spans="1:24" ht="13.8" thickBot="1">
      <c r="A60" s="13">
        <v>45530</v>
      </c>
      <c r="B60" s="35">
        <v>704.92138671875</v>
      </c>
      <c r="C60" s="5">
        <f t="shared" si="0"/>
        <v>5.2131278297868327E-3</v>
      </c>
      <c r="D60" s="24">
        <v>115.51069641113281</v>
      </c>
      <c r="E60" s="5">
        <f t="shared" si="1"/>
        <v>8.1622982454759418E-3</v>
      </c>
      <c r="F60" s="24">
        <v>428.05050659179688</v>
      </c>
      <c r="G60" s="5">
        <f t="shared" si="2"/>
        <v>4.3061680873791412E-3</v>
      </c>
      <c r="H60" s="36">
        <v>85.762199401855398</v>
      </c>
      <c r="I60" s="5">
        <f t="shared" si="3"/>
        <v>4.0928680660530774E-3</v>
      </c>
      <c r="J60" s="35"/>
      <c r="K60" s="5" t="e">
        <f t="shared" si="4"/>
        <v>#DIV/0!</v>
      </c>
      <c r="L60" s="36">
        <v>151.98100280761699</v>
      </c>
      <c r="M60" s="5">
        <f t="shared" si="5"/>
        <v>4.6627557795491633E-3</v>
      </c>
      <c r="N60" s="24">
        <v>98.626800537109375</v>
      </c>
      <c r="O60" s="5">
        <f t="shared" si="6"/>
        <v>7.0033103471252231E-3</v>
      </c>
      <c r="P60" s="36">
        <v>18.454000473022401</v>
      </c>
      <c r="Q60" s="5">
        <f t="shared" si="7"/>
        <v>6.1422054506779632E-3</v>
      </c>
      <c r="R60" s="24">
        <v>52.033538818359375</v>
      </c>
      <c r="S60" s="5">
        <f t="shared" si="8"/>
        <v>6.0125643317536781E-3</v>
      </c>
      <c r="T60" s="62">
        <v>151.9810028</v>
      </c>
      <c r="U60" s="5">
        <f>LN(T60/T59)</f>
        <v>4.6627555654571422E-3</v>
      </c>
      <c r="V60" s="59">
        <v>50.245998380000003</v>
      </c>
      <c r="W60" s="5">
        <f t="shared" ref="V60:W60" si="67">LN(V60/V59)</f>
        <v>3.4289720705295594E-3</v>
      </c>
      <c r="X60" s="5"/>
    </row>
    <row r="61" spans="1:24" ht="13.8" thickBot="1">
      <c r="A61" s="13">
        <v>45531</v>
      </c>
      <c r="B61" s="35">
        <v>707.015380859375</v>
      </c>
      <c r="C61" s="5">
        <f t="shared" si="0"/>
        <v>2.9661323707194038E-3</v>
      </c>
      <c r="D61" s="24">
        <v>115.54609680175781</v>
      </c>
      <c r="E61" s="5">
        <f t="shared" si="1"/>
        <v>3.0642155471593841E-4</v>
      </c>
      <c r="F61" s="24">
        <v>429.76690673828125</v>
      </c>
      <c r="G61" s="5">
        <f t="shared" si="2"/>
        <v>4.0017896824977419E-3</v>
      </c>
      <c r="H61" s="36">
        <v>85.711898803710895</v>
      </c>
      <c r="I61" s="5">
        <f t="shared" si="3"/>
        <v>-5.8668452102880048E-4</v>
      </c>
      <c r="J61" s="35"/>
      <c r="K61" s="5" t="e">
        <f t="shared" si="4"/>
        <v>#DIV/0!</v>
      </c>
      <c r="L61" s="36">
        <v>152.44500732421801</v>
      </c>
      <c r="M61" s="5">
        <f t="shared" si="5"/>
        <v>3.0483917962263883E-3</v>
      </c>
      <c r="N61" s="24">
        <v>98.874702453613281</v>
      </c>
      <c r="O61" s="5">
        <f t="shared" si="6"/>
        <v>2.5103813686486801E-3</v>
      </c>
      <c r="P61" s="36">
        <v>18.471000671386701</v>
      </c>
      <c r="Q61" s="5">
        <f t="shared" si="7"/>
        <v>9.2079615645617634E-4</v>
      </c>
      <c r="R61" s="24">
        <v>52.098640441894531</v>
      </c>
      <c r="S61" s="5">
        <f t="shared" si="8"/>
        <v>1.2503653045458946E-3</v>
      </c>
      <c r="T61" s="62">
        <v>152.44500729999999</v>
      </c>
      <c r="U61" s="5">
        <f>LN(T61/T60)</f>
        <v>3.0483916874803146E-3</v>
      </c>
      <c r="V61" s="59">
        <v>50.534999849999998</v>
      </c>
      <c r="W61" s="5">
        <f t="shared" ref="V61:W61" si="68">LN(V61/V60)</f>
        <v>5.7352530190301256E-3</v>
      </c>
      <c r="X61" s="5"/>
    </row>
    <row r="62" spans="1:24" ht="13.8" thickBot="1">
      <c r="A62" s="13">
        <v>45532</v>
      </c>
      <c r="B62" s="35">
        <v>706.41668701171795</v>
      </c>
      <c r="C62" s="5">
        <f t="shared" si="0"/>
        <v>-8.4714914437137418E-4</v>
      </c>
      <c r="D62" s="24">
        <v>115.82340240478516</v>
      </c>
      <c r="E62" s="5">
        <f t="shared" si="1"/>
        <v>2.3970811776094746E-3</v>
      </c>
      <c r="F62" s="24">
        <v>429.51058959960938</v>
      </c>
      <c r="G62" s="5">
        <f t="shared" si="2"/>
        <v>-5.9658759217265692E-4</v>
      </c>
      <c r="H62" s="36">
        <v>85.525100708007798</v>
      </c>
      <c r="I62" s="5">
        <f t="shared" si="3"/>
        <v>-2.1817500929453802E-3</v>
      </c>
      <c r="J62" s="35"/>
      <c r="K62" s="5" t="e">
        <f t="shared" si="4"/>
        <v>#DIV/0!</v>
      </c>
      <c r="L62" s="36">
        <v>152.51400756835901</v>
      </c>
      <c r="M62" s="5">
        <f t="shared" si="5"/>
        <v>4.5252143369336572E-4</v>
      </c>
      <c r="N62" s="24">
        <v>98.778900146484375</v>
      </c>
      <c r="O62" s="5">
        <f t="shared" si="6"/>
        <v>-9.6939608862162032E-4</v>
      </c>
      <c r="P62" s="36">
        <v>18.5489997863769</v>
      </c>
      <c r="Q62" s="5">
        <f t="shared" si="7"/>
        <v>4.21389678251713E-3</v>
      </c>
      <c r="R62" s="24">
        <v>52.020881652832031</v>
      </c>
      <c r="S62" s="5">
        <f t="shared" si="8"/>
        <v>-1.493645033219692E-3</v>
      </c>
      <c r="T62" s="62">
        <v>152.51400760000001</v>
      </c>
      <c r="U62" s="5">
        <f>LN(T62/T61)</f>
        <v>4.5252180002039336E-4</v>
      </c>
      <c r="V62" s="59">
        <v>50.602001190000003</v>
      </c>
      <c r="W62" s="5">
        <f t="shared" ref="V62:W62" si="69">LN(V62/V61)</f>
        <v>1.3249621624706449E-3</v>
      </c>
      <c r="X62" s="5"/>
    </row>
    <row r="63" spans="1:24" ht="13.8" thickBot="1">
      <c r="A63" s="13">
        <v>45533</v>
      </c>
      <c r="B63" s="35">
        <v>707.403076171875</v>
      </c>
      <c r="C63" s="5">
        <f t="shared" si="0"/>
        <v>1.3953537019152989E-3</v>
      </c>
      <c r="D63" s="24">
        <v>115.65280151367188</v>
      </c>
      <c r="E63" s="5">
        <f t="shared" si="1"/>
        <v>-1.4740255725190848E-3</v>
      </c>
      <c r="F63" s="24">
        <v>429.65570068359375</v>
      </c>
      <c r="G63" s="5">
        <f t="shared" si="2"/>
        <v>3.377951090617715E-4</v>
      </c>
      <c r="H63" s="36">
        <v>85.624397277832003</v>
      </c>
      <c r="I63" s="5">
        <f t="shared" si="3"/>
        <v>1.1603490764965775E-3</v>
      </c>
      <c r="J63" s="35"/>
      <c r="K63" s="5" t="e">
        <f t="shared" si="4"/>
        <v>#DIV/0!</v>
      </c>
      <c r="L63" s="36">
        <v>152.35200500488199</v>
      </c>
      <c r="M63" s="5">
        <f t="shared" si="5"/>
        <v>-1.0627788736310749E-3</v>
      </c>
      <c r="N63" s="24">
        <v>98.912696838378906</v>
      </c>
      <c r="O63" s="5">
        <f t="shared" si="6"/>
        <v>1.3535902826803362E-3</v>
      </c>
      <c r="P63" s="36">
        <v>18.570999145507798</v>
      </c>
      <c r="Q63" s="5">
        <f t="shared" si="7"/>
        <v>1.1853104708842179E-3</v>
      </c>
      <c r="R63" s="24">
        <v>51.830116271972656</v>
      </c>
      <c r="S63" s="5">
        <f t="shared" si="8"/>
        <v>-3.6738326878969158E-3</v>
      </c>
      <c r="T63" s="62">
        <v>152.35200499999999</v>
      </c>
      <c r="U63" s="5">
        <f>LN(T63/T62)</f>
        <v>-1.0627791131382117E-3</v>
      </c>
      <c r="V63" s="59">
        <v>50.333000179999999</v>
      </c>
      <c r="W63" s="5">
        <f t="shared" ref="V63:W63" si="70">LN(V63/V62)</f>
        <v>-5.3301955363447241E-3</v>
      </c>
      <c r="X63" s="5"/>
    </row>
    <row r="64" spans="1:24" ht="13.8" thickBot="1">
      <c r="A64" s="13">
        <v>45534</v>
      </c>
      <c r="B64" s="35">
        <v>708.85437011718705</v>
      </c>
      <c r="C64" s="5">
        <f t="shared" si="0"/>
        <v>2.0494783022836555E-3</v>
      </c>
      <c r="D64" s="24">
        <v>115.77940368652344</v>
      </c>
      <c r="E64" s="5">
        <f t="shared" si="1"/>
        <v>1.094075782328072E-3</v>
      </c>
      <c r="F64" s="24">
        <v>431.66799926757813</v>
      </c>
      <c r="G64" s="5">
        <f t="shared" si="2"/>
        <v>4.6725806925047852E-3</v>
      </c>
      <c r="H64" s="36">
        <v>85.886802673339801</v>
      </c>
      <c r="I64" s="5">
        <f t="shared" si="3"/>
        <v>3.059923787218657E-3</v>
      </c>
      <c r="J64" s="35"/>
      <c r="K64" s="5" t="e">
        <f t="shared" si="4"/>
        <v>#DIV/0!</v>
      </c>
      <c r="L64" s="36">
        <v>153.60299682617099</v>
      </c>
      <c r="M64" s="5">
        <f t="shared" si="5"/>
        <v>8.1776652474061639E-3</v>
      </c>
      <c r="N64" s="24">
        <v>99.39959716796875</v>
      </c>
      <c r="O64" s="5">
        <f t="shared" si="6"/>
        <v>4.9104500595412255E-3</v>
      </c>
      <c r="P64" s="36">
        <v>18.645000457763601</v>
      </c>
      <c r="Q64" s="5">
        <f t="shared" si="7"/>
        <v>3.9768599835967545E-3</v>
      </c>
      <c r="R64" s="24">
        <v>52.249626159667969</v>
      </c>
      <c r="S64" s="5">
        <f t="shared" si="8"/>
        <v>8.0613604478859974E-3</v>
      </c>
      <c r="T64" s="62">
        <v>153.6029968</v>
      </c>
      <c r="U64" s="5">
        <f>LN(T64/T63)</f>
        <v>8.1776651090696394E-3</v>
      </c>
      <c r="V64" s="59">
        <v>50.840999600000004</v>
      </c>
      <c r="W64" s="5">
        <f t="shared" ref="V64:W64" si="71">LN(V64/V63)</f>
        <v>1.0042178627166729E-2</v>
      </c>
      <c r="X64" s="5"/>
    </row>
    <row r="65" spans="1:24" ht="13.8" thickBot="1">
      <c r="A65" s="12">
        <v>45537</v>
      </c>
      <c r="B65" s="35">
        <v>710.151611328125</v>
      </c>
      <c r="C65" s="5">
        <f t="shared" si="0"/>
        <v>1.828380696470174E-3</v>
      </c>
      <c r="D65" s="24">
        <v>116.70860290527344</v>
      </c>
      <c r="E65" s="5">
        <f t="shared" si="1"/>
        <v>7.9935664650252845E-3</v>
      </c>
      <c r="F65" s="24">
        <v>431.37991333007813</v>
      </c>
      <c r="G65" s="5">
        <f t="shared" si="2"/>
        <v>-6.6760128608087165E-4</v>
      </c>
      <c r="H65" s="36">
        <v>86.386802673339801</v>
      </c>
      <c r="I65" s="5">
        <f t="shared" si="3"/>
        <v>5.8047360528586719E-3</v>
      </c>
      <c r="J65" s="35"/>
      <c r="K65" s="5" t="e">
        <f t="shared" si="4"/>
        <v>#DIV/0!</v>
      </c>
      <c r="L65" s="36">
        <v>153.42799377441401</v>
      </c>
      <c r="M65" s="5">
        <f t="shared" si="5"/>
        <v>-1.1399700751152349E-3</v>
      </c>
      <c r="N65" s="24">
        <v>99.522697448730469</v>
      </c>
      <c r="O65" s="5">
        <f t="shared" si="6"/>
        <v>1.2376721946929226E-3</v>
      </c>
      <c r="P65" s="36">
        <v>18.666000366210898</v>
      </c>
      <c r="Q65" s="5">
        <f t="shared" si="7"/>
        <v>1.1256685803652188E-3</v>
      </c>
      <c r="R65" s="24">
        <v>52.315624237060547</v>
      </c>
      <c r="S65" s="5">
        <f t="shared" si="8"/>
        <v>1.2623330581830389E-3</v>
      </c>
      <c r="T65" s="62">
        <v>153.4279938</v>
      </c>
      <c r="U65" s="5">
        <f>LN(T65/T64)</f>
        <v>-1.1399697379722781E-3</v>
      </c>
      <c r="V65" s="59">
        <v>50.69900131</v>
      </c>
      <c r="W65" s="5">
        <f t="shared" ref="V65:W65" si="72">LN(V65/V64)</f>
        <v>-2.7968954361632385E-3</v>
      </c>
      <c r="X65" s="5"/>
    </row>
    <row r="66" spans="1:24" ht="13.8" thickBot="1">
      <c r="A66" s="12">
        <v>45538</v>
      </c>
      <c r="B66" s="35">
        <v>710.29547119140602</v>
      </c>
      <c r="C66" s="5">
        <f t="shared" si="0"/>
        <v>2.0255575240115775E-4</v>
      </c>
      <c r="D66" s="24">
        <v>117.59449768066406</v>
      </c>
      <c r="E66" s="5">
        <f t="shared" si="1"/>
        <v>7.5619912389871978E-3</v>
      </c>
      <c r="F66" s="24">
        <v>431.43280029296875</v>
      </c>
      <c r="G66" s="5">
        <f t="shared" si="2"/>
        <v>1.2259198809162227E-4</v>
      </c>
      <c r="H66" s="36">
        <v>86.413902282714801</v>
      </c>
      <c r="I66" s="5">
        <f t="shared" si="3"/>
        <v>3.1365160928090429E-4</v>
      </c>
      <c r="J66" s="35"/>
      <c r="K66" s="5" t="e">
        <f t="shared" si="4"/>
        <v>#DIV/0!</v>
      </c>
      <c r="L66" s="36">
        <v>154.48699951171801</v>
      </c>
      <c r="M66" s="5">
        <f t="shared" si="5"/>
        <v>6.8785862069626986E-3</v>
      </c>
      <c r="N66" s="24">
        <v>99.680496215820313</v>
      </c>
      <c r="O66" s="5">
        <f t="shared" si="6"/>
        <v>1.5842999019572519E-3</v>
      </c>
      <c r="P66" s="36">
        <v>18.683000564575099</v>
      </c>
      <c r="Q66" s="5">
        <f t="shared" si="7"/>
        <v>9.1034293365673815E-4</v>
      </c>
      <c r="R66" s="24">
        <v>52.60675048828125</v>
      </c>
      <c r="S66" s="5">
        <f t="shared" si="8"/>
        <v>5.5493787497627933E-3</v>
      </c>
      <c r="T66" s="62">
        <v>154.4869995</v>
      </c>
      <c r="U66" s="5">
        <f>LN(T66/T65)</f>
        <v>6.8785859643493647E-3</v>
      </c>
      <c r="V66" s="59">
        <v>51.10400009</v>
      </c>
      <c r="W66" s="5">
        <f t="shared" ref="V66:W66" si="73">LN(V66/V65)</f>
        <v>7.9565614182010823E-3</v>
      </c>
      <c r="X66" s="5"/>
    </row>
    <row r="67" spans="1:24" ht="13.8" thickBot="1">
      <c r="A67" s="12">
        <v>45539</v>
      </c>
      <c r="B67" s="35">
        <v>709.96722412109295</v>
      </c>
      <c r="C67" s="5">
        <f t="shared" si="0"/>
        <v>-4.622343137517872E-4</v>
      </c>
      <c r="D67" s="24">
        <v>117.29499816894531</v>
      </c>
      <c r="E67" s="5">
        <f t="shared" si="1"/>
        <v>-2.5501325458900429E-3</v>
      </c>
      <c r="F67" s="24">
        <v>431.25250244140625</v>
      </c>
      <c r="G67" s="5">
        <f t="shared" si="2"/>
        <v>-4.1799217771794448E-4</v>
      </c>
      <c r="H67" s="36">
        <v>86.208297729492102</v>
      </c>
      <c r="I67" s="5">
        <f t="shared" si="3"/>
        <v>-2.3821345161226326E-3</v>
      </c>
      <c r="J67" s="35"/>
      <c r="K67" s="5" t="e">
        <f t="shared" si="4"/>
        <v>#DIV/0!</v>
      </c>
      <c r="L67" s="36">
        <v>154.22599792480401</v>
      </c>
      <c r="M67" s="5">
        <f t="shared" si="5"/>
        <v>-1.6909015899437578E-3</v>
      </c>
      <c r="N67" s="24">
        <v>99.206703186035156</v>
      </c>
      <c r="O67" s="5">
        <f t="shared" si="6"/>
        <v>-4.7644486670541542E-3</v>
      </c>
      <c r="P67" s="36">
        <v>18.617000579833899</v>
      </c>
      <c r="Q67" s="5">
        <f t="shared" si="7"/>
        <v>-3.5388767611944333E-3</v>
      </c>
      <c r="R67" s="24">
        <v>52.542560577392578</v>
      </c>
      <c r="S67" s="5">
        <f t="shared" si="8"/>
        <v>-1.2209289478349119E-3</v>
      </c>
      <c r="T67" s="62">
        <v>154.22599790000001</v>
      </c>
      <c r="U67" s="5">
        <f>LN(T67/T66)</f>
        <v>-1.6909016749214651E-3</v>
      </c>
      <c r="V67" s="59">
        <v>51.2179985</v>
      </c>
      <c r="W67" s="5">
        <f t="shared" ref="V67:W67" si="74">LN(V67/V66)</f>
        <v>2.2282296815507143E-3</v>
      </c>
      <c r="X67" s="5"/>
    </row>
    <row r="68" spans="1:24" ht="13.8" thickBot="1">
      <c r="A68" s="12">
        <v>45540</v>
      </c>
      <c r="B68" s="35">
        <v>711.15521240234295</v>
      </c>
      <c r="C68" s="5">
        <f t="shared" si="0"/>
        <v>1.671901769257538E-3</v>
      </c>
      <c r="D68" s="24">
        <v>117.52320098876953</v>
      </c>
      <c r="E68" s="5">
        <f t="shared" si="1"/>
        <v>1.943655921770793E-3</v>
      </c>
      <c r="F68" s="24">
        <v>431.59689331054688</v>
      </c>
      <c r="G68" s="5">
        <f t="shared" si="2"/>
        <v>7.9826419100254269E-4</v>
      </c>
      <c r="H68" s="36">
        <v>86.2322998046875</v>
      </c>
      <c r="I68" s="5">
        <f t="shared" si="3"/>
        <v>2.7838079539998617E-4</v>
      </c>
      <c r="J68" s="35"/>
      <c r="K68" s="5" t="e">
        <f t="shared" si="4"/>
        <v>#DIV/0!</v>
      </c>
      <c r="L68" s="36">
        <v>154.60400390625</v>
      </c>
      <c r="M68" s="5">
        <f t="shared" si="5"/>
        <v>2.4479886537978105E-3</v>
      </c>
      <c r="N68" s="24">
        <v>99.356903076171875</v>
      </c>
      <c r="O68" s="5">
        <f t="shared" si="6"/>
        <v>1.5128645335539469E-3</v>
      </c>
      <c r="P68" s="36">
        <v>18.625999450683501</v>
      </c>
      <c r="Q68" s="5">
        <f t="shared" si="7"/>
        <v>4.8325167238696173E-4</v>
      </c>
      <c r="R68" s="24">
        <v>52.943981170654297</v>
      </c>
      <c r="S68" s="5">
        <f t="shared" si="8"/>
        <v>7.6108766921973211E-3</v>
      </c>
      <c r="T68" s="62">
        <v>154.60400390000001</v>
      </c>
      <c r="U68" s="5">
        <f>LN(T68/T67)</f>
        <v>2.4479887742008223E-3</v>
      </c>
      <c r="V68" s="59">
        <v>51.560001370000002</v>
      </c>
      <c r="W68" s="5">
        <f t="shared" ref="V68:W68" si="75">LN(V68/V67)</f>
        <v>6.655201166704496E-3</v>
      </c>
      <c r="X68" s="5"/>
    </row>
    <row r="69" spans="1:24" ht="13.8" thickBot="1">
      <c r="A69" s="12">
        <v>45541</v>
      </c>
      <c r="B69" s="35">
        <v>708.15460205078102</v>
      </c>
      <c r="C69" s="5">
        <f t="shared" si="0"/>
        <v>-4.2282731951652141E-3</v>
      </c>
      <c r="D69" s="24">
        <v>116.91889953613281</v>
      </c>
      <c r="E69" s="5">
        <f t="shared" si="1"/>
        <v>-5.1552412270253981E-3</v>
      </c>
      <c r="F69" s="24">
        <v>426.8529052734375</v>
      </c>
      <c r="G69" s="5">
        <f t="shared" si="2"/>
        <v>-1.1052565539231911E-2</v>
      </c>
      <c r="H69" s="36">
        <v>85.139297485351506</v>
      </c>
      <c r="I69" s="5">
        <f t="shared" si="3"/>
        <v>-1.2756106117133964E-2</v>
      </c>
      <c r="J69" s="35"/>
      <c r="K69" s="5" t="e">
        <f t="shared" si="4"/>
        <v>#DIV/0!</v>
      </c>
      <c r="L69" s="36">
        <v>152.593994140625</v>
      </c>
      <c r="M69" s="5">
        <f t="shared" si="5"/>
        <v>-1.3086273106778998E-2</v>
      </c>
      <c r="N69" s="24">
        <v>98.075996398925781</v>
      </c>
      <c r="O69" s="5">
        <f t="shared" si="6"/>
        <v>-1.2975797376525568E-2</v>
      </c>
      <c r="P69" s="36">
        <v>18.4209995269775</v>
      </c>
      <c r="Q69" s="5">
        <f t="shared" si="7"/>
        <v>-1.1067132115903709E-2</v>
      </c>
      <c r="R69" s="24">
        <v>52.481983184814453</v>
      </c>
      <c r="S69" s="5">
        <f t="shared" si="8"/>
        <v>-8.7644622661201942E-3</v>
      </c>
      <c r="T69" s="62">
        <v>152.5939941</v>
      </c>
      <c r="U69" s="5">
        <f>LN(T69/T68)</f>
        <v>-1.3086273332582509E-2</v>
      </c>
      <c r="V69" s="59">
        <v>51.0320015</v>
      </c>
      <c r="W69" s="5">
        <f t="shared" ref="V69:W69" si="76">LN(V69/V68)</f>
        <v>-1.0293288308995984E-2</v>
      </c>
      <c r="X69" s="5"/>
    </row>
    <row r="70" spans="1:24" ht="13.8" thickBot="1">
      <c r="A70" s="12">
        <v>45544</v>
      </c>
      <c r="B70" s="35">
        <v>707.96911621093705</v>
      </c>
      <c r="C70" s="5">
        <f t="shared" si="0"/>
        <v>-2.6196276287552227E-4</v>
      </c>
      <c r="D70" s="24">
        <v>116.96510314941406</v>
      </c>
      <c r="E70" s="5">
        <f t="shared" si="1"/>
        <v>3.9509853903449535E-4</v>
      </c>
      <c r="F70" s="24">
        <v>426.34030151367188</v>
      </c>
      <c r="G70" s="5">
        <f t="shared" si="2"/>
        <v>-1.2016125242577497E-3</v>
      </c>
      <c r="H70" s="36">
        <v>85.053497314453097</v>
      </c>
      <c r="I70" s="5">
        <f t="shared" si="3"/>
        <v>-1.0082703943854034E-3</v>
      </c>
      <c r="J70" s="35"/>
      <c r="K70" s="5" t="e">
        <f t="shared" si="4"/>
        <v>#DIV/0!</v>
      </c>
      <c r="L70" s="36">
        <v>152.41600036621</v>
      </c>
      <c r="M70" s="5">
        <f t="shared" si="5"/>
        <v>-1.1671341780658008E-3</v>
      </c>
      <c r="N70" s="24">
        <v>98.467498779296875</v>
      </c>
      <c r="O70" s="5">
        <f t="shared" si="6"/>
        <v>3.9838804924108191E-3</v>
      </c>
      <c r="P70" s="36">
        <v>18.454999923706001</v>
      </c>
      <c r="Q70" s="5">
        <f t="shared" si="7"/>
        <v>1.8440398562640371E-3</v>
      </c>
      <c r="R70" s="24">
        <v>52.227924346923828</v>
      </c>
      <c r="S70" s="5">
        <f t="shared" si="8"/>
        <v>-4.8526322375442308E-3</v>
      </c>
      <c r="T70" s="62">
        <v>152.4160004</v>
      </c>
      <c r="U70" s="5">
        <f>LN(T70/T69)</f>
        <v>-1.1671336901406145E-3</v>
      </c>
      <c r="V70" s="59">
        <v>50.729999540000001</v>
      </c>
      <c r="W70" s="5">
        <f t="shared" ref="V70:W70" si="77">LN(V70/V69)</f>
        <v>-5.9354738219898296E-3</v>
      </c>
      <c r="X70" s="5"/>
    </row>
    <row r="71" spans="1:24" ht="13.8" thickBot="1">
      <c r="A71" s="13">
        <v>45545</v>
      </c>
      <c r="B71" s="35">
        <v>709.07647705078102</v>
      </c>
      <c r="C71" s="5">
        <f t="shared" si="0"/>
        <v>1.5629152237902275E-3</v>
      </c>
      <c r="D71" s="24">
        <v>118.42500305175781</v>
      </c>
      <c r="E71" s="5">
        <f t="shared" si="1"/>
        <v>1.2404247951279054E-2</v>
      </c>
      <c r="F71" s="24">
        <v>428.89950561523438</v>
      </c>
      <c r="G71" s="5">
        <f t="shared" si="2"/>
        <v>5.9847816225115013E-3</v>
      </c>
      <c r="H71" s="36">
        <v>85.650299072265597</v>
      </c>
      <c r="I71" s="5">
        <f t="shared" si="3"/>
        <v>6.9922778755933572E-3</v>
      </c>
      <c r="J71" s="35"/>
      <c r="K71" s="5" t="e">
        <f t="shared" si="4"/>
        <v>#DIV/0!</v>
      </c>
      <c r="L71" s="36">
        <v>153.45899963378901</v>
      </c>
      <c r="M71" s="5">
        <f t="shared" si="5"/>
        <v>6.8198009647067424E-3</v>
      </c>
      <c r="N71" s="24">
        <v>99.231903076171875</v>
      </c>
      <c r="O71" s="5">
        <f t="shared" si="6"/>
        <v>7.7330340806972264E-3</v>
      </c>
      <c r="P71" s="36">
        <v>18.576999664306602</v>
      </c>
      <c r="Q71" s="5">
        <f t="shared" si="7"/>
        <v>6.5889059909834801E-3</v>
      </c>
      <c r="R71" s="24">
        <v>52.844532012939453</v>
      </c>
      <c r="S71" s="5">
        <f t="shared" si="8"/>
        <v>1.1736943549315574E-2</v>
      </c>
      <c r="T71" s="62">
        <v>153.4589996</v>
      </c>
      <c r="U71" s="5">
        <f>LN(T71/T70)</f>
        <v>6.8198005228282278E-3</v>
      </c>
      <c r="V71" s="59">
        <v>51.27999878</v>
      </c>
      <c r="W71" s="5">
        <f t="shared" ref="V71:W71" si="78">LN(V71/V70)</f>
        <v>1.078334631047693E-2</v>
      </c>
      <c r="X71" s="5"/>
    </row>
    <row r="72" spans="1:24" ht="13.8" thickBot="1">
      <c r="A72" s="13">
        <v>45546</v>
      </c>
      <c r="B72" s="35">
        <v>708.01739501953102</v>
      </c>
      <c r="C72" s="5">
        <f t="shared" si="0"/>
        <v>-1.4947241665594986E-3</v>
      </c>
      <c r="D72" s="24">
        <v>118.70149993896484</v>
      </c>
      <c r="E72" s="5">
        <f t="shared" si="1"/>
        <v>2.3320633419789726E-3</v>
      </c>
      <c r="F72" s="24">
        <v>426.34548950195313</v>
      </c>
      <c r="G72" s="5">
        <f t="shared" si="2"/>
        <v>-5.9726130409871519E-3</v>
      </c>
      <c r="H72" s="36">
        <v>85.702903747558594</v>
      </c>
      <c r="I72" s="5">
        <f t="shared" si="3"/>
        <v>6.1399117238453583E-4</v>
      </c>
      <c r="J72" s="35"/>
      <c r="K72" s="5" t="e">
        <f t="shared" si="4"/>
        <v>#DIV/0!</v>
      </c>
      <c r="L72" s="36">
        <v>152.80000305175699</v>
      </c>
      <c r="M72" s="5">
        <f t="shared" si="5"/>
        <v>-4.3035312812056466E-3</v>
      </c>
      <c r="N72" s="24">
        <v>98.77239990234375</v>
      </c>
      <c r="O72" s="5">
        <f t="shared" si="6"/>
        <v>-4.6413536656195334E-3</v>
      </c>
      <c r="P72" s="36">
        <v>18.458999633788999</v>
      </c>
      <c r="Q72" s="5">
        <f t="shared" si="7"/>
        <v>-6.3722017515840008E-3</v>
      </c>
      <c r="R72" s="24">
        <v>52.573295593261719</v>
      </c>
      <c r="S72" s="5">
        <f t="shared" si="8"/>
        <v>-5.1459420931219387E-3</v>
      </c>
      <c r="T72" s="62">
        <v>152.8000031</v>
      </c>
      <c r="U72" s="5">
        <f>LN(T72/T71)</f>
        <v>-4.3035307452964754E-3</v>
      </c>
      <c r="V72" s="59">
        <v>51.17200089</v>
      </c>
      <c r="W72" s="5">
        <f t="shared" ref="V72:W72" si="79">LN(V72/V71)</f>
        <v>-2.1082639743503343E-3</v>
      </c>
      <c r="X72" s="5"/>
    </row>
    <row r="73" spans="1:24" ht="13.8" thickBot="1">
      <c r="A73" s="13">
        <v>45547</v>
      </c>
      <c r="B73" s="35">
        <v>714.46441650390602</v>
      </c>
      <c r="C73" s="5">
        <f t="shared" si="0"/>
        <v>9.0645315472915565E-3</v>
      </c>
      <c r="D73" s="24">
        <v>120.3927001953125</v>
      </c>
      <c r="E73" s="5">
        <f t="shared" si="1"/>
        <v>1.4146963508298411E-2</v>
      </c>
      <c r="F73" s="24">
        <v>431.12008666992188</v>
      </c>
      <c r="G73" s="5">
        <f t="shared" si="2"/>
        <v>1.1136648859102677E-2</v>
      </c>
      <c r="H73" s="36">
        <v>86.698097229003906</v>
      </c>
      <c r="I73" s="5">
        <f t="shared" si="3"/>
        <v>1.1545229205018669E-2</v>
      </c>
      <c r="J73" s="35"/>
      <c r="K73" s="5" t="e">
        <f t="shared" si="4"/>
        <v>#DIV/0!</v>
      </c>
      <c r="L73" s="36">
        <v>154.43099975585901</v>
      </c>
      <c r="M73" s="5">
        <f t="shared" si="5"/>
        <v>1.0617496354145124E-2</v>
      </c>
      <c r="N73" s="24">
        <v>100.23729705810547</v>
      </c>
      <c r="O73" s="5">
        <f t="shared" si="6"/>
        <v>1.4722133008301866E-2</v>
      </c>
      <c r="P73" s="36">
        <v>18.790000915527301</v>
      </c>
      <c r="Q73" s="5">
        <f t="shared" si="7"/>
        <v>1.7772825562244916E-2</v>
      </c>
      <c r="R73" s="24">
        <v>53.164588928222656</v>
      </c>
      <c r="S73" s="5">
        <f t="shared" si="8"/>
        <v>1.1184250587935943E-2</v>
      </c>
      <c r="T73" s="62">
        <v>154.4309998</v>
      </c>
      <c r="U73" s="5">
        <f>LN(T73/T72)</f>
        <v>1.0617496324248632E-2</v>
      </c>
      <c r="V73" s="59">
        <v>51.627998349999999</v>
      </c>
      <c r="W73" s="5">
        <f t="shared" ref="V73:W73" si="80">LN(V73/V72)</f>
        <v>8.8716041664265444E-3</v>
      </c>
      <c r="X73" s="5"/>
    </row>
    <row r="74" spans="1:24" ht="13.8" thickBot="1">
      <c r="A74" s="13">
        <v>45548</v>
      </c>
      <c r="B74" s="35">
        <v>715.74932861328102</v>
      </c>
      <c r="C74" s="5">
        <f t="shared" si="0"/>
        <v>1.7968117834976486E-3</v>
      </c>
      <c r="D74" s="24">
        <v>121.25250244140625</v>
      </c>
      <c r="E74" s="5">
        <f t="shared" si="1"/>
        <v>7.1162668669952694E-3</v>
      </c>
      <c r="F74" s="24">
        <v>432.41229248046875</v>
      </c>
      <c r="G74" s="5">
        <f t="shared" si="2"/>
        <v>2.992839194637636E-3</v>
      </c>
      <c r="H74" s="36">
        <v>86.689399719238196</v>
      </c>
      <c r="I74" s="5">
        <f t="shared" si="3"/>
        <v>-1.003245323461548E-4</v>
      </c>
      <c r="J74" s="35"/>
      <c r="K74" s="5" t="e">
        <f t="shared" si="4"/>
        <v>#DIV/0!</v>
      </c>
      <c r="L74" s="36">
        <v>156.121002197265</v>
      </c>
      <c r="M74" s="5">
        <f t="shared" si="5"/>
        <v>1.0883968636452957E-2</v>
      </c>
      <c r="N74" s="24">
        <v>100.08899688720703</v>
      </c>
      <c r="O74" s="5">
        <f t="shared" si="6"/>
        <v>-1.4805864479288579E-3</v>
      </c>
      <c r="P74" s="36">
        <v>18.7859992980957</v>
      </c>
      <c r="Q74" s="5">
        <f t="shared" si="7"/>
        <v>-2.1298794038633579E-4</v>
      </c>
      <c r="R74" s="24">
        <v>53.390617370605469</v>
      </c>
      <c r="S74" s="5">
        <f t="shared" si="8"/>
        <v>4.2424727847583553E-3</v>
      </c>
      <c r="T74" s="62">
        <v>156.12100219999999</v>
      </c>
      <c r="U74" s="5">
        <f>LN(T74/T73)</f>
        <v>1.0883968368141509E-2</v>
      </c>
      <c r="V74" s="59">
        <v>51.997001650000001</v>
      </c>
      <c r="W74" s="5">
        <f t="shared" ref="V74:W74" si="81">LN(V74/V73)</f>
        <v>7.1219273285304347E-3</v>
      </c>
      <c r="X74" s="5"/>
    </row>
    <row r="75" spans="1:24" ht="13.8" thickBot="1">
      <c r="A75" s="13">
        <v>45551</v>
      </c>
      <c r="B75" s="35">
        <v>717.16607666015602</v>
      </c>
      <c r="C75" s="5">
        <f t="shared" si="0"/>
        <v>1.9774349599623407E-3</v>
      </c>
      <c r="D75" s="24">
        <v>120.57959747314453</v>
      </c>
      <c r="E75" s="5">
        <f t="shared" si="1"/>
        <v>-5.5650734965008919E-3</v>
      </c>
      <c r="F75" s="24">
        <v>433.01568603515625</v>
      </c>
      <c r="G75" s="5">
        <f t="shared" si="2"/>
        <v>1.3944399012739332E-3</v>
      </c>
      <c r="H75" s="36">
        <v>87.036598205566406</v>
      </c>
      <c r="I75" s="5">
        <f t="shared" si="3"/>
        <v>3.9970868233047329E-3</v>
      </c>
      <c r="J75" s="35"/>
      <c r="K75" s="5" t="e">
        <f t="shared" si="4"/>
        <v>#DIV/0!</v>
      </c>
      <c r="L75" s="36">
        <v>156.02900695800699</v>
      </c>
      <c r="M75" s="5">
        <f t="shared" si="5"/>
        <v>-5.8942969228440183E-4</v>
      </c>
      <c r="N75" s="24">
        <v>100.11399841308594</v>
      </c>
      <c r="O75" s="5">
        <f t="shared" si="6"/>
        <v>2.4976175777355401E-4</v>
      </c>
      <c r="P75" s="36">
        <v>18.811000823974599</v>
      </c>
      <c r="Q75" s="5">
        <f t="shared" si="7"/>
        <v>1.3299747045252162E-3</v>
      </c>
      <c r="R75" s="24">
        <v>53.342697143554688</v>
      </c>
      <c r="S75" s="5">
        <f t="shared" si="8"/>
        <v>-8.9794326145982482E-4</v>
      </c>
      <c r="T75" s="62">
        <v>156.02900700000001</v>
      </c>
      <c r="U75" s="5">
        <f>LN(T75/T74)</f>
        <v>-5.8942944066684485E-4</v>
      </c>
      <c r="V75" s="59">
        <v>52.291000369999999</v>
      </c>
      <c r="W75" s="5">
        <f t="shared" ref="V75:W75" si="82">LN(V75/V74)</f>
        <v>5.6382228664032781E-3</v>
      </c>
      <c r="X75" s="5"/>
    </row>
    <row r="76" spans="1:24" ht="13.8" thickBot="1">
      <c r="A76" s="13">
        <v>45552</v>
      </c>
      <c r="B76" s="35">
        <v>716.57940673828102</v>
      </c>
      <c r="C76" s="5">
        <f t="shared" si="0"/>
        <v>-8.1837391839901846E-4</v>
      </c>
      <c r="D76" s="24">
        <v>121.02110290527344</v>
      </c>
      <c r="E76" s="5">
        <f t="shared" si="1"/>
        <v>3.6548397657873021E-3</v>
      </c>
      <c r="F76" s="24">
        <v>432.61599731445313</v>
      </c>
      <c r="G76" s="5">
        <f t="shared" si="2"/>
        <v>-9.2346146009910236E-4</v>
      </c>
      <c r="H76" s="36">
        <v>87.082298278808594</v>
      </c>
      <c r="I76" s="5">
        <f t="shared" si="3"/>
        <v>5.2492951901617492E-4</v>
      </c>
      <c r="J76" s="35"/>
      <c r="K76" s="5" t="e">
        <f t="shared" si="4"/>
        <v>#DIV/0!</v>
      </c>
      <c r="L76" s="36">
        <v>156.04800415039</v>
      </c>
      <c r="M76" s="5">
        <f t="shared" si="5"/>
        <v>1.2174682357407134E-4</v>
      </c>
      <c r="N76" s="24">
        <v>100.06529998779297</v>
      </c>
      <c r="O76" s="5">
        <f t="shared" si="6"/>
        <v>-4.865480760766812E-4</v>
      </c>
      <c r="P76" s="36">
        <v>18.836999893188398</v>
      </c>
      <c r="Q76" s="5">
        <f t="shared" si="7"/>
        <v>1.3811662160841103E-3</v>
      </c>
      <c r="R76" s="24">
        <v>53.410507202148438</v>
      </c>
      <c r="S76" s="5">
        <f t="shared" si="8"/>
        <v>1.2704080993063591E-3</v>
      </c>
      <c r="T76" s="62">
        <v>156.04800420000001</v>
      </c>
      <c r="U76" s="5">
        <f>LN(T76/T75)</f>
        <v>1.2174687235310834E-4</v>
      </c>
      <c r="V76" s="59">
        <v>52.384998320000001</v>
      </c>
      <c r="W76" s="5">
        <f t="shared" ref="V76:W76" si="83">LN(V76/V75)</f>
        <v>1.7959795262059504E-3</v>
      </c>
      <c r="X76" s="5"/>
    </row>
    <row r="77" spans="1:24" ht="13.8" thickBot="1">
      <c r="A77" s="13">
        <v>45553</v>
      </c>
      <c r="B77" s="35">
        <v>715.709228515625</v>
      </c>
      <c r="C77" s="5">
        <f t="shared" si="0"/>
        <v>-1.2150879484783142E-3</v>
      </c>
      <c r="D77" s="24">
        <v>119.81400299072266</v>
      </c>
      <c r="E77" s="5">
        <f t="shared" si="1"/>
        <v>-1.0024369315226213E-2</v>
      </c>
      <c r="F77" s="24">
        <v>431.49081420898438</v>
      </c>
      <c r="G77" s="5">
        <f t="shared" si="2"/>
        <v>-2.6042700425466954E-3</v>
      </c>
      <c r="H77" s="36">
        <v>87.296897888183594</v>
      </c>
      <c r="I77" s="5">
        <f t="shared" si="3"/>
        <v>2.4612995406451624E-3</v>
      </c>
      <c r="J77" s="35"/>
      <c r="K77" s="5" t="e">
        <f t="shared" si="4"/>
        <v>#DIV/0!</v>
      </c>
      <c r="L77" s="36">
        <v>154.31100463867099</v>
      </c>
      <c r="M77" s="5">
        <f t="shared" si="5"/>
        <v>-1.1193602242482082E-2</v>
      </c>
      <c r="N77" s="24">
        <v>99.968002319335938</v>
      </c>
      <c r="O77" s="5">
        <f t="shared" si="6"/>
        <v>-9.7281477642087845E-4</v>
      </c>
      <c r="P77" s="36">
        <v>18.8059997558593</v>
      </c>
      <c r="Q77" s="5">
        <f t="shared" si="7"/>
        <v>-1.6470602569527092E-3</v>
      </c>
      <c r="R77" s="24">
        <v>52.827354431152344</v>
      </c>
      <c r="S77" s="5">
        <f t="shared" si="8"/>
        <v>-1.097835779123197E-2</v>
      </c>
      <c r="T77" s="62">
        <v>154.31100459999999</v>
      </c>
      <c r="U77" s="5">
        <f>LN(T77/T76)</f>
        <v>-1.1193602811001449E-2</v>
      </c>
      <c r="V77" s="59">
        <v>52.152999880000003</v>
      </c>
      <c r="W77" s="5">
        <f t="shared" ref="V77:W77" si="84">LN(V77/V76)</f>
        <v>-4.438554877146143E-3</v>
      </c>
      <c r="X77" s="5"/>
    </row>
    <row r="78" spans="1:24" ht="13.8" thickBot="1">
      <c r="A78" s="13">
        <v>45554</v>
      </c>
      <c r="B78" s="35">
        <v>718.16778564453102</v>
      </c>
      <c r="C78" s="5">
        <f t="shared" si="0"/>
        <v>3.4292474374838164E-3</v>
      </c>
      <c r="D78" s="24">
        <v>120.14240264892578</v>
      </c>
      <c r="E78" s="5">
        <f t="shared" si="1"/>
        <v>2.7371627138703392E-3</v>
      </c>
      <c r="F78" s="24">
        <v>429.88778686523438</v>
      </c>
      <c r="G78" s="5">
        <f t="shared" si="2"/>
        <v>-3.7220083999259827E-3</v>
      </c>
      <c r="H78" s="36">
        <v>87.532600402832003</v>
      </c>
      <c r="I78" s="5">
        <f t="shared" si="3"/>
        <v>2.696371719385051E-3</v>
      </c>
      <c r="J78" s="35"/>
      <c r="K78" s="5" t="e">
        <f t="shared" si="4"/>
        <v>#DIV/0!</v>
      </c>
      <c r="L78" s="36">
        <v>153.83700561523401</v>
      </c>
      <c r="M78" s="5">
        <f t="shared" si="5"/>
        <v>-3.076439772514681E-3</v>
      </c>
      <c r="N78" s="24">
        <v>99.884201049804688</v>
      </c>
      <c r="O78" s="5">
        <f t="shared" si="6"/>
        <v>-8.3863247970249904E-4</v>
      </c>
      <c r="P78" s="36">
        <v>18.7929992675781</v>
      </c>
      <c r="Q78" s="5">
        <f t="shared" si="7"/>
        <v>-6.9153377148080831E-4</v>
      </c>
      <c r="R78" s="24">
        <v>52.836395263671875</v>
      </c>
      <c r="S78" s="5">
        <f t="shared" si="8"/>
        <v>1.711245827960058E-4</v>
      </c>
      <c r="T78" s="62">
        <v>153.8370056</v>
      </c>
      <c r="U78" s="5">
        <f>LN(T78/T77)</f>
        <v>-3.0764396209372893E-3</v>
      </c>
      <c r="V78" s="59">
        <v>51.518001560000002</v>
      </c>
      <c r="W78" s="5">
        <f t="shared" ref="V78:W78" si="85">LN(V78/V77)</f>
        <v>-1.2250412410043361E-2</v>
      </c>
      <c r="X78" s="5"/>
    </row>
    <row r="79" spans="1:24" ht="13.8" thickBot="1">
      <c r="A79" s="13">
        <v>45555</v>
      </c>
      <c r="B79" s="35">
        <v>722.290771484375</v>
      </c>
      <c r="C79" s="5">
        <f t="shared" si="0"/>
        <v>5.7245619165222101E-3</v>
      </c>
      <c r="D79" s="24">
        <v>122.01419830322266</v>
      </c>
      <c r="E79" s="5">
        <f t="shared" si="1"/>
        <v>1.545968953173747E-2</v>
      </c>
      <c r="F79" s="24">
        <v>434.26031494140625</v>
      </c>
      <c r="G79" s="5">
        <f t="shared" si="2"/>
        <v>1.0119944449437609E-2</v>
      </c>
      <c r="H79" s="36">
        <v>88.711502075195298</v>
      </c>
      <c r="I79" s="5">
        <f t="shared" si="3"/>
        <v>1.3378254804871793E-2</v>
      </c>
      <c r="J79" s="35"/>
      <c r="K79" s="5" t="e">
        <f t="shared" si="4"/>
        <v>#DIV/0!</v>
      </c>
      <c r="L79" s="36">
        <v>155.218002319335</v>
      </c>
      <c r="M79" s="5">
        <f t="shared" si="5"/>
        <v>8.936958536366231E-3</v>
      </c>
      <c r="N79" s="24">
        <v>100.95980072021484</v>
      </c>
      <c r="O79" s="5">
        <f t="shared" si="6"/>
        <v>1.0710899443806021E-2</v>
      </c>
      <c r="P79" s="36">
        <v>19.103000640869102</v>
      </c>
      <c r="Q79" s="5">
        <f t="shared" si="7"/>
        <v>1.6361003228260843E-2</v>
      </c>
      <c r="R79" s="24">
        <v>53.19171142578125</v>
      </c>
      <c r="S79" s="5">
        <f t="shared" si="8"/>
        <v>6.70232645483043E-3</v>
      </c>
      <c r="T79" s="62">
        <v>155.21800229999999</v>
      </c>
      <c r="U79" s="5">
        <f>LN(T79/T78)</f>
        <v>8.9369585108265582E-3</v>
      </c>
      <c r="V79" s="59">
        <v>52.140998840000002</v>
      </c>
      <c r="W79" s="5">
        <f t="shared" ref="V79:W79" si="86">LN(V79/V78)</f>
        <v>1.2020273759684718E-2</v>
      </c>
      <c r="X79" s="5"/>
    </row>
    <row r="80" spans="1:24" ht="13.8" thickBot="1">
      <c r="A80" s="13">
        <v>45558</v>
      </c>
      <c r="B80" s="35">
        <v>723.427001953125</v>
      </c>
      <c r="C80" s="5">
        <f t="shared" si="0"/>
        <v>1.57185686386343E-3</v>
      </c>
      <c r="D80" s="24">
        <v>122.76999664306641</v>
      </c>
      <c r="E80" s="5">
        <f t="shared" si="1"/>
        <v>6.1752413531796719E-3</v>
      </c>
      <c r="F80" s="24">
        <v>436.910888671875</v>
      </c>
      <c r="G80" s="5">
        <f t="shared" si="2"/>
        <v>6.0850999168808526E-3</v>
      </c>
      <c r="H80" s="36">
        <v>88.969001770019503</v>
      </c>
      <c r="I80" s="5">
        <f t="shared" si="3"/>
        <v>2.8984595329738729E-3</v>
      </c>
      <c r="J80" s="35"/>
      <c r="K80" s="5" t="e">
        <f t="shared" si="4"/>
        <v>#DIV/0!</v>
      </c>
      <c r="L80" s="36">
        <v>156.54200744628901</v>
      </c>
      <c r="M80" s="5">
        <f t="shared" si="5"/>
        <v>8.4937968017326105E-3</v>
      </c>
      <c r="N80" s="24">
        <v>101.64330291748047</v>
      </c>
      <c r="O80" s="5">
        <f t="shared" si="6"/>
        <v>6.7472292184447853E-3</v>
      </c>
      <c r="P80" s="36">
        <v>19.197999954223601</v>
      </c>
      <c r="Q80" s="5">
        <f t="shared" si="7"/>
        <v>4.9606802273083382E-3</v>
      </c>
      <c r="R80" s="24">
        <v>53.745933532714844</v>
      </c>
      <c r="S80" s="5">
        <f t="shared" si="8"/>
        <v>1.0365424998260977E-2</v>
      </c>
      <c r="T80" s="62">
        <v>156.54200739999999</v>
      </c>
      <c r="U80" s="5">
        <f>LN(T80/T79)</f>
        <v>8.493796630602405E-3</v>
      </c>
      <c r="V80" s="59">
        <v>52.637001040000001</v>
      </c>
      <c r="W80" s="5">
        <f t="shared" ref="V80:W80" si="87">LN(V80/V79)</f>
        <v>9.4677490623518799E-3</v>
      </c>
      <c r="X80" s="5"/>
    </row>
    <row r="81" spans="1:24" ht="13.8" thickBot="1">
      <c r="A81" s="13">
        <v>45559</v>
      </c>
      <c r="B81" s="35">
        <v>724.58319091796795</v>
      </c>
      <c r="C81" s="5">
        <f t="shared" si="0"/>
        <v>1.5969351821483512E-3</v>
      </c>
      <c r="D81" s="24">
        <v>123.02300262451172</v>
      </c>
      <c r="E81" s="5">
        <f t="shared" si="1"/>
        <v>2.0586922455644368E-3</v>
      </c>
      <c r="F81" s="24">
        <v>437.85610961914063</v>
      </c>
      <c r="G81" s="5">
        <f t="shared" si="2"/>
        <v>2.1610813324739963E-3</v>
      </c>
      <c r="H81" s="36">
        <v>88.902297973632798</v>
      </c>
      <c r="I81" s="5">
        <f t="shared" si="3"/>
        <v>-7.5002318653732362E-4</v>
      </c>
      <c r="J81" s="35"/>
      <c r="K81" s="5" t="e">
        <f t="shared" si="4"/>
        <v>#DIV/0!</v>
      </c>
      <c r="L81" s="36">
        <v>156.940994262695</v>
      </c>
      <c r="M81" s="5">
        <f t="shared" si="5"/>
        <v>2.5455098341607436E-3</v>
      </c>
      <c r="N81" s="24">
        <v>101.74559783935547</v>
      </c>
      <c r="O81" s="5">
        <f t="shared" si="6"/>
        <v>1.0059047481932003E-3</v>
      </c>
      <c r="P81" s="36">
        <v>19.229000091552699</v>
      </c>
      <c r="Q81" s="5">
        <f t="shared" si="7"/>
        <v>1.6134563727190402E-3</v>
      </c>
      <c r="R81" s="24">
        <v>53.868892669677734</v>
      </c>
      <c r="S81" s="5">
        <f t="shared" si="8"/>
        <v>2.2851719379160837E-3</v>
      </c>
      <c r="T81" s="62">
        <v>156.9409943</v>
      </c>
      <c r="U81" s="5">
        <f>LN(T81/T80)</f>
        <v>2.5455103675585938E-3</v>
      </c>
      <c r="V81" s="59">
        <v>52.708000179999999</v>
      </c>
      <c r="W81" s="5">
        <f t="shared" ref="V81:W81" si="88">LN(V81/V80)</f>
        <v>1.3479358285215291E-3</v>
      </c>
      <c r="X81" s="5"/>
    </row>
    <row r="82" spans="1:24" ht="13.8" thickBot="1">
      <c r="A82" s="13">
        <v>45560</v>
      </c>
      <c r="B82" s="35">
        <v>726.58807373046795</v>
      </c>
      <c r="C82" s="5">
        <f t="shared" si="0"/>
        <v>2.7631253966003987E-3</v>
      </c>
      <c r="D82" s="24">
        <v>122.05650329589844</v>
      </c>
      <c r="E82" s="5">
        <f t="shared" si="1"/>
        <v>-7.8872718091702217E-3</v>
      </c>
      <c r="F82" s="24">
        <v>437.4381103515625</v>
      </c>
      <c r="G82" s="5">
        <f t="shared" si="2"/>
        <v>-9.5510581428943583E-4</v>
      </c>
      <c r="H82" s="36">
        <v>89.187698364257798</v>
      </c>
      <c r="I82" s="5">
        <f t="shared" si="3"/>
        <v>3.2051282027804788E-3</v>
      </c>
      <c r="J82" s="35"/>
      <c r="K82" s="5" t="e">
        <f t="shared" si="4"/>
        <v>#DIV/0!</v>
      </c>
      <c r="L82" s="36">
        <v>156.20700073242099</v>
      </c>
      <c r="M82" s="5">
        <f t="shared" si="5"/>
        <v>-4.6878465529756443E-3</v>
      </c>
      <c r="N82" s="24">
        <v>102.04129791259766</v>
      </c>
      <c r="O82" s="5">
        <f t="shared" si="6"/>
        <v>2.9020539292398174E-3</v>
      </c>
      <c r="P82" s="36">
        <v>19.240999221801701</v>
      </c>
      <c r="Q82" s="5">
        <f t="shared" si="7"/>
        <v>6.2381756445514195E-4</v>
      </c>
      <c r="R82" s="24">
        <v>53.723331451416016</v>
      </c>
      <c r="S82" s="5">
        <f t="shared" si="8"/>
        <v>-2.7057960416615894E-3</v>
      </c>
      <c r="T82" s="62">
        <v>156.20700070000001</v>
      </c>
      <c r="U82" s="5">
        <f>LN(T82/T81)</f>
        <v>-4.6878469982278674E-3</v>
      </c>
      <c r="V82" s="59">
        <v>52.576000209999997</v>
      </c>
      <c r="W82" s="5">
        <f t="shared" ref="V82:W82" si="89">LN(V82/V81)</f>
        <v>-2.5075042489717254E-3</v>
      </c>
      <c r="X82" s="5"/>
    </row>
    <row r="83" spans="1:24" ht="13.8" thickBot="1">
      <c r="A83" s="13">
        <v>45561</v>
      </c>
      <c r="B83" s="35">
        <v>730.493408203125</v>
      </c>
      <c r="C83" s="5">
        <f t="shared" si="0"/>
        <v>5.3605016228902664E-3</v>
      </c>
      <c r="D83" s="24">
        <v>121.30970001220703</v>
      </c>
      <c r="E83" s="5">
        <f t="shared" si="1"/>
        <v>-6.1372994085225549E-3</v>
      </c>
      <c r="F83" s="24">
        <v>439.70660400390625</v>
      </c>
      <c r="G83" s="5">
        <f t="shared" si="2"/>
        <v>5.1724616768237209E-3</v>
      </c>
      <c r="H83" s="36">
        <v>89.598701477050696</v>
      </c>
      <c r="I83" s="5">
        <f t="shared" si="3"/>
        <v>4.5977080714297673E-3</v>
      </c>
      <c r="J83" s="35"/>
      <c r="K83" s="5" t="e">
        <f t="shared" si="4"/>
        <v>#DIV/0!</v>
      </c>
      <c r="L83" s="36">
        <v>156.58700561523401</v>
      </c>
      <c r="M83" s="5">
        <f t="shared" si="5"/>
        <v>2.4297464916416649E-3</v>
      </c>
      <c r="N83" s="24">
        <v>102.66580200195313</v>
      </c>
      <c r="O83" s="5">
        <f t="shared" si="6"/>
        <v>6.1014593731699637E-3</v>
      </c>
      <c r="P83" s="36">
        <v>19.363000869750898</v>
      </c>
      <c r="Q83" s="5">
        <f t="shared" si="7"/>
        <v>6.3206949453658038E-3</v>
      </c>
      <c r="R83" s="24">
        <v>53.831825256347656</v>
      </c>
      <c r="S83" s="5">
        <f t="shared" si="8"/>
        <v>2.0174549515098376E-3</v>
      </c>
      <c r="T83" s="62">
        <v>156.5870056</v>
      </c>
      <c r="U83" s="5">
        <f>LN(T83/T82)</f>
        <v>2.4297466019052327E-3</v>
      </c>
      <c r="V83" s="59">
        <v>52.384998320000001</v>
      </c>
      <c r="W83" s="5">
        <f t="shared" ref="V83:W83" si="90">LN(V83/V82)</f>
        <v>-3.6394871143967862E-3</v>
      </c>
      <c r="X83" s="5"/>
    </row>
    <row r="84" spans="1:24" ht="13.8" thickBot="1">
      <c r="A84" s="13">
        <v>45562</v>
      </c>
      <c r="B84" s="35">
        <v>730.55999755859295</v>
      </c>
      <c r="C84" s="5">
        <f t="shared" si="0"/>
        <v>9.1152527692053368E-5</v>
      </c>
      <c r="D84" s="24">
        <v>122.24559783935547</v>
      </c>
      <c r="E84" s="5">
        <f t="shared" si="1"/>
        <v>7.6853383352520031E-3</v>
      </c>
      <c r="F84" s="24">
        <v>440.466796875</v>
      </c>
      <c r="G84" s="5">
        <f t="shared" si="2"/>
        <v>1.7273711279103216E-3</v>
      </c>
      <c r="H84" s="36">
        <v>89.150703430175696</v>
      </c>
      <c r="I84" s="5">
        <f t="shared" si="3"/>
        <v>-5.0125927428243148E-3</v>
      </c>
      <c r="J84" s="35"/>
      <c r="K84" s="5" t="e">
        <f t="shared" si="4"/>
        <v>#DIV/0!</v>
      </c>
      <c r="L84" s="36">
        <v>157.29299926757801</v>
      </c>
      <c r="M84" s="5">
        <f t="shared" si="5"/>
        <v>4.4985015415567953E-3</v>
      </c>
      <c r="N84" s="24">
        <v>102.70610046386719</v>
      </c>
      <c r="O84" s="5">
        <f t="shared" si="6"/>
        <v>3.9244377587612677E-4</v>
      </c>
      <c r="P84" s="36">
        <v>19.392999649047798</v>
      </c>
      <c r="Q84" s="5">
        <f t="shared" si="7"/>
        <v>1.5480846778047031E-3</v>
      </c>
      <c r="R84" s="24">
        <v>53.768535614013672</v>
      </c>
      <c r="S84" s="5">
        <f t="shared" si="8"/>
        <v>-1.1763835942706189E-3</v>
      </c>
      <c r="T84" s="62">
        <v>157.29299929999999</v>
      </c>
      <c r="U84" s="5">
        <f>LN(T84/T83)</f>
        <v>4.4985018449694636E-3</v>
      </c>
      <c r="V84" s="59">
        <v>52.301998140000002</v>
      </c>
      <c r="W84" s="5">
        <f t="shared" ref="V84:W84" si="91">LN(V84/V83)</f>
        <v>-1.5856830398788145E-3</v>
      </c>
      <c r="X84" s="5"/>
    </row>
    <row r="85" spans="1:24" ht="13.8" thickBot="1">
      <c r="A85" s="13">
        <v>45565</v>
      </c>
      <c r="B85" s="35">
        <v>726.50250244140602</v>
      </c>
      <c r="C85" s="5">
        <f t="shared" si="0"/>
        <v>-5.5694324784635431E-3</v>
      </c>
      <c r="D85" s="24">
        <v>122.243896484375</v>
      </c>
      <c r="E85" s="5">
        <f t="shared" si="1"/>
        <v>-1.3917612167388801E-5</v>
      </c>
      <c r="F85" s="24">
        <v>437.27621459960938</v>
      </c>
      <c r="G85" s="5">
        <f t="shared" si="2"/>
        <v>-7.2700010966750567E-3</v>
      </c>
      <c r="H85" s="36">
        <v>88.616500854492102</v>
      </c>
      <c r="I85" s="5">
        <f t="shared" si="3"/>
        <v>-6.010154526186598E-3</v>
      </c>
      <c r="J85" s="35"/>
      <c r="K85" s="5" t="e">
        <f t="shared" si="4"/>
        <v>#DIV/0!</v>
      </c>
      <c r="L85" s="36">
        <v>156.82499694824199</v>
      </c>
      <c r="M85" s="5">
        <f t="shared" si="5"/>
        <v>-2.9797889408583146E-3</v>
      </c>
      <c r="N85" s="24">
        <v>101.44750213623047</v>
      </c>
      <c r="O85" s="5">
        <f t="shared" si="6"/>
        <v>-1.2330071642415591E-2</v>
      </c>
      <c r="P85" s="36">
        <v>19.127000808715799</v>
      </c>
      <c r="Q85" s="5">
        <f t="shared" si="7"/>
        <v>-1.3811166427486088E-2</v>
      </c>
      <c r="R85" s="24">
        <v>53.654617309570313</v>
      </c>
      <c r="S85" s="5">
        <f t="shared" si="8"/>
        <v>-2.120927268406013E-3</v>
      </c>
      <c r="T85" s="62">
        <v>156.8249969</v>
      </c>
      <c r="U85" s="5">
        <f>LN(T85/T84)</f>
        <v>-2.9797894545997052E-3</v>
      </c>
      <c r="V85" s="59">
        <v>52.368000029999997</v>
      </c>
      <c r="W85" s="5">
        <f t="shared" ref="V85:W85" si="92">LN(V85/V84)</f>
        <v>1.2611426368937327E-3</v>
      </c>
      <c r="X85" s="5"/>
    </row>
    <row r="86" spans="1:24" ht="13.8" thickBot="1">
      <c r="A86" s="12">
        <v>45566</v>
      </c>
      <c r="B86" s="35">
        <v>726.36071777343705</v>
      </c>
      <c r="C86" s="5">
        <f t="shared" si="0"/>
        <v>-1.9517965138950071E-4</v>
      </c>
      <c r="D86" s="24">
        <v>123.56420135498047</v>
      </c>
      <c r="E86" s="5">
        <f t="shared" si="1"/>
        <v>1.0742669421086121E-2</v>
      </c>
      <c r="F86" s="24">
        <v>437.60110473632813</v>
      </c>
      <c r="G86" s="5">
        <f t="shared" si="2"/>
        <v>7.4271019369889692E-4</v>
      </c>
      <c r="H86" s="36">
        <v>88.646499633789006</v>
      </c>
      <c r="I86" s="5">
        <f t="shared" si="3"/>
        <v>3.3846634098105697E-4</v>
      </c>
      <c r="J86" s="35"/>
      <c r="K86" s="5" t="e">
        <f t="shared" si="4"/>
        <v>#DIV/0!</v>
      </c>
      <c r="L86" s="36">
        <v>157.36199951171801</v>
      </c>
      <c r="M86" s="5">
        <f t="shared" si="5"/>
        <v>3.418366084165749E-3</v>
      </c>
      <c r="N86" s="24">
        <v>101.43229675292969</v>
      </c>
      <c r="O86" s="5">
        <f t="shared" si="6"/>
        <v>-1.4989548897928931E-4</v>
      </c>
      <c r="P86" s="36">
        <v>19.127000808715799</v>
      </c>
      <c r="Q86" s="5">
        <f t="shared" si="7"/>
        <v>0</v>
      </c>
      <c r="R86" s="24">
        <v>53.848094940185547</v>
      </c>
      <c r="S86" s="5">
        <f t="shared" si="8"/>
        <v>3.5994968957273354E-3</v>
      </c>
      <c r="T86" s="62">
        <v>157.3619995</v>
      </c>
      <c r="U86" s="5">
        <f>LN(T86/T85)</f>
        <v>3.4183663173171369E-3</v>
      </c>
      <c r="V86" s="59">
        <v>52.525001529999997</v>
      </c>
      <c r="W86" s="5">
        <f t="shared" ref="V86:W86" si="93">LN(V86/V85)</f>
        <v>2.9935575283561592E-3</v>
      </c>
      <c r="X86" s="5"/>
    </row>
    <row r="87" spans="1:24" ht="13.8" thickBot="1">
      <c r="A87" s="12">
        <v>45568</v>
      </c>
      <c r="B87" s="35">
        <v>719.339599609375</v>
      </c>
      <c r="C87" s="5">
        <f t="shared" si="0"/>
        <v>-9.7131795306002796E-3</v>
      </c>
      <c r="D87" s="24">
        <v>121.67320251464844</v>
      </c>
      <c r="E87" s="5">
        <f t="shared" si="1"/>
        <v>-1.5422087251485757E-2</v>
      </c>
      <c r="F87" s="24">
        <v>431.3037109375</v>
      </c>
      <c r="G87" s="5">
        <f t="shared" si="2"/>
        <v>-1.4495267947483063E-2</v>
      </c>
      <c r="H87" s="36">
        <v>87.467300415039006</v>
      </c>
      <c r="I87" s="5">
        <f t="shared" si="3"/>
        <v>-1.3391532529863638E-2</v>
      </c>
      <c r="J87" s="35"/>
      <c r="K87" s="5" t="e">
        <f t="shared" si="4"/>
        <v>#DIV/0!</v>
      </c>
      <c r="L87" s="36">
        <v>153.92799377441401</v>
      </c>
      <c r="M87" s="5">
        <f t="shared" si="5"/>
        <v>-2.2063960433410669E-2</v>
      </c>
      <c r="N87" s="24">
        <v>99.488899230957031</v>
      </c>
      <c r="O87" s="5">
        <f t="shared" si="6"/>
        <v>-1.9345476432950093E-2</v>
      </c>
      <c r="P87" s="36">
        <v>18.705999374389599</v>
      </c>
      <c r="Q87" s="5">
        <f t="shared" si="7"/>
        <v>-2.2256697121780172E-2</v>
      </c>
      <c r="R87" s="24">
        <v>52.793903350830078</v>
      </c>
      <c r="S87" s="5">
        <f t="shared" si="8"/>
        <v>-1.977130861621498E-2</v>
      </c>
      <c r="T87" s="62">
        <v>153.9279938</v>
      </c>
      <c r="U87" s="5">
        <f>LN(T87/T86)</f>
        <v>-2.2063960192724781E-2</v>
      </c>
      <c r="V87" s="59">
        <v>51.611999509999997</v>
      </c>
      <c r="W87" s="5">
        <f t="shared" ref="V87:W87" si="94">LN(V87/V86)</f>
        <v>-1.7535081764366519E-2</v>
      </c>
      <c r="X87" s="5"/>
    </row>
    <row r="88" spans="1:24" ht="13.8" thickBot="1">
      <c r="A88" s="12">
        <v>45569</v>
      </c>
      <c r="B88" s="35">
        <v>717.48889160156205</v>
      </c>
      <c r="C88" s="5">
        <f t="shared" si="0"/>
        <v>-2.5761029136356669E-3</v>
      </c>
      <c r="D88" s="24">
        <v>120.32679748535156</v>
      </c>
      <c r="E88" s="5">
        <f t="shared" si="1"/>
        <v>-1.112742910651267E-2</v>
      </c>
      <c r="F88" s="24">
        <v>428.66970825195313</v>
      </c>
      <c r="G88" s="5">
        <f t="shared" si="2"/>
        <v>-6.1257961318229278E-3</v>
      </c>
      <c r="H88" s="36">
        <v>87.023300170898395</v>
      </c>
      <c r="I88" s="5">
        <f t="shared" si="3"/>
        <v>-5.0891131203107528E-3</v>
      </c>
      <c r="J88" s="35"/>
      <c r="K88" s="5" t="e">
        <f t="shared" si="4"/>
        <v>#DIV/0!</v>
      </c>
      <c r="L88" s="36">
        <v>152.63099670410099</v>
      </c>
      <c r="M88" s="5">
        <f t="shared" si="5"/>
        <v>-8.4616980703423831E-3</v>
      </c>
      <c r="N88" s="24">
        <v>98.709701538085938</v>
      </c>
      <c r="O88" s="5">
        <f t="shared" si="6"/>
        <v>-7.8628376212952818E-3</v>
      </c>
      <c r="P88" s="36">
        <v>18.527000427246001</v>
      </c>
      <c r="Q88" s="5">
        <f t="shared" si="7"/>
        <v>-9.6151439393901954E-3</v>
      </c>
      <c r="R88" s="24">
        <v>52.231544494628906</v>
      </c>
      <c r="S88" s="5">
        <f t="shared" si="8"/>
        <v>-1.070910416920535E-2</v>
      </c>
      <c r="T88" s="62">
        <v>152.6309967</v>
      </c>
      <c r="U88" s="5">
        <f>LN(T88/T87)</f>
        <v>-8.4616982634316447E-3</v>
      </c>
      <c r="V88" s="59">
        <v>51.210998539999999</v>
      </c>
      <c r="W88" s="5">
        <f t="shared" ref="V88:W88" si="95">LN(V88/V87)</f>
        <v>-7.7998698853349712E-3</v>
      </c>
      <c r="X88" s="5"/>
    </row>
    <row r="89" spans="1:24" ht="13.8" thickBot="1">
      <c r="A89" s="12">
        <v>45572</v>
      </c>
      <c r="B89" s="35">
        <v>712.96942138671795</v>
      </c>
      <c r="C89" s="5">
        <f t="shared" si="0"/>
        <v>-6.318933186555872E-3</v>
      </c>
      <c r="D89" s="24">
        <v>119.53489685058594</v>
      </c>
      <c r="E89" s="5">
        <f t="shared" si="1"/>
        <v>-6.6030010683451948E-3</v>
      </c>
      <c r="F89" s="24">
        <v>422.02590942382813</v>
      </c>
      <c r="G89" s="5">
        <f t="shared" si="2"/>
        <v>-1.5620002669611159E-2</v>
      </c>
      <c r="H89" s="36">
        <v>85.976097106933594</v>
      </c>
      <c r="I89" s="5">
        <f t="shared" si="3"/>
        <v>-1.2106583850228789E-2</v>
      </c>
      <c r="J89" s="35"/>
      <c r="K89" s="5" t="e">
        <f t="shared" si="4"/>
        <v>#DIV/0!</v>
      </c>
      <c r="L89" s="36">
        <v>150.00500488281199</v>
      </c>
      <c r="M89" s="5">
        <f t="shared" si="5"/>
        <v>-1.7354562678539343E-2</v>
      </c>
      <c r="N89" s="24">
        <v>97.398696899414063</v>
      </c>
      <c r="O89" s="5">
        <f t="shared" si="6"/>
        <v>-1.3370403098463355E-2</v>
      </c>
      <c r="P89" s="36">
        <v>18.343000411987301</v>
      </c>
      <c r="Q89" s="5">
        <f t="shared" si="7"/>
        <v>-9.9810978361922677E-3</v>
      </c>
      <c r="R89" s="24">
        <v>51.416934967041016</v>
      </c>
      <c r="S89" s="5">
        <f t="shared" si="8"/>
        <v>-1.5719020772458448E-2</v>
      </c>
      <c r="T89" s="62">
        <v>150.00500489999999</v>
      </c>
      <c r="U89" s="5">
        <f>LN(T89/T88)</f>
        <v>-1.7354562537087784E-2</v>
      </c>
      <c r="V89" s="59">
        <v>49.814998629999998</v>
      </c>
      <c r="W89" s="5">
        <f t="shared" ref="V89:W89" si="96">LN(V89/V88)</f>
        <v>-2.7638208215285672E-2</v>
      </c>
      <c r="X89" s="5"/>
    </row>
    <row r="90" spans="1:24" ht="13.8" thickBot="1">
      <c r="A90" s="12">
        <v>45573</v>
      </c>
      <c r="B90" s="35">
        <v>713.37902832031205</v>
      </c>
      <c r="C90" s="5">
        <f t="shared" si="0"/>
        <v>5.7434345014070428E-4</v>
      </c>
      <c r="D90" s="24">
        <v>121.92659759521484</v>
      </c>
      <c r="E90" s="5">
        <f t="shared" si="1"/>
        <v>1.9810852013024766E-2</v>
      </c>
      <c r="F90" s="24">
        <v>425.590087890625</v>
      </c>
      <c r="G90" s="5">
        <f t="shared" si="2"/>
        <v>8.4099391353119769E-3</v>
      </c>
      <c r="H90" s="36">
        <v>86.682098388671804</v>
      </c>
      <c r="I90" s="5">
        <f t="shared" si="3"/>
        <v>8.178067823938838E-3</v>
      </c>
      <c r="J90" s="35"/>
      <c r="K90" s="5" t="e">
        <f t="shared" si="4"/>
        <v>#DIV/0!</v>
      </c>
      <c r="L90" s="36">
        <v>152.72999572753901</v>
      </c>
      <c r="M90" s="5">
        <f t="shared" si="5"/>
        <v>1.800296918336626E-2</v>
      </c>
      <c r="N90" s="24">
        <v>98.638099670410156</v>
      </c>
      <c r="O90" s="5">
        <f t="shared" si="6"/>
        <v>1.2644761663604039E-2</v>
      </c>
      <c r="P90" s="36">
        <v>18.5659999847412</v>
      </c>
      <c r="Q90" s="5">
        <f t="shared" si="7"/>
        <v>1.2083897363467464E-2</v>
      </c>
      <c r="R90" s="24">
        <v>52.306583404541016</v>
      </c>
      <c r="S90" s="5">
        <f t="shared" si="8"/>
        <v>1.7154648601427958E-2</v>
      </c>
      <c r="T90" s="62">
        <v>152.72999569999999</v>
      </c>
      <c r="U90" s="5">
        <f>LN(T90/T89)</f>
        <v>1.8002968888471711E-2</v>
      </c>
      <c r="V90" s="59">
        <v>50.936000819999997</v>
      </c>
      <c r="W90" s="5">
        <f t="shared" ref="V90:W90" si="97">LN(V90/V89)</f>
        <v>2.2253842818294838E-2</v>
      </c>
      <c r="X90" s="5"/>
    </row>
    <row r="91" spans="1:24" ht="13.8" thickBot="1">
      <c r="A91" s="12">
        <v>45574</v>
      </c>
      <c r="B91" s="35">
        <v>713.66351318359295</v>
      </c>
      <c r="C91" s="5">
        <f t="shared" si="0"/>
        <v>3.9870551686521552E-4</v>
      </c>
      <c r="D91" s="24">
        <v>123.02899932861328</v>
      </c>
      <c r="E91" s="5">
        <f t="shared" si="1"/>
        <v>9.0008898748654802E-3</v>
      </c>
      <c r="F91" s="24">
        <v>426.83740234375</v>
      </c>
      <c r="G91" s="5">
        <f t="shared" si="2"/>
        <v>2.9265019198093257E-3</v>
      </c>
      <c r="H91" s="36">
        <v>86.959098815917898</v>
      </c>
      <c r="I91" s="5">
        <f t="shared" si="3"/>
        <v>3.190494729096167E-3</v>
      </c>
      <c r="J91" s="35"/>
      <c r="K91" s="5" t="e">
        <f t="shared" si="4"/>
        <v>#DIV/0!</v>
      </c>
      <c r="L91" s="36">
        <v>154.59199523925699</v>
      </c>
      <c r="M91" s="5">
        <f t="shared" si="5"/>
        <v>1.2117728968056369E-2</v>
      </c>
      <c r="N91" s="24">
        <v>98.992301940917969</v>
      </c>
      <c r="O91" s="5">
        <f t="shared" si="6"/>
        <v>3.5844955722435542E-3</v>
      </c>
      <c r="P91" s="36">
        <v>18.590999603271399</v>
      </c>
      <c r="Q91" s="5">
        <f t="shared" si="7"/>
        <v>1.3456211523866857E-3</v>
      </c>
      <c r="R91" s="24">
        <v>52.749603271484375</v>
      </c>
      <c r="S91" s="5">
        <f t="shared" si="8"/>
        <v>8.4340105433344525E-3</v>
      </c>
      <c r="T91" s="62">
        <v>154.59199520000001</v>
      </c>
      <c r="U91" s="5">
        <f>LN(T91/T90)</f>
        <v>1.211772889442894E-2</v>
      </c>
      <c r="V91" s="59">
        <v>51.430000309999997</v>
      </c>
      <c r="W91" s="5">
        <f t="shared" ref="V91:W91" si="98">LN(V91/V90)</f>
        <v>9.6517070010774062E-3</v>
      </c>
      <c r="X91" s="5"/>
    </row>
    <row r="92" spans="1:24" ht="13.8" thickBot="1">
      <c r="A92" s="13">
        <v>45575</v>
      </c>
      <c r="B92" s="35">
        <v>714.44952392578102</v>
      </c>
      <c r="C92" s="5">
        <f t="shared" si="0"/>
        <v>1.100768358148927E-3</v>
      </c>
      <c r="D92" s="24">
        <v>122.54650115966797</v>
      </c>
      <c r="E92" s="5">
        <f t="shared" si="1"/>
        <v>-3.9295352252178466E-3</v>
      </c>
      <c r="F92" s="24">
        <v>426.38430786132813</v>
      </c>
      <c r="G92" s="5">
        <f t="shared" si="2"/>
        <v>-1.0620792218339588E-3</v>
      </c>
      <c r="H92" s="36">
        <v>87.42919921875</v>
      </c>
      <c r="I92" s="5">
        <f t="shared" si="3"/>
        <v>5.3914344810103189E-3</v>
      </c>
      <c r="J92" s="35"/>
      <c r="K92" s="5" t="e">
        <f t="shared" si="4"/>
        <v>#DIV/0!</v>
      </c>
      <c r="L92" s="36">
        <v>154.26899719238199</v>
      </c>
      <c r="M92" s="5">
        <f t="shared" si="5"/>
        <v>-2.0915439148194112E-3</v>
      </c>
      <c r="N92" s="24">
        <v>99.268501281738281</v>
      </c>
      <c r="O92" s="5">
        <f t="shared" si="6"/>
        <v>2.786224155352558E-3</v>
      </c>
      <c r="P92" s="36">
        <v>18.5130004882812</v>
      </c>
      <c r="Q92" s="5">
        <f t="shared" si="7"/>
        <v>-4.2043569261757925E-3</v>
      </c>
      <c r="R92" s="24">
        <v>52.594997406005859</v>
      </c>
      <c r="S92" s="5">
        <f t="shared" si="8"/>
        <v>-2.9352425370961365E-3</v>
      </c>
      <c r="T92" s="62">
        <v>154.2689972</v>
      </c>
      <c r="U92" s="5">
        <f>LN(T92/T91)</f>
        <v>-2.0915436114987899E-3</v>
      </c>
      <c r="V92" s="59">
        <v>51.616001130000001</v>
      </c>
      <c r="W92" s="5">
        <f t="shared" ref="V92:W92" si="99">LN(V92/V91)</f>
        <v>3.6100580207995827E-3</v>
      </c>
      <c r="X92" s="5"/>
    </row>
    <row r="93" spans="1:24" ht="13.8" thickBot="1">
      <c r="A93" s="13">
        <v>45576</v>
      </c>
      <c r="B93" s="35">
        <v>715.147705078125</v>
      </c>
      <c r="C93" s="5">
        <f t="shared" si="0"/>
        <v>9.7675232392328989E-4</v>
      </c>
      <c r="D93" s="24">
        <v>123.39469909667969</v>
      </c>
      <c r="E93" s="5">
        <f t="shared" si="1"/>
        <v>6.8975942136089863E-3</v>
      </c>
      <c r="F93" s="24">
        <v>427.21798706054688</v>
      </c>
      <c r="G93" s="5">
        <f t="shared" si="2"/>
        <v>1.9533205785665121E-3</v>
      </c>
      <c r="H93" s="36">
        <v>87.537696838378906</v>
      </c>
      <c r="I93" s="5">
        <f t="shared" si="3"/>
        <v>1.2402075590378461E-3</v>
      </c>
      <c r="J93" s="35"/>
      <c r="K93" s="5" t="e">
        <f t="shared" si="4"/>
        <v>#DIV/0!</v>
      </c>
      <c r="L93" s="36">
        <v>155.06100463867099</v>
      </c>
      <c r="M93" s="5">
        <f t="shared" si="5"/>
        <v>5.1208041399813482E-3</v>
      </c>
      <c r="N93" s="24">
        <v>99.138999938964844</v>
      </c>
      <c r="O93" s="5">
        <f t="shared" si="6"/>
        <v>-1.3054079141851113E-3</v>
      </c>
      <c r="P93" s="36">
        <v>18.503999710083001</v>
      </c>
      <c r="Q93" s="5">
        <f t="shared" si="7"/>
        <v>-4.863051207473413E-4</v>
      </c>
      <c r="R93" s="24">
        <v>52.735134124755859</v>
      </c>
      <c r="S93" s="5">
        <f t="shared" si="8"/>
        <v>2.6609062269072389E-3</v>
      </c>
      <c r="T93" s="62">
        <v>155.06100459999999</v>
      </c>
      <c r="U93" s="5">
        <f>LN(T93/T92)</f>
        <v>5.1208038412076775E-3</v>
      </c>
      <c r="V93" s="59">
        <v>51.840999600000004</v>
      </c>
      <c r="W93" s="5">
        <f t="shared" ref="V93:W93" si="100">LN(V93/V92)</f>
        <v>4.3496104302890226E-3</v>
      </c>
      <c r="X93" s="5"/>
    </row>
    <row r="94" spans="1:24" ht="13.8" thickBot="1">
      <c r="A94" s="13">
        <v>45579</v>
      </c>
      <c r="B94" s="35">
        <v>715.632080078125</v>
      </c>
      <c r="C94" s="5">
        <f t="shared" si="0"/>
        <v>6.7707836458101101E-4</v>
      </c>
      <c r="D94" s="24">
        <v>124.28549957275391</v>
      </c>
      <c r="E94" s="5">
        <f t="shared" si="1"/>
        <v>7.1931815448247E-3</v>
      </c>
      <c r="F94" s="24">
        <v>429.5885009765625</v>
      </c>
      <c r="G94" s="5">
        <f t="shared" si="2"/>
        <v>5.5333847199919963E-3</v>
      </c>
      <c r="H94" s="36">
        <v>87.873199462890597</v>
      </c>
      <c r="I94" s="5">
        <f t="shared" si="3"/>
        <v>3.8253385702888983E-3</v>
      </c>
      <c r="J94" s="35"/>
      <c r="K94" s="5" t="e">
        <f t="shared" si="4"/>
        <v>#DIV/0!</v>
      </c>
      <c r="L94" s="36">
        <v>156.56100463867099</v>
      </c>
      <c r="M94" s="5">
        <f t="shared" si="5"/>
        <v>9.6271222218607816E-3</v>
      </c>
      <c r="N94" s="24">
        <v>99.68389892578125</v>
      </c>
      <c r="O94" s="5">
        <f t="shared" si="6"/>
        <v>5.4812635182748997E-3</v>
      </c>
      <c r="P94" s="36">
        <v>18.6210002899169</v>
      </c>
      <c r="Q94" s="5">
        <f t="shared" si="7"/>
        <v>6.3030824076406996E-3</v>
      </c>
      <c r="R94" s="24">
        <v>52.967491149902344</v>
      </c>
      <c r="S94" s="5">
        <f t="shared" si="8"/>
        <v>4.396435732884698E-3</v>
      </c>
      <c r="T94" s="62">
        <v>156.56100459999999</v>
      </c>
      <c r="U94" s="5">
        <f>LN(T94/T93)</f>
        <v>9.627122224250181E-3</v>
      </c>
      <c r="V94" s="59">
        <v>51.867000580000003</v>
      </c>
      <c r="W94" s="5">
        <f t="shared" ref="V94:W94" si="101">LN(V94/V93)</f>
        <v>5.0142670767253995E-4</v>
      </c>
      <c r="X94" s="5"/>
    </row>
    <row r="95" spans="1:24" ht="13.8" thickBot="1">
      <c r="A95" s="13">
        <v>45580</v>
      </c>
      <c r="B95" s="35">
        <v>714.76019287109295</v>
      </c>
      <c r="C95" s="5">
        <f t="shared" si="0"/>
        <v>-1.2190884018351978E-3</v>
      </c>
      <c r="D95" s="24">
        <v>124.82649993896484</v>
      </c>
      <c r="E95" s="5">
        <f t="shared" si="1"/>
        <v>4.3434376327840096E-3</v>
      </c>
      <c r="F95" s="24">
        <v>428.931396484375</v>
      </c>
      <c r="G95" s="5">
        <f t="shared" si="2"/>
        <v>-1.5307848366638416E-3</v>
      </c>
      <c r="H95" s="36">
        <v>88.092002868652301</v>
      </c>
      <c r="I95" s="5">
        <f t="shared" si="3"/>
        <v>2.4868953137444001E-3</v>
      </c>
      <c r="J95" s="35"/>
      <c r="K95" s="5" t="e">
        <f t="shared" si="4"/>
        <v>#DIV/0!</v>
      </c>
      <c r="L95" s="36">
        <v>157.23199462890599</v>
      </c>
      <c r="M95" s="5">
        <f t="shared" si="5"/>
        <v>4.2766474362742378E-3</v>
      </c>
      <c r="N95" s="24">
        <v>99.635498046875</v>
      </c>
      <c r="O95" s="5">
        <f t="shared" si="6"/>
        <v>-4.8566151205276566E-4</v>
      </c>
      <c r="P95" s="36">
        <v>18.5590000152587</v>
      </c>
      <c r="Q95" s="5">
        <f t="shared" si="7"/>
        <v>-3.3351442506369352E-3</v>
      </c>
      <c r="R95" s="24">
        <v>53.262229919433594</v>
      </c>
      <c r="S95" s="5">
        <f t="shared" si="8"/>
        <v>5.549097237108563E-3</v>
      </c>
      <c r="T95" s="62">
        <v>157.23199460000001</v>
      </c>
      <c r="U95" s="5">
        <f>LN(T95/T94)</f>
        <v>4.2766474994341405E-3</v>
      </c>
      <c r="V95" s="59">
        <v>52.487998959999999</v>
      </c>
      <c r="W95" s="5">
        <f t="shared" ref="V95:W95" si="102">LN(V95/V94)</f>
        <v>1.1901791255327353E-2</v>
      </c>
      <c r="X95" s="5"/>
    </row>
    <row r="96" spans="1:24" ht="13.8" thickBot="1">
      <c r="A96" s="13">
        <v>45581</v>
      </c>
      <c r="B96" s="35">
        <v>714.90612792968705</v>
      </c>
      <c r="C96" s="5">
        <f t="shared" si="0"/>
        <v>2.0415261516298642E-4</v>
      </c>
      <c r="D96" s="24">
        <v>124.12539672851563</v>
      </c>
      <c r="E96" s="5">
        <f t="shared" si="1"/>
        <v>-5.6324540873000165E-3</v>
      </c>
      <c r="F96" s="24">
        <v>429.28271484375</v>
      </c>
      <c r="G96" s="5">
        <f t="shared" si="2"/>
        <v>8.1871965133609463E-4</v>
      </c>
      <c r="H96" s="36">
        <v>87.757797241210895</v>
      </c>
      <c r="I96" s="5">
        <f t="shared" si="3"/>
        <v>-3.8010396328385333E-3</v>
      </c>
      <c r="J96" s="35"/>
      <c r="K96" s="5" t="e">
        <f t="shared" si="4"/>
        <v>#DIV/0!</v>
      </c>
      <c r="L96" s="36">
        <v>156.85899353027301</v>
      </c>
      <c r="M96" s="5">
        <f t="shared" si="5"/>
        <v>-2.3751160526197927E-3</v>
      </c>
      <c r="N96" s="24">
        <v>99.552497863769531</v>
      </c>
      <c r="O96" s="5">
        <f t="shared" si="6"/>
        <v>-8.3338544102383168E-4</v>
      </c>
      <c r="P96" s="36">
        <v>18.524000167846602</v>
      </c>
      <c r="Q96" s="5">
        <f t="shared" si="7"/>
        <v>-1.8876497388001729E-3</v>
      </c>
      <c r="R96" s="24">
        <v>53.160972595214844</v>
      </c>
      <c r="S96" s="5">
        <f t="shared" si="8"/>
        <v>-1.9029187692420442E-3</v>
      </c>
      <c r="T96" s="62">
        <v>156.8589935</v>
      </c>
      <c r="U96" s="5">
        <f>LN(T96/T95)</f>
        <v>-2.3751160617719786E-3</v>
      </c>
      <c r="V96" s="59">
        <v>52.611000060000002</v>
      </c>
      <c r="W96" s="5">
        <f t="shared" ref="V96:W96" si="103">LN(V96/V95)</f>
        <v>2.3406722671876611E-3</v>
      </c>
      <c r="X96" s="5"/>
    </row>
    <row r="97" spans="1:24" ht="13.8" thickBot="1">
      <c r="A97" s="13">
        <v>45582</v>
      </c>
      <c r="B97" s="35">
        <v>711.62780761718705</v>
      </c>
      <c r="C97" s="5">
        <f t="shared" si="0"/>
        <v>-4.5962118419503864E-3</v>
      </c>
      <c r="D97" s="24">
        <v>122.65730285644531</v>
      </c>
      <c r="E97" s="5">
        <f t="shared" si="1"/>
        <v>-1.1898007384052245E-2</v>
      </c>
      <c r="F97" s="24">
        <v>425.12319946289063</v>
      </c>
      <c r="G97" s="5">
        <f t="shared" si="2"/>
        <v>-9.7367028305902128E-3</v>
      </c>
      <c r="H97" s="36">
        <v>87.241500854492102</v>
      </c>
      <c r="I97" s="5">
        <f t="shared" si="3"/>
        <v>-5.9005709201782938E-3</v>
      </c>
      <c r="J97" s="35"/>
      <c r="K97" s="5" t="e">
        <f t="shared" si="4"/>
        <v>#DIV/0!</v>
      </c>
      <c r="L97" s="36">
        <v>154.80599975585901</v>
      </c>
      <c r="M97" s="5">
        <f t="shared" si="5"/>
        <v>-1.3174552889804939E-2</v>
      </c>
      <c r="N97" s="24">
        <v>98.600303649902344</v>
      </c>
      <c r="O97" s="5">
        <f t="shared" si="6"/>
        <v>-9.6107805276246412E-3</v>
      </c>
      <c r="P97" s="36">
        <v>18.350000381469702</v>
      </c>
      <c r="Q97" s="5">
        <f t="shared" si="7"/>
        <v>-9.4376023904212247E-3</v>
      </c>
      <c r="R97" s="24">
        <v>52.467517852783203</v>
      </c>
      <c r="S97" s="5">
        <f t="shared" si="8"/>
        <v>-1.3130258745694349E-2</v>
      </c>
      <c r="T97" s="62">
        <v>154.8059998</v>
      </c>
      <c r="U97" s="5">
        <f>LN(T97/T96)</f>
        <v>-1.3174552411672419E-2</v>
      </c>
      <c r="V97" s="59">
        <v>51.852001190000003</v>
      </c>
      <c r="W97" s="5">
        <f t="shared" ref="V97:W97" si="104">LN(V97/V96)</f>
        <v>-1.4531694807980548E-2</v>
      </c>
      <c r="X97" s="5"/>
    </row>
    <row r="98" spans="1:24" ht="13.8" thickBot="1">
      <c r="A98" s="13">
        <v>45583</v>
      </c>
      <c r="B98" s="35">
        <v>714.67169189453102</v>
      </c>
      <c r="C98" s="5">
        <f t="shared" si="0"/>
        <v>4.2682324427086599E-3</v>
      </c>
      <c r="D98" s="24">
        <v>122.28600311279297</v>
      </c>
      <c r="E98" s="5">
        <f t="shared" si="1"/>
        <v>-3.0317221903920816E-3</v>
      </c>
      <c r="F98" s="24">
        <v>427.2366943359375</v>
      </c>
      <c r="G98" s="5">
        <f t="shared" si="2"/>
        <v>4.959170932183273E-3</v>
      </c>
      <c r="H98" s="36">
        <v>87.668296813964801</v>
      </c>
      <c r="I98" s="5">
        <f t="shared" si="3"/>
        <v>4.8801932449689719E-3</v>
      </c>
      <c r="J98" s="35"/>
      <c r="K98" s="5" t="e">
        <f t="shared" si="4"/>
        <v>#DIV/0!</v>
      </c>
      <c r="L98" s="36">
        <v>155.57099914550699</v>
      </c>
      <c r="M98" s="5">
        <f t="shared" si="5"/>
        <v>4.9294950429571074E-3</v>
      </c>
      <c r="N98" s="24">
        <v>98.924797058105469</v>
      </c>
      <c r="O98" s="5">
        <f t="shared" si="6"/>
        <v>3.2855945796497871E-3</v>
      </c>
      <c r="P98" s="36">
        <v>18.415000915527301</v>
      </c>
      <c r="Q98" s="5">
        <f t="shared" si="7"/>
        <v>3.5360043242975208E-3</v>
      </c>
      <c r="R98" s="24">
        <v>52.592281341552734</v>
      </c>
      <c r="S98" s="5">
        <f t="shared" si="8"/>
        <v>2.3750958668561123E-3</v>
      </c>
      <c r="T98" s="62">
        <v>155.57099909999999</v>
      </c>
      <c r="U98" s="5">
        <f>LN(T98/T97)</f>
        <v>4.9294944653038124E-3</v>
      </c>
      <c r="V98" s="59">
        <v>51.758998869999999</v>
      </c>
      <c r="W98" s="5">
        <f t="shared" ref="V98:W98" si="105">LN(V98/V97)</f>
        <v>-1.7952214518463614E-3</v>
      </c>
      <c r="X98" s="5"/>
    </row>
    <row r="99" spans="1:24" ht="13.8" thickBot="1">
      <c r="A99" s="13">
        <v>45586</v>
      </c>
      <c r="B99" s="35">
        <v>715.18060302734295</v>
      </c>
      <c r="C99" s="5">
        <f t="shared" si="0"/>
        <v>7.1183737804059546E-4</v>
      </c>
      <c r="D99" s="24">
        <v>119.97119903564453</v>
      </c>
      <c r="E99" s="5">
        <f t="shared" si="1"/>
        <v>-1.9110883048107947E-2</v>
      </c>
      <c r="F99" s="24">
        <v>424.3197021484375</v>
      </c>
      <c r="G99" s="5">
        <f t="shared" si="2"/>
        <v>-6.8509933314792595E-3</v>
      </c>
      <c r="H99" s="36">
        <v>87.374801635742102</v>
      </c>
      <c r="I99" s="5">
        <f t="shared" si="3"/>
        <v>-3.3534078847997674E-3</v>
      </c>
      <c r="J99" s="35"/>
      <c r="K99" s="5" t="e">
        <f t="shared" si="4"/>
        <v>#DIV/0!</v>
      </c>
      <c r="L99" s="36">
        <v>153.54899597167901</v>
      </c>
      <c r="M99" s="5">
        <f t="shared" si="5"/>
        <v>-1.3082505466059531E-2</v>
      </c>
      <c r="N99" s="24">
        <v>98.424697875976563</v>
      </c>
      <c r="O99" s="5">
        <f t="shared" si="6"/>
        <v>-5.0681685582387699E-3</v>
      </c>
      <c r="P99" s="36">
        <v>18.343999862670898</v>
      </c>
      <c r="Q99" s="5">
        <f t="shared" si="7"/>
        <v>-3.8630615441355501E-3</v>
      </c>
      <c r="R99" s="24">
        <v>51.959403991699219</v>
      </c>
      <c r="S99" s="5">
        <f t="shared" si="8"/>
        <v>-1.2106645204848434E-2</v>
      </c>
      <c r="T99" s="62">
        <v>153.54899599999999</v>
      </c>
      <c r="U99" s="5">
        <f>LN(T99/T98)</f>
        <v>-1.3082504989100924E-2</v>
      </c>
      <c r="V99" s="59">
        <v>51.076000209999997</v>
      </c>
      <c r="W99" s="5">
        <f t="shared" ref="V99:W99" si="106">LN(V99/V98)</f>
        <v>-1.3283584561929622E-2</v>
      </c>
      <c r="X99" s="5"/>
    </row>
    <row r="100" spans="1:24" ht="13.8" thickBot="1">
      <c r="A100" s="13">
        <v>45587</v>
      </c>
      <c r="B100" s="35">
        <v>711.14752197265602</v>
      </c>
      <c r="C100" s="5">
        <f t="shared" si="0"/>
        <v>-5.6552089699680765E-3</v>
      </c>
      <c r="D100" s="24">
        <v>117.50650024414063</v>
      </c>
      <c r="E100" s="5">
        <f t="shared" si="1"/>
        <v>-2.0758052658432585E-2</v>
      </c>
      <c r="F100" s="24">
        <v>417.20269775390625</v>
      </c>
      <c r="G100" s="5">
        <f t="shared" si="2"/>
        <v>-1.691499616869006E-2</v>
      </c>
      <c r="H100" s="36">
        <v>86.6405029296875</v>
      </c>
      <c r="I100" s="5">
        <f t="shared" si="3"/>
        <v>-8.4395227912319598E-3</v>
      </c>
      <c r="J100" s="35"/>
      <c r="K100" s="5" t="e">
        <f t="shared" si="4"/>
        <v>#DIV/0!</v>
      </c>
      <c r="L100" s="36">
        <v>149.52799987792901</v>
      </c>
      <c r="M100" s="5">
        <f t="shared" si="5"/>
        <v>-2.6536042646731241E-2</v>
      </c>
      <c r="N100" s="24">
        <v>96.826301574707031</v>
      </c>
      <c r="O100" s="5">
        <f t="shared" si="6"/>
        <v>-1.6373099380438731E-2</v>
      </c>
      <c r="P100" s="36">
        <v>18.065000534057599</v>
      </c>
      <c r="Q100" s="5">
        <f t="shared" si="7"/>
        <v>-1.532614390656665E-2</v>
      </c>
      <c r="R100" s="24">
        <v>50.791290283203125</v>
      </c>
      <c r="S100" s="5">
        <f t="shared" si="8"/>
        <v>-2.2737832448077384E-2</v>
      </c>
      <c r="T100" s="62">
        <v>149.5279999</v>
      </c>
      <c r="U100" s="5">
        <f>LN(T100/T99)</f>
        <v>-2.6536042683569454E-2</v>
      </c>
      <c r="V100" s="59">
        <v>49.44900131</v>
      </c>
      <c r="W100" s="5">
        <f t="shared" ref="V100:W100" si="107">LN(V100/V99)</f>
        <v>-3.2372861764685228E-2</v>
      </c>
      <c r="X100" s="5"/>
    </row>
    <row r="101" spans="1:24" ht="13.8" thickBot="1">
      <c r="A101" s="13">
        <v>45588</v>
      </c>
      <c r="B101" s="35">
        <v>710.36712646484295</v>
      </c>
      <c r="C101" s="5">
        <f t="shared" si="0"/>
        <v>-1.0979775510180608E-3</v>
      </c>
      <c r="D101" s="24">
        <v>120.60769653320313</v>
      </c>
      <c r="E101" s="5">
        <f t="shared" si="1"/>
        <v>2.6049447659256028E-2</v>
      </c>
      <c r="F101" s="24">
        <v>417.14520263671875</v>
      </c>
      <c r="G101" s="5">
        <f t="shared" si="2"/>
        <v>-1.3782048771638684E-4</v>
      </c>
      <c r="H101" s="36">
        <v>86.488502502441406</v>
      </c>
      <c r="I101" s="5">
        <f t="shared" si="3"/>
        <v>-1.7559214404476425E-3</v>
      </c>
      <c r="J101" s="35"/>
      <c r="K101" s="5" t="e">
        <f t="shared" si="4"/>
        <v>#DIV/0!</v>
      </c>
      <c r="L101" s="36">
        <v>151.37899780273401</v>
      </c>
      <c r="M101" s="5">
        <f t="shared" si="5"/>
        <v>1.2302946004246362E-2</v>
      </c>
      <c r="N101" s="24">
        <v>96.792800903320313</v>
      </c>
      <c r="O101" s="5">
        <f t="shared" si="6"/>
        <v>-3.4604717501797916E-4</v>
      </c>
      <c r="P101" s="36">
        <v>18.038000106811499</v>
      </c>
      <c r="Q101" s="5">
        <f t="shared" si="7"/>
        <v>-1.4957444977263599E-3</v>
      </c>
      <c r="R101" s="24">
        <v>51.165592193603516</v>
      </c>
      <c r="S101" s="5">
        <f t="shared" si="8"/>
        <v>7.3423898981387582E-3</v>
      </c>
      <c r="T101" s="62">
        <v>151.37899780000001</v>
      </c>
      <c r="U101" s="5">
        <f>LN(T101/T100)</f>
        <v>1.2302945838581278E-2</v>
      </c>
      <c r="V101" s="59">
        <v>49.865001679999999</v>
      </c>
      <c r="W101" s="5">
        <f t="shared" ref="V101:W101" si="108">LN(V101/V100)</f>
        <v>8.37752563552689E-3</v>
      </c>
      <c r="X101" s="5"/>
    </row>
    <row r="102" spans="1:24" ht="13.8" thickBot="1">
      <c r="A102" s="13">
        <v>45589</v>
      </c>
      <c r="B102" s="35">
        <v>709.65930175781205</v>
      </c>
      <c r="C102" s="5">
        <f t="shared" si="0"/>
        <v>-9.9691773559338129E-4</v>
      </c>
      <c r="D102" s="24">
        <v>119.88520050048828</v>
      </c>
      <c r="E102" s="5">
        <f t="shared" si="1"/>
        <v>-6.0084785475428698E-3</v>
      </c>
      <c r="F102" s="24">
        <v>416.92449951171875</v>
      </c>
      <c r="G102" s="5">
        <f t="shared" si="2"/>
        <v>-5.2921987115125545E-4</v>
      </c>
      <c r="H102" s="36">
        <v>86.461799621582003</v>
      </c>
      <c r="I102" s="5">
        <f t="shared" si="3"/>
        <v>-3.0879253454481418E-4</v>
      </c>
      <c r="J102" s="35"/>
      <c r="K102" s="5" t="e">
        <f t="shared" si="4"/>
        <v>#DIV/0!</v>
      </c>
      <c r="L102" s="36">
        <v>150.44999694824199</v>
      </c>
      <c r="M102" s="5">
        <f t="shared" si="5"/>
        <v>-6.1558286598942412E-3</v>
      </c>
      <c r="N102" s="24">
        <v>96.590103149414063</v>
      </c>
      <c r="O102" s="5">
        <f t="shared" si="6"/>
        <v>-2.0963365829144791E-3</v>
      </c>
      <c r="P102" s="36">
        <v>18.038000106811499</v>
      </c>
      <c r="Q102" s="5">
        <f t="shared" si="7"/>
        <v>0</v>
      </c>
      <c r="R102" s="24">
        <v>51.091453552246094</v>
      </c>
      <c r="S102" s="5">
        <f t="shared" si="8"/>
        <v>-1.4500449100045567E-3</v>
      </c>
      <c r="T102" s="62">
        <v>150.4499969</v>
      </c>
      <c r="U102" s="5">
        <f>LN(T102/T101)</f>
        <v>-6.1558289624848769E-3</v>
      </c>
      <c r="V102" s="59">
        <v>49.30099869</v>
      </c>
      <c r="W102" s="5">
        <f t="shared" ref="V102:W102" si="109">LN(V102/V101)</f>
        <v>-1.1375049297679225E-2</v>
      </c>
      <c r="X102" s="5"/>
    </row>
    <row r="103" spans="1:24" ht="13.8" thickBot="1">
      <c r="A103" s="13">
        <v>45590</v>
      </c>
      <c r="B103" s="35">
        <v>704.69390869140602</v>
      </c>
      <c r="C103" s="5">
        <f t="shared" si="0"/>
        <v>-7.0214617248044462E-3</v>
      </c>
      <c r="D103" s="24">
        <v>118.24140167236328</v>
      </c>
      <c r="E103" s="5">
        <f t="shared" si="1"/>
        <v>-1.3806310794298721E-2</v>
      </c>
      <c r="F103" s="24">
        <v>411.61959838867188</v>
      </c>
      <c r="G103" s="5">
        <f t="shared" si="2"/>
        <v>-1.2805531120154661E-2</v>
      </c>
      <c r="H103" s="36">
        <v>86.152702331542898</v>
      </c>
      <c r="I103" s="5">
        <f t="shared" si="3"/>
        <v>-3.581363291256497E-3</v>
      </c>
      <c r="J103" s="35"/>
      <c r="K103" s="5" t="e">
        <f t="shared" si="4"/>
        <v>#DIV/0!</v>
      </c>
      <c r="L103" s="36">
        <v>148.64399719238199</v>
      </c>
      <c r="M103" s="5">
        <f t="shared" si="5"/>
        <v>-1.2076616319992989E-2</v>
      </c>
      <c r="N103" s="24">
        <v>95.670501708984375</v>
      </c>
      <c r="O103" s="5">
        <f t="shared" si="6"/>
        <v>-9.5662702621150068E-3</v>
      </c>
      <c r="P103" s="36">
        <v>17.836999893188398</v>
      </c>
      <c r="Q103" s="5">
        <f t="shared" si="7"/>
        <v>-1.120570407702577E-2</v>
      </c>
      <c r="R103" s="24">
        <v>50.520053863525391</v>
      </c>
      <c r="S103" s="5">
        <f t="shared" si="8"/>
        <v>-1.1246870091163935E-2</v>
      </c>
      <c r="T103" s="62">
        <v>148.6439972</v>
      </c>
      <c r="U103" s="5">
        <f>LN(T103/T102)</f>
        <v>-1.2076615948091609E-2</v>
      </c>
      <c r="V103" s="59">
        <v>48.08000183</v>
      </c>
      <c r="W103" s="5">
        <f t="shared" ref="V103:W103" si="110">LN(V103/V102)</f>
        <v>-2.5078009958601634E-2</v>
      </c>
      <c r="X103" s="5"/>
    </row>
    <row r="104" spans="1:24" ht="13.8" thickBot="1">
      <c r="A104" s="13">
        <v>45593</v>
      </c>
      <c r="B104" s="35">
        <v>707.02349853515602</v>
      </c>
      <c r="C104" s="5">
        <f t="shared" si="0"/>
        <v>3.3003658471532867E-3</v>
      </c>
      <c r="D104" s="24">
        <v>118.38899993896484</v>
      </c>
      <c r="E104" s="5">
        <f t="shared" si="1"/>
        <v>1.2475006147835068E-3</v>
      </c>
      <c r="F104" s="24">
        <v>413.56658935546875</v>
      </c>
      <c r="G104" s="5">
        <f t="shared" si="2"/>
        <v>4.71892188384957E-3</v>
      </c>
      <c r="H104" s="36">
        <v>86.315200805664006</v>
      </c>
      <c r="I104" s="5">
        <f t="shared" si="3"/>
        <v>1.8843914635746132E-3</v>
      </c>
      <c r="J104" s="35"/>
      <c r="K104" s="5" t="e">
        <f t="shared" si="4"/>
        <v>#DIV/0!</v>
      </c>
      <c r="L104" s="36">
        <v>149.25900268554599</v>
      </c>
      <c r="M104" s="5">
        <f t="shared" si="5"/>
        <v>4.1289034828490582E-3</v>
      </c>
      <c r="N104" s="24">
        <v>96.017196655273438</v>
      </c>
      <c r="O104" s="5">
        <f t="shared" si="6"/>
        <v>3.6172934130251177E-3</v>
      </c>
      <c r="P104" s="36">
        <v>17.954999923706001</v>
      </c>
      <c r="Q104" s="5">
        <f t="shared" si="7"/>
        <v>6.5936778409057487E-3</v>
      </c>
      <c r="R104" s="24">
        <v>50.939563751220703</v>
      </c>
      <c r="S104" s="5">
        <f t="shared" si="8"/>
        <v>8.2695418778096427E-3</v>
      </c>
      <c r="T104" s="62">
        <v>149.2590027</v>
      </c>
      <c r="U104" s="5">
        <f>LN(T104/T103)</f>
        <v>4.1289035284373769E-3</v>
      </c>
      <c r="V104" s="59">
        <v>48.914001460000001</v>
      </c>
      <c r="W104" s="5">
        <f t="shared" ref="V104:W104" si="111">LN(V104/V103)</f>
        <v>1.7197355633508361E-2</v>
      </c>
      <c r="X104" s="5"/>
    </row>
    <row r="105" spans="1:24" ht="13.8" thickBot="1">
      <c r="A105" s="13">
        <v>45594</v>
      </c>
      <c r="B105" s="35">
        <v>710.91540527343705</v>
      </c>
      <c r="C105" s="5">
        <f t="shared" si="0"/>
        <v>5.4895404892143056E-3</v>
      </c>
      <c r="D105" s="24">
        <v>118.89610290527344</v>
      </c>
      <c r="E105" s="5">
        <f t="shared" si="1"/>
        <v>4.2742147083671142E-3</v>
      </c>
      <c r="F105" s="24">
        <v>414.61041259765625</v>
      </c>
      <c r="G105" s="5">
        <f t="shared" si="2"/>
        <v>2.5207746471024896E-3</v>
      </c>
      <c r="H105" s="36">
        <v>86.859901428222599</v>
      </c>
      <c r="I105" s="5">
        <f t="shared" si="3"/>
        <v>6.2907705767575092E-3</v>
      </c>
      <c r="J105" s="35"/>
      <c r="K105" s="5" t="e">
        <f t="shared" si="4"/>
        <v>#DIV/0!</v>
      </c>
      <c r="L105" s="36">
        <v>150.39100646972599</v>
      </c>
      <c r="M105" s="5">
        <f t="shared" si="5"/>
        <v>7.5555423643571956E-3</v>
      </c>
      <c r="N105" s="24">
        <v>96.888099670410156</v>
      </c>
      <c r="O105" s="5">
        <f t="shared" si="6"/>
        <v>9.029393684608299E-3</v>
      </c>
      <c r="P105" s="36">
        <v>18.006999969482401</v>
      </c>
      <c r="Q105" s="5">
        <f t="shared" si="7"/>
        <v>2.8919460637375637E-3</v>
      </c>
      <c r="R105" s="24">
        <v>51.389812469482422</v>
      </c>
      <c r="S105" s="5">
        <f t="shared" si="8"/>
        <v>8.8000462921322218E-3</v>
      </c>
      <c r="T105" s="62">
        <v>150.3910065</v>
      </c>
      <c r="U105" s="5">
        <f>LN(T105/T104)</f>
        <v>7.5555424688207315E-3</v>
      </c>
      <c r="V105" s="59">
        <v>49.227001190000003</v>
      </c>
      <c r="W105" s="5">
        <f t="shared" ref="V105:W105" si="112">LN(V105/V104)</f>
        <v>6.3785937128247646E-3</v>
      </c>
      <c r="X105" s="5"/>
    </row>
    <row r="106" spans="1:24" ht="13.8" thickBot="1">
      <c r="A106" s="13">
        <v>45595</v>
      </c>
      <c r="B106" s="35">
        <v>710.18701171875</v>
      </c>
      <c r="C106" s="5">
        <f t="shared" si="0"/>
        <v>-1.0251106602364225E-3</v>
      </c>
      <c r="D106" s="24">
        <v>118.07730102539063</v>
      </c>
      <c r="E106" s="5">
        <f t="shared" si="1"/>
        <v>-6.9105235002065255E-3</v>
      </c>
      <c r="F106" s="24">
        <v>413.15701293945313</v>
      </c>
      <c r="G106" s="5">
        <f t="shared" si="2"/>
        <v>-3.5116171690475805E-3</v>
      </c>
      <c r="H106" s="36">
        <v>86.526298522949205</v>
      </c>
      <c r="I106" s="5">
        <f t="shared" si="3"/>
        <v>-3.8480953735501914E-3</v>
      </c>
      <c r="J106" s="35"/>
      <c r="K106" s="5" t="e">
        <f t="shared" si="4"/>
        <v>#DIV/0!</v>
      </c>
      <c r="L106" s="36">
        <v>150.149002075195</v>
      </c>
      <c r="M106" s="5">
        <f t="shared" si="5"/>
        <v>-1.6104640976606314E-3</v>
      </c>
      <c r="N106" s="24">
        <v>96.532997131347656</v>
      </c>
      <c r="O106" s="5">
        <f t="shared" si="6"/>
        <v>-3.6718118540094479E-3</v>
      </c>
      <c r="P106" s="36">
        <v>17.931999206542901</v>
      </c>
      <c r="Q106" s="5">
        <f t="shared" si="7"/>
        <v>-4.1737874475226353E-3</v>
      </c>
      <c r="R106" s="24">
        <v>51.439540863037109</v>
      </c>
      <c r="S106" s="5">
        <f t="shared" si="8"/>
        <v>9.6720237597016127E-4</v>
      </c>
      <c r="T106" s="62">
        <v>150.14900209999999</v>
      </c>
      <c r="U106" s="5">
        <f>LN(T106/T105)</f>
        <v>-1.6104641337601135E-3</v>
      </c>
      <c r="V106" s="59">
        <v>49.888000490000003</v>
      </c>
      <c r="W106" s="5">
        <f t="shared" ref="V106:W106" si="113">LN(V106/V105)</f>
        <v>1.3338225062518805E-2</v>
      </c>
      <c r="X106" s="5"/>
    </row>
    <row r="107" spans="1:24" ht="13.8" thickBot="1">
      <c r="A107" s="13">
        <v>45596</v>
      </c>
      <c r="B107" s="35">
        <v>707.83947753906205</v>
      </c>
      <c r="C107" s="5">
        <f t="shared" si="0"/>
        <v>-3.3109907918826434E-3</v>
      </c>
      <c r="D107" s="24">
        <v>117.14839935302734</v>
      </c>
      <c r="E107" s="5">
        <f t="shared" si="1"/>
        <v>-7.8980017870756286E-3</v>
      </c>
      <c r="F107" s="24">
        <v>412.26058959960938</v>
      </c>
      <c r="G107" s="5">
        <f t="shared" si="2"/>
        <v>-2.1720488865630697E-3</v>
      </c>
      <c r="H107" s="36">
        <v>85.981399536132798</v>
      </c>
      <c r="I107" s="5">
        <f t="shared" si="3"/>
        <v>-6.3174085002967312E-3</v>
      </c>
      <c r="J107" s="35"/>
      <c r="K107" s="5" t="e">
        <f t="shared" si="4"/>
        <v>#DIV/0!</v>
      </c>
      <c r="L107" s="36">
        <v>149.84899902343699</v>
      </c>
      <c r="M107" s="5">
        <f t="shared" si="5"/>
        <v>-2.0000343379875884E-3</v>
      </c>
      <c r="N107" s="24">
        <v>96.378898620605469</v>
      </c>
      <c r="O107" s="5">
        <f t="shared" si="6"/>
        <v>-1.5976054034152847E-3</v>
      </c>
      <c r="P107" s="36">
        <v>17.761999130248999</v>
      </c>
      <c r="Q107" s="5">
        <f t="shared" si="7"/>
        <v>-9.5254871757234454E-3</v>
      </c>
      <c r="R107" s="24">
        <v>51.462139129638672</v>
      </c>
      <c r="S107" s="5">
        <f t="shared" si="8"/>
        <v>4.3922056406593576E-4</v>
      </c>
      <c r="T107" s="62">
        <v>149.84899899999999</v>
      </c>
      <c r="U107" s="5">
        <f>LN(T107/T106)</f>
        <v>-2.000034659594203E-3</v>
      </c>
      <c r="V107" s="59">
        <v>50.41999817</v>
      </c>
      <c r="W107" s="5">
        <f t="shared" ref="V107:W107" si="114">LN(V107/V106)</f>
        <v>1.0607382767284753E-2</v>
      </c>
      <c r="X107" s="5"/>
    </row>
    <row r="108" spans="1:24" ht="13.8" thickBot="1">
      <c r="A108" s="12">
        <v>45600</v>
      </c>
      <c r="B108" s="35">
        <v>704.63330078125</v>
      </c>
      <c r="C108" s="5">
        <f t="shared" si="0"/>
        <v>-4.5398145912718913E-3</v>
      </c>
      <c r="D108" s="24">
        <v>117.07430267333984</v>
      </c>
      <c r="E108" s="5">
        <f t="shared" si="1"/>
        <v>-6.3270282101840546E-4</v>
      </c>
      <c r="F108" s="24">
        <v>410.62921142578125</v>
      </c>
      <c r="G108" s="5">
        <f t="shared" si="2"/>
        <v>-3.9650031123730882E-3</v>
      </c>
      <c r="H108" s="36">
        <v>85.764503479003906</v>
      </c>
      <c r="I108" s="5">
        <f t="shared" si="3"/>
        <v>-2.5257798716547481E-3</v>
      </c>
      <c r="J108" s="35"/>
      <c r="K108" s="5" t="e">
        <f t="shared" si="4"/>
        <v>#DIV/0!</v>
      </c>
      <c r="L108" s="36">
        <v>148.940994262695</v>
      </c>
      <c r="M108" s="5">
        <f t="shared" si="5"/>
        <v>-6.0778980310491988E-3</v>
      </c>
      <c r="N108" s="24">
        <v>95.6365966796875</v>
      </c>
      <c r="O108" s="5">
        <f t="shared" si="6"/>
        <v>-7.7317264174859724E-3</v>
      </c>
      <c r="P108" s="36">
        <v>17.6210002899169</v>
      </c>
      <c r="Q108" s="5">
        <f t="shared" si="7"/>
        <v>-7.9699058298459153E-3</v>
      </c>
      <c r="R108" s="24">
        <v>51.029975891113281</v>
      </c>
      <c r="S108" s="5">
        <f t="shared" si="8"/>
        <v>-8.4331521435043119E-3</v>
      </c>
      <c r="T108" s="62">
        <v>148.9409943</v>
      </c>
      <c r="U108" s="5">
        <f>LN(T108/T107)</f>
        <v>-6.0778976241768175E-3</v>
      </c>
      <c r="V108" s="59">
        <v>50.224998470000003</v>
      </c>
      <c r="W108" s="5">
        <f t="shared" ref="V108:W108" si="115">LN(V108/V107)</f>
        <v>-3.8750052265713129E-3</v>
      </c>
      <c r="X108" s="5"/>
    </row>
    <row r="109" spans="1:24" ht="13.8" thickBot="1">
      <c r="A109" s="12">
        <v>45601</v>
      </c>
      <c r="B109" s="35">
        <v>707.23248291015602</v>
      </c>
      <c r="C109" s="5">
        <f t="shared" si="0"/>
        <v>3.6819152291194005E-3</v>
      </c>
      <c r="D109" s="24">
        <v>117.64569854736328</v>
      </c>
      <c r="E109" s="5">
        <f t="shared" si="1"/>
        <v>4.8687542585653578E-3</v>
      </c>
      <c r="F109" s="24">
        <v>413.30911254882813</v>
      </c>
      <c r="G109" s="5">
        <f t="shared" si="2"/>
        <v>6.5051242196877187E-3</v>
      </c>
      <c r="H109" s="36">
        <v>86.378097534179602</v>
      </c>
      <c r="I109" s="5">
        <f t="shared" si="3"/>
        <v>7.1289343860271165E-3</v>
      </c>
      <c r="J109" s="35"/>
      <c r="K109" s="5" t="e">
        <f t="shared" si="4"/>
        <v>#DIV/0!</v>
      </c>
      <c r="L109" s="36">
        <v>149.83000183105401</v>
      </c>
      <c r="M109" s="5">
        <f t="shared" si="5"/>
        <v>5.9511144235606453E-3</v>
      </c>
      <c r="N109" s="24">
        <v>96.38909912109375</v>
      </c>
      <c r="O109" s="5">
        <f t="shared" si="6"/>
        <v>7.8375583047007157E-3</v>
      </c>
      <c r="P109" s="36">
        <v>17.790000915527301</v>
      </c>
      <c r="Q109" s="5">
        <f t="shared" si="7"/>
        <v>9.5451641012591851E-3</v>
      </c>
      <c r="R109" s="24">
        <v>51.266853332519531</v>
      </c>
      <c r="S109" s="5">
        <f t="shared" si="8"/>
        <v>4.6311868428504724E-3</v>
      </c>
      <c r="T109" s="62">
        <v>149.83000179999999</v>
      </c>
      <c r="U109" s="5">
        <f>LN(T109/T108)</f>
        <v>5.951113965830878E-3</v>
      </c>
      <c r="V109" s="59">
        <v>50.566001890000003</v>
      </c>
      <c r="W109" s="5">
        <f t="shared" ref="V109:W109" si="116">LN(V109/V108)</f>
        <v>6.7665708226575449E-3</v>
      </c>
      <c r="X109" s="5"/>
    </row>
    <row r="110" spans="1:24" ht="13.8" thickBot="1">
      <c r="A110" s="12">
        <v>45602</v>
      </c>
      <c r="B110" s="35">
        <v>709.46887207031205</v>
      </c>
      <c r="C110" s="5">
        <f t="shared" si="0"/>
        <v>3.1571806011877666E-3</v>
      </c>
      <c r="D110" s="24">
        <v>121.63089752197266</v>
      </c>
      <c r="E110" s="5">
        <f t="shared" si="1"/>
        <v>3.331347564827912E-2</v>
      </c>
      <c r="F110" s="24">
        <v>418.95950317382813</v>
      </c>
      <c r="G110" s="5">
        <f t="shared" si="2"/>
        <v>1.3578494572853601E-2</v>
      </c>
      <c r="H110" s="36">
        <v>87.084800720214801</v>
      </c>
      <c r="I110" s="5">
        <f t="shared" si="3"/>
        <v>8.1482219331669974E-3</v>
      </c>
      <c r="J110" s="35"/>
      <c r="K110" s="5" t="e">
        <f t="shared" si="4"/>
        <v>#DIV/0!</v>
      </c>
      <c r="L110" s="36">
        <v>153.14100646972599</v>
      </c>
      <c r="M110" s="5">
        <f t="shared" si="5"/>
        <v>2.1857777607158211E-2</v>
      </c>
      <c r="N110" s="24">
        <v>97.5614013671875</v>
      </c>
      <c r="O110" s="5">
        <f t="shared" si="6"/>
        <v>1.2088821836059848E-2</v>
      </c>
      <c r="P110" s="36">
        <v>18.061000823974599</v>
      </c>
      <c r="Q110" s="5">
        <f t="shared" si="7"/>
        <v>1.5118409922512625E-2</v>
      </c>
      <c r="R110" s="24">
        <v>52.107677459716797</v>
      </c>
      <c r="S110" s="5">
        <f t="shared" si="8"/>
        <v>1.6267888500973039E-2</v>
      </c>
      <c r="T110" s="62">
        <v>153.1410065</v>
      </c>
      <c r="U110" s="5">
        <f>LN(T110/T109)</f>
        <v>2.1857778012106852E-2</v>
      </c>
      <c r="V110" s="59">
        <v>51.551998140000002</v>
      </c>
      <c r="W110" s="5">
        <f t="shared" ref="V110:W110" si="117">LN(V110/V109)</f>
        <v>1.9311519853750507E-2</v>
      </c>
      <c r="X110" s="5"/>
    </row>
    <row r="111" spans="1:24" ht="13.8" thickBot="1">
      <c r="A111" s="12">
        <v>45603</v>
      </c>
      <c r="B111" s="35">
        <v>706.323974609375</v>
      </c>
      <c r="C111" s="5">
        <f t="shared" si="0"/>
        <v>-4.4426028014019287E-3</v>
      </c>
      <c r="D111" s="24">
        <v>120.99320220947266</v>
      </c>
      <c r="E111" s="5">
        <f t="shared" si="1"/>
        <v>-5.2566647883107347E-3</v>
      </c>
      <c r="F111" s="24">
        <v>417.00640869140625</v>
      </c>
      <c r="G111" s="5">
        <f t="shared" si="2"/>
        <v>-4.6726738694375875E-3</v>
      </c>
      <c r="H111" s="36">
        <v>86.870498657226506</v>
      </c>
      <c r="I111" s="5">
        <f t="shared" si="3"/>
        <v>-2.4638763195904911E-3</v>
      </c>
      <c r="J111" s="35"/>
      <c r="K111" s="5" t="e">
        <f t="shared" si="4"/>
        <v>#DIV/0!</v>
      </c>
      <c r="L111" s="36">
        <v>152.32099914550699</v>
      </c>
      <c r="M111" s="5">
        <f t="shared" si="5"/>
        <v>-5.3689773453500971E-3</v>
      </c>
      <c r="N111" s="24">
        <v>96.811203002929688</v>
      </c>
      <c r="O111" s="5">
        <f t="shared" si="6"/>
        <v>-7.7192163146033643E-3</v>
      </c>
      <c r="P111" s="36">
        <v>17.837999343871999</v>
      </c>
      <c r="Q111" s="5">
        <f t="shared" si="7"/>
        <v>-1.2423986601869014E-2</v>
      </c>
      <c r="R111" s="24">
        <v>51.898830413818359</v>
      </c>
      <c r="S111" s="5">
        <f t="shared" si="8"/>
        <v>-4.016043435536948E-3</v>
      </c>
      <c r="T111" s="62">
        <v>152.32099909999999</v>
      </c>
      <c r="U111" s="5">
        <f>LN(T111/T110)</f>
        <v>-5.3689778417944766E-3</v>
      </c>
      <c r="V111" s="59">
        <v>51.091999049999998</v>
      </c>
      <c r="W111" s="5">
        <f t="shared" ref="V111:W111" si="118">LN(V111/V110)</f>
        <v>-8.9630603278675787E-3</v>
      </c>
      <c r="X111" s="5"/>
    </row>
    <row r="112" spans="1:24" ht="13.8" thickBot="1">
      <c r="A112" s="12">
        <v>45604</v>
      </c>
      <c r="B112" s="35">
        <v>704.232177734375</v>
      </c>
      <c r="C112" s="5">
        <f t="shared" si="0"/>
        <v>-2.9659200804307813E-3</v>
      </c>
      <c r="D112" s="24">
        <v>120.10199737548828</v>
      </c>
      <c r="E112" s="5">
        <f t="shared" si="1"/>
        <v>-7.3930040473108539E-3</v>
      </c>
      <c r="F112" s="24">
        <v>414.03009033203125</v>
      </c>
      <c r="G112" s="5">
        <f t="shared" si="2"/>
        <v>-7.1629370996929244E-3</v>
      </c>
      <c r="H112" s="36">
        <v>86.784698486328097</v>
      </c>
      <c r="I112" s="5">
        <f t="shared" si="3"/>
        <v>-9.8816711842247959E-4</v>
      </c>
      <c r="J112" s="35"/>
      <c r="K112" s="5" t="e">
        <f t="shared" si="4"/>
        <v>#DIV/0!</v>
      </c>
      <c r="L112" s="36">
        <v>151.01899719238199</v>
      </c>
      <c r="M112" s="5">
        <f t="shared" si="5"/>
        <v>-8.5844924150570347E-3</v>
      </c>
      <c r="N112" s="24">
        <v>96.440597534179688</v>
      </c>
      <c r="O112" s="5">
        <f t="shared" si="6"/>
        <v>-3.8354718770689336E-3</v>
      </c>
      <c r="P112" s="36">
        <v>17.777000427246001</v>
      </c>
      <c r="Q112" s="5">
        <f t="shared" si="7"/>
        <v>-3.4254654872287915E-3</v>
      </c>
      <c r="R112" s="24">
        <v>51.557979583740234</v>
      </c>
      <c r="S112" s="5">
        <f t="shared" si="8"/>
        <v>-6.5892629658959468E-3</v>
      </c>
      <c r="T112" s="62">
        <v>151.0189972</v>
      </c>
      <c r="U112" s="5">
        <f>LN(T112/T111)</f>
        <v>-8.5844920658557609E-3</v>
      </c>
      <c r="V112" s="59">
        <v>50.280998230000002</v>
      </c>
      <c r="W112" s="5">
        <f t="shared" ref="V112:W112" si="119">LN(V112/V111)</f>
        <v>-1.600067364080774E-2</v>
      </c>
      <c r="X112" s="5"/>
    </row>
    <row r="113" spans="1:24" ht="13.8" thickBot="1">
      <c r="A113" s="13">
        <v>45607</v>
      </c>
      <c r="B113" s="35">
        <v>701.48681640625</v>
      </c>
      <c r="C113" s="5">
        <f t="shared" si="0"/>
        <v>-3.9059937726059462E-3</v>
      </c>
      <c r="D113" s="24">
        <v>119.36530303955078</v>
      </c>
      <c r="E113" s="5">
        <f t="shared" si="1"/>
        <v>-6.15279546509305E-3</v>
      </c>
      <c r="F113" s="24">
        <v>413.514404296875</v>
      </c>
      <c r="G113" s="5">
        <f t="shared" si="2"/>
        <v>-1.2463042295693314E-3</v>
      </c>
      <c r="H113" s="36">
        <v>87.263801574707003</v>
      </c>
      <c r="I113" s="5">
        <f t="shared" si="3"/>
        <v>5.5054114034542353E-3</v>
      </c>
      <c r="J113" s="35"/>
      <c r="K113" s="5" t="e">
        <f t="shared" si="4"/>
        <v>#DIV/0!</v>
      </c>
      <c r="L113" s="36">
        <v>151.06199645996</v>
      </c>
      <c r="M113" s="5">
        <f t="shared" si="5"/>
        <v>2.8468701290025562E-4</v>
      </c>
      <c r="N113" s="24">
        <v>96.573799133300781</v>
      </c>
      <c r="O113" s="5">
        <f t="shared" si="6"/>
        <v>1.3802247144967569E-3</v>
      </c>
      <c r="P113" s="36">
        <v>17.771999359130799</v>
      </c>
      <c r="Q113" s="5">
        <f t="shared" si="7"/>
        <v>-2.8136196113803433E-4</v>
      </c>
      <c r="R113" s="24">
        <v>51.269565582275391</v>
      </c>
      <c r="S113" s="5">
        <f t="shared" si="8"/>
        <v>-5.6096789499042558E-3</v>
      </c>
      <c r="T113" s="62">
        <v>151.06199649999999</v>
      </c>
      <c r="U113" s="5">
        <f>LN(T113/T112)</f>
        <v>2.8468722751298371E-4</v>
      </c>
      <c r="V113" s="59">
        <v>49.875999450000002</v>
      </c>
      <c r="W113" s="5">
        <f t="shared" ref="V113:W113" si="120">LN(V113/V112)</f>
        <v>-8.0873228388215618E-3</v>
      </c>
      <c r="X113" s="5"/>
    </row>
    <row r="114" spans="1:24" ht="13.8" thickBot="1">
      <c r="A114" s="13">
        <v>45608</v>
      </c>
      <c r="B114" s="35">
        <v>696.08160400390602</v>
      </c>
      <c r="C114" s="5">
        <f t="shared" si="0"/>
        <v>-7.7352053386426393E-3</v>
      </c>
      <c r="D114" s="24">
        <v>118.29969787597656</v>
      </c>
      <c r="E114" s="5">
        <f t="shared" si="1"/>
        <v>-8.9673473182585051E-3</v>
      </c>
      <c r="F114" s="24">
        <v>409.10888671875</v>
      </c>
      <c r="G114" s="5">
        <f t="shared" si="2"/>
        <v>-1.071100160899382E-2</v>
      </c>
      <c r="H114" s="36">
        <v>86.586402893066406</v>
      </c>
      <c r="I114" s="5">
        <f t="shared" si="3"/>
        <v>-7.7929400417782431E-3</v>
      </c>
      <c r="J114" s="35"/>
      <c r="K114" s="5" t="e">
        <f t="shared" si="4"/>
        <v>#DIV/0!</v>
      </c>
      <c r="L114" s="36">
        <v>150.05799865722599</v>
      </c>
      <c r="M114" s="5">
        <f t="shared" si="5"/>
        <v>-6.6684480573162286E-3</v>
      </c>
      <c r="N114" s="24">
        <v>95.379898071289063</v>
      </c>
      <c r="O114" s="5">
        <f t="shared" si="6"/>
        <v>-1.2439629714349396E-2</v>
      </c>
      <c r="P114" s="36">
        <v>17.587999343871999</v>
      </c>
      <c r="Q114" s="5">
        <f t="shared" si="7"/>
        <v>-1.040733499992171E-2</v>
      </c>
      <c r="R114" s="24">
        <v>50.88079833984375</v>
      </c>
      <c r="S114" s="5">
        <f t="shared" si="8"/>
        <v>-7.6117030725419334E-3</v>
      </c>
      <c r="T114" s="62">
        <v>150.05799870000001</v>
      </c>
      <c r="U114" s="5">
        <f>LN(T114/T113)</f>
        <v>-6.6684480373230132E-3</v>
      </c>
      <c r="V114" s="59">
        <v>49.186000819999997</v>
      </c>
      <c r="W114" s="5">
        <f t="shared" ref="V114:W114" si="121">LN(V114/V113)</f>
        <v>-1.3930867275690288E-2</v>
      </c>
      <c r="X114" s="5"/>
    </row>
    <row r="115" spans="1:24" ht="13.8" thickBot="1">
      <c r="A115" s="13">
        <v>45609</v>
      </c>
      <c r="B115" s="35">
        <v>691.44592285156205</v>
      </c>
      <c r="C115" s="5">
        <f t="shared" si="0"/>
        <v>-6.6819552198208098E-3</v>
      </c>
      <c r="D115" s="24">
        <v>115.39060211181641</v>
      </c>
      <c r="E115" s="5">
        <f t="shared" si="1"/>
        <v>-2.489830384905381E-2</v>
      </c>
      <c r="F115" s="24">
        <v>403.14129638671875</v>
      </c>
      <c r="G115" s="5">
        <f t="shared" si="2"/>
        <v>-1.469423542866201E-2</v>
      </c>
      <c r="H115" s="36">
        <v>85.592300415039006</v>
      </c>
      <c r="I115" s="5">
        <f t="shared" si="3"/>
        <v>-1.1547462088627548E-2</v>
      </c>
      <c r="J115" s="35"/>
      <c r="K115" s="5" t="e">
        <f t="shared" si="4"/>
        <v>#DIV/0!</v>
      </c>
      <c r="L115" s="36">
        <v>146.91900634765599</v>
      </c>
      <c r="M115" s="5">
        <f t="shared" si="5"/>
        <v>-2.1140419370088308E-2</v>
      </c>
      <c r="N115" s="24">
        <v>93.940498352050781</v>
      </c>
      <c r="O115" s="5">
        <f t="shared" si="6"/>
        <v>-1.5206258621832917E-2</v>
      </c>
      <c r="P115" s="36">
        <v>17.343999862670898</v>
      </c>
      <c r="Q115" s="5">
        <f t="shared" si="7"/>
        <v>-1.3970196673851985E-2</v>
      </c>
      <c r="R115" s="24">
        <v>49.808517456054688</v>
      </c>
      <c r="S115" s="5">
        <f t="shared" si="8"/>
        <v>-2.1299606890155077E-2</v>
      </c>
      <c r="T115" s="62">
        <v>146.91900630000001</v>
      </c>
      <c r="U115" s="5">
        <f>LN(T115/T114)</f>
        <v>-2.1140419979507392E-2</v>
      </c>
      <c r="V115" s="59">
        <v>47.832000729999997</v>
      </c>
      <c r="W115" s="5">
        <f t="shared" ref="V115:W115" si="122">LN(V115/V114)</f>
        <v>-2.7914159990949101E-2</v>
      </c>
      <c r="X115" s="5"/>
    </row>
    <row r="116" spans="1:24" ht="13.8" thickBot="1">
      <c r="A116" s="13">
        <v>45610</v>
      </c>
      <c r="B116" s="35">
        <v>690.560302734375</v>
      </c>
      <c r="C116" s="5">
        <f t="shared" si="0"/>
        <v>-1.2816443544443367E-3</v>
      </c>
      <c r="D116" s="24">
        <v>116.42420196533203</v>
      </c>
      <c r="E116" s="5">
        <f t="shared" si="1"/>
        <v>8.9175210973345652E-3</v>
      </c>
      <c r="F116" s="24">
        <v>403.07070922851563</v>
      </c>
      <c r="G116" s="5">
        <f t="shared" si="2"/>
        <v>-1.7510817971417463E-4</v>
      </c>
      <c r="H116" s="36">
        <v>85.737098693847599</v>
      </c>
      <c r="I116" s="5">
        <f t="shared" si="3"/>
        <v>1.6902914973939587E-3</v>
      </c>
      <c r="J116" s="35"/>
      <c r="K116" s="5" t="e">
        <f t="shared" si="4"/>
        <v>#DIV/0!</v>
      </c>
      <c r="L116" s="36">
        <v>148.06500244140599</v>
      </c>
      <c r="M116" s="5">
        <f t="shared" si="5"/>
        <v>7.7699253185290248E-3</v>
      </c>
      <c r="N116" s="24">
        <v>93.992698669433594</v>
      </c>
      <c r="O116" s="5">
        <f t="shared" si="6"/>
        <v>5.5551993530194091E-4</v>
      </c>
      <c r="P116" s="36">
        <v>17.343999862670898</v>
      </c>
      <c r="Q116" s="5">
        <f t="shared" si="7"/>
        <v>0</v>
      </c>
      <c r="R116" s="24">
        <v>50.154792785644531</v>
      </c>
      <c r="S116" s="5">
        <f t="shared" si="8"/>
        <v>6.9280761871931169E-3</v>
      </c>
      <c r="T116" s="62">
        <v>148.0650024</v>
      </c>
      <c r="U116" s="5">
        <f>LN(T116/T115)</f>
        <v>7.7699253632508005E-3</v>
      </c>
      <c r="V116" s="59">
        <v>48.185001370000002</v>
      </c>
      <c r="W116" s="5">
        <f t="shared" ref="V116:W116" si="123">LN(V116/V115)</f>
        <v>7.3529108949825341E-3</v>
      </c>
      <c r="X116" s="5"/>
    </row>
    <row r="117" spans="1:24" ht="13.8" thickBot="1">
      <c r="A117" s="13">
        <v>45614</v>
      </c>
      <c r="B117" s="35">
        <v>690.91497802734295</v>
      </c>
      <c r="C117" s="5">
        <f t="shared" si="0"/>
        <v>5.1347324950337127E-4</v>
      </c>
      <c r="D117" s="24">
        <v>116.80319976806641</v>
      </c>
      <c r="E117" s="5">
        <f t="shared" si="1"/>
        <v>3.2500309442278453E-3</v>
      </c>
      <c r="F117" s="24">
        <v>401.81619262695313</v>
      </c>
      <c r="G117" s="5">
        <f t="shared" si="2"/>
        <v>-3.1172519133863511E-3</v>
      </c>
      <c r="H117" s="36">
        <v>85.244300842285099</v>
      </c>
      <c r="I117" s="5">
        <f t="shared" si="3"/>
        <v>-5.7643605380454706E-3</v>
      </c>
      <c r="J117" s="35"/>
      <c r="K117" s="5" t="e">
        <f t="shared" si="4"/>
        <v>#DIV/0!</v>
      </c>
      <c r="L117" s="36">
        <v>146.79100036621</v>
      </c>
      <c r="M117" s="5">
        <f t="shared" si="5"/>
        <v>-8.64157413283256E-3</v>
      </c>
      <c r="N117" s="24">
        <v>93.789398193359375</v>
      </c>
      <c r="O117" s="5">
        <f t="shared" si="6"/>
        <v>-2.1652815566651756E-3</v>
      </c>
      <c r="P117" s="36">
        <v>17.2339992523193</v>
      </c>
      <c r="Q117" s="5">
        <f t="shared" si="7"/>
        <v>-6.3624839057502625E-3</v>
      </c>
      <c r="R117" s="24">
        <v>49.892601013183594</v>
      </c>
      <c r="S117" s="5">
        <f t="shared" si="8"/>
        <v>-5.2413633728396972E-3</v>
      </c>
      <c r="T117" s="62">
        <v>146.7910004</v>
      </c>
      <c r="U117" s="5">
        <f>LN(T117/T116)</f>
        <v>-8.6415736229938315E-3</v>
      </c>
      <c r="V117" s="59">
        <v>47.784000399999996</v>
      </c>
      <c r="W117" s="5">
        <f t="shared" ref="V117:W117" si="124">LN(V117/V116)</f>
        <v>-8.3569339343275047E-3</v>
      </c>
      <c r="X117" s="5"/>
    </row>
    <row r="118" spans="1:24" ht="13.8" thickBot="1">
      <c r="A118" s="13">
        <v>45615</v>
      </c>
      <c r="B118" s="35">
        <v>692.336181640625</v>
      </c>
      <c r="C118" s="5">
        <f t="shared" si="0"/>
        <v>2.0548750000116568E-3</v>
      </c>
      <c r="D118" s="24">
        <v>118.61759948730469</v>
      </c>
      <c r="E118" s="5">
        <f t="shared" si="1"/>
        <v>1.5414403914448382E-2</v>
      </c>
      <c r="F118" s="24">
        <v>403.273193359375</v>
      </c>
      <c r="G118" s="5">
        <f t="shared" si="2"/>
        <v>3.6194796464060087E-3</v>
      </c>
      <c r="H118" s="36">
        <v>85.569900512695298</v>
      </c>
      <c r="I118" s="5">
        <f t="shared" si="3"/>
        <v>3.8123301479501049E-3</v>
      </c>
      <c r="J118" s="35"/>
      <c r="K118" s="5" t="e">
        <f t="shared" si="4"/>
        <v>#DIV/0!</v>
      </c>
      <c r="L118" s="36">
        <v>148.218002319335</v>
      </c>
      <c r="M118" s="5">
        <f t="shared" si="5"/>
        <v>9.6743697307613355E-3</v>
      </c>
      <c r="N118" s="24">
        <v>94.099800109863281</v>
      </c>
      <c r="O118" s="5">
        <f t="shared" si="6"/>
        <v>3.304098390933236E-3</v>
      </c>
      <c r="P118" s="36">
        <v>17.2989997863769</v>
      </c>
      <c r="Q118" s="5">
        <f t="shared" si="7"/>
        <v>3.7645505824451149E-3</v>
      </c>
      <c r="R118" s="24">
        <v>50.210849761962891</v>
      </c>
      <c r="S118" s="5">
        <f t="shared" si="8"/>
        <v>6.358418586645976E-3</v>
      </c>
      <c r="T118" s="62">
        <v>148.21800229999999</v>
      </c>
      <c r="U118" s="5">
        <f>LN(T118/T117)</f>
        <v>9.6743693701203063E-3</v>
      </c>
      <c r="V118" s="59">
        <v>48.147998809999997</v>
      </c>
      <c r="W118" s="5">
        <f t="shared" ref="V118:W118" si="125">LN(V118/V117)</f>
        <v>7.5887120010197486E-3</v>
      </c>
      <c r="X118" s="5"/>
    </row>
    <row r="119" spans="1:24" ht="13.8" thickBot="1">
      <c r="A119" s="13">
        <v>45617</v>
      </c>
      <c r="B119" s="35">
        <v>689.39678955078102</v>
      </c>
      <c r="C119" s="5">
        <f t="shared" si="0"/>
        <v>-4.2546520712998092E-3</v>
      </c>
      <c r="D119" s="24">
        <v>118.44719696044922</v>
      </c>
      <c r="E119" s="5">
        <f t="shared" si="1"/>
        <v>-1.4376032102314828E-3</v>
      </c>
      <c r="F119" s="24">
        <v>401.51840209960938</v>
      </c>
      <c r="G119" s="5">
        <f t="shared" si="2"/>
        <v>-4.3608657212463476E-3</v>
      </c>
      <c r="H119" s="36">
        <v>85.230300903320298</v>
      </c>
      <c r="I119" s="5">
        <f t="shared" si="3"/>
        <v>-3.9765767729946907E-3</v>
      </c>
      <c r="J119" s="35"/>
      <c r="K119" s="5" t="e">
        <f t="shared" si="4"/>
        <v>#DIV/0!</v>
      </c>
      <c r="L119" s="36">
        <v>147.63600158691401</v>
      </c>
      <c r="M119" s="5">
        <f t="shared" si="5"/>
        <v>-3.9343830097740094E-3</v>
      </c>
      <c r="N119" s="24">
        <v>93.518203735351563</v>
      </c>
      <c r="O119" s="5">
        <f t="shared" si="6"/>
        <v>-6.1998126568365659E-3</v>
      </c>
      <c r="P119" s="36">
        <v>17.1679992675781</v>
      </c>
      <c r="Q119" s="5">
        <f t="shared" si="7"/>
        <v>-7.6015407896684855E-3</v>
      </c>
      <c r="R119" s="24">
        <v>50.011039733886719</v>
      </c>
      <c r="S119" s="5">
        <f t="shared" si="8"/>
        <v>-3.9873583268743235E-3</v>
      </c>
      <c r="T119" s="62">
        <v>147.63600159999999</v>
      </c>
      <c r="U119" s="5">
        <f>LN(T119/T118)</f>
        <v>-3.9343827906874063E-3</v>
      </c>
      <c r="V119" s="59">
        <v>47.852001190000003</v>
      </c>
      <c r="W119" s="5">
        <f t="shared" ref="V119:W119" si="126">LN(V119/V118)</f>
        <v>-6.1666366250257695E-3</v>
      </c>
      <c r="X119" s="5"/>
    </row>
    <row r="120" spans="1:24" ht="13.8" thickBot="1">
      <c r="A120" s="13">
        <v>45618</v>
      </c>
      <c r="B120" s="35">
        <v>696.44940185546795</v>
      </c>
      <c r="C120" s="5">
        <f t="shared" si="0"/>
        <v>1.0178147088387244E-2</v>
      </c>
      <c r="D120" s="24">
        <v>119.654296875</v>
      </c>
      <c r="E120" s="5">
        <f t="shared" si="1"/>
        <v>1.0139459747022092E-2</v>
      </c>
      <c r="F120" s="24">
        <v>406.56719970703125</v>
      </c>
      <c r="G120" s="5">
        <f t="shared" si="2"/>
        <v>1.2495862547243573E-2</v>
      </c>
      <c r="H120" s="36">
        <v>86.220298767089801</v>
      </c>
      <c r="I120" s="5">
        <f t="shared" si="3"/>
        <v>1.1548619470563857E-2</v>
      </c>
      <c r="J120" s="35"/>
      <c r="K120" s="5" t="e">
        <f t="shared" si="4"/>
        <v>#DIV/0!</v>
      </c>
      <c r="L120" s="36">
        <v>149.49800109863199</v>
      </c>
      <c r="M120" s="5">
        <f t="shared" si="5"/>
        <v>1.2533226548781392E-2</v>
      </c>
      <c r="N120" s="24">
        <v>95.429702758789063</v>
      </c>
      <c r="O120" s="5">
        <f t="shared" si="6"/>
        <v>2.0233769966585904E-2</v>
      </c>
      <c r="P120" s="36">
        <v>17.530000686645501</v>
      </c>
      <c r="Q120" s="5">
        <f t="shared" si="7"/>
        <v>2.086659487657809E-2</v>
      </c>
      <c r="R120" s="24">
        <v>50.480274200439453</v>
      </c>
      <c r="S120" s="5">
        <f t="shared" si="8"/>
        <v>9.3388743467874326E-3</v>
      </c>
      <c r="T120" s="62">
        <v>149.49800110000001</v>
      </c>
      <c r="U120" s="5">
        <f>LN(T120/T119)</f>
        <v>1.2533226469295371E-2</v>
      </c>
      <c r="V120" s="59">
        <v>48.351001740000001</v>
      </c>
      <c r="W120" s="5">
        <f t="shared" ref="V120:W120" si="127">LN(V120/V119)</f>
        <v>1.0374001018534706E-2</v>
      </c>
      <c r="X120" s="5"/>
    </row>
    <row r="121" spans="1:24" ht="13.8" thickBot="1">
      <c r="A121" s="13">
        <v>45621</v>
      </c>
      <c r="B121" s="35">
        <v>698.47991943359295</v>
      </c>
      <c r="C121" s="5">
        <f t="shared" si="0"/>
        <v>2.9112858713164894E-3</v>
      </c>
      <c r="D121" s="24">
        <v>120.94840240478516</v>
      </c>
      <c r="E121" s="5">
        <f t="shared" si="1"/>
        <v>1.0757302499748362E-2</v>
      </c>
      <c r="F121" s="24">
        <v>411.85958862304688</v>
      </c>
      <c r="G121" s="5">
        <f t="shared" si="2"/>
        <v>1.2933258691931149E-2</v>
      </c>
      <c r="H121" s="36">
        <v>86.929603576660099</v>
      </c>
      <c r="I121" s="5">
        <f t="shared" si="3"/>
        <v>8.1930023367665934E-3</v>
      </c>
      <c r="J121" s="35"/>
      <c r="K121" s="5" t="e">
        <f t="shared" si="4"/>
        <v>#DIV/0!</v>
      </c>
      <c r="L121" s="36">
        <v>151.50700378417901</v>
      </c>
      <c r="M121" s="5">
        <f t="shared" si="5"/>
        <v>1.3348831315768472E-2</v>
      </c>
      <c r="N121" s="24">
        <v>96.879798889160156</v>
      </c>
      <c r="O121" s="5">
        <f t="shared" si="6"/>
        <v>1.5081143699130304E-2</v>
      </c>
      <c r="P121" s="36">
        <v>17.7339992523193</v>
      </c>
      <c r="Q121" s="5">
        <f t="shared" si="7"/>
        <v>1.156992069407394E-2</v>
      </c>
      <c r="R121" s="24">
        <v>51.32562255859375</v>
      </c>
      <c r="S121" s="5">
        <f t="shared" si="8"/>
        <v>1.6607442484248239E-2</v>
      </c>
      <c r="T121" s="62">
        <v>151.50700380000001</v>
      </c>
      <c r="U121" s="5">
        <f>LN(T121/T120)</f>
        <v>1.3348831411042032E-2</v>
      </c>
      <c r="V121" s="59">
        <v>49.015998840000002</v>
      </c>
      <c r="W121" s="5">
        <f t="shared" ref="V121:W121" si="128">LN(V121/V120)</f>
        <v>1.3659811562075127E-2</v>
      </c>
      <c r="X121" s="5"/>
    </row>
    <row r="122" spans="1:24" ht="13.8" thickBot="1">
      <c r="A122" s="13">
        <v>45622</v>
      </c>
      <c r="B122" s="35">
        <v>697.86407470703102</v>
      </c>
      <c r="C122" s="5">
        <f t="shared" si="0"/>
        <v>-8.820817349834935E-4</v>
      </c>
      <c r="D122" s="24">
        <v>120.93550109863281</v>
      </c>
      <c r="E122" s="5">
        <f t="shared" si="1"/>
        <v>-1.0667354030355221E-4</v>
      </c>
      <c r="F122" s="24">
        <v>411.77130126953125</v>
      </c>
      <c r="G122" s="5">
        <f t="shared" si="2"/>
        <v>-2.1438572772639552E-4</v>
      </c>
      <c r="H122" s="36">
        <v>86.901702880859304</v>
      </c>
      <c r="I122" s="5">
        <f t="shared" si="3"/>
        <v>-3.2100887474152782E-4</v>
      </c>
      <c r="J122" s="35"/>
      <c r="K122" s="5" t="e">
        <f t="shared" si="4"/>
        <v>#DIV/0!</v>
      </c>
      <c r="L122" s="36">
        <v>151.38800048828099</v>
      </c>
      <c r="M122" s="5">
        <f t="shared" si="5"/>
        <v>-7.857726297398614E-4</v>
      </c>
      <c r="N122" s="24">
        <v>96.789497375488281</v>
      </c>
      <c r="O122" s="5">
        <f t="shared" si="6"/>
        <v>-9.3253315788852402E-4</v>
      </c>
      <c r="P122" s="36">
        <v>17.7600002288818</v>
      </c>
      <c r="Q122" s="5">
        <f t="shared" si="7"/>
        <v>1.4650916545586739E-3</v>
      </c>
      <c r="R122" s="24">
        <v>51.432308197021484</v>
      </c>
      <c r="S122" s="5">
        <f t="shared" si="8"/>
        <v>2.0764465764473586E-3</v>
      </c>
      <c r="T122" s="62">
        <v>151.3880005</v>
      </c>
      <c r="U122" s="5">
        <f>LN(T122/T121)</f>
        <v>-7.85772656753599E-4</v>
      </c>
      <c r="V122" s="59">
        <v>49.458000179999999</v>
      </c>
      <c r="W122" s="5">
        <f t="shared" ref="V122:W122" si="129">LN(V122/V121)</f>
        <v>8.977076440985705E-3</v>
      </c>
      <c r="X122" s="5"/>
    </row>
    <row r="123" spans="1:24" ht="13.8" thickBot="1">
      <c r="A123" s="13">
        <v>45623</v>
      </c>
      <c r="B123" s="35">
        <v>699.798583984375</v>
      </c>
      <c r="C123" s="5">
        <f t="shared" si="0"/>
        <v>2.7682080517147907E-3</v>
      </c>
      <c r="D123" s="24">
        <v>121.93190002441406</v>
      </c>
      <c r="E123" s="5">
        <f t="shared" si="1"/>
        <v>8.2053376582752503E-3</v>
      </c>
      <c r="F123" s="24">
        <v>413.52398681640625</v>
      </c>
      <c r="G123" s="5">
        <f t="shared" si="2"/>
        <v>4.2474207889759714E-3</v>
      </c>
      <c r="H123" s="36">
        <v>86.921600341796804</v>
      </c>
      <c r="I123" s="5">
        <f t="shared" si="3"/>
        <v>2.2893893575267921E-4</v>
      </c>
      <c r="J123" s="35"/>
      <c r="K123" s="5" t="e">
        <f t="shared" si="4"/>
        <v>#DIV/0!</v>
      </c>
      <c r="L123" s="36">
        <v>151.77299499511699</v>
      </c>
      <c r="M123" s="5">
        <f t="shared" si="5"/>
        <v>2.5398697031373319E-3</v>
      </c>
      <c r="N123" s="24">
        <v>97.212699890136719</v>
      </c>
      <c r="O123" s="5">
        <f t="shared" si="6"/>
        <v>4.3628700283316717E-3</v>
      </c>
      <c r="P123" s="36">
        <v>17.868999481201101</v>
      </c>
      <c r="Q123" s="5">
        <f t="shared" si="7"/>
        <v>6.1185884115510444E-3</v>
      </c>
      <c r="R123" s="24">
        <v>51.486553192138672</v>
      </c>
      <c r="S123" s="5">
        <f t="shared" si="8"/>
        <v>1.0541313692761097E-3</v>
      </c>
      <c r="T123" s="62">
        <v>151.77299500000001</v>
      </c>
      <c r="U123" s="5">
        <f>LN(T123/T122)</f>
        <v>2.5398696578999864E-3</v>
      </c>
      <c r="V123" s="59">
        <v>50.22000122</v>
      </c>
      <c r="W123" s="5">
        <f t="shared" ref="V123:W123" si="130">LN(V123/V122)</f>
        <v>1.5289549823951787E-2</v>
      </c>
      <c r="X123" s="5"/>
    </row>
    <row r="124" spans="1:24" ht="13.8" thickBot="1">
      <c r="A124" s="13">
        <v>45624</v>
      </c>
      <c r="B124" s="35">
        <v>696.49700927734295</v>
      </c>
      <c r="C124" s="5">
        <f t="shared" si="0"/>
        <v>-4.7290571938955559E-3</v>
      </c>
      <c r="D124" s="24">
        <v>121.62740325927734</v>
      </c>
      <c r="E124" s="5">
        <f t="shared" si="1"/>
        <v>-2.5003924684732608E-3</v>
      </c>
      <c r="F124" s="24">
        <v>411.6619873046875</v>
      </c>
      <c r="G124" s="5">
        <f t="shared" si="2"/>
        <v>-4.5129285526349823E-3</v>
      </c>
      <c r="H124" s="36">
        <v>86.402496337890597</v>
      </c>
      <c r="I124" s="5">
        <f t="shared" si="3"/>
        <v>-5.9899986900175612E-3</v>
      </c>
      <c r="J124" s="35"/>
      <c r="K124" s="5" t="e">
        <f t="shared" si="4"/>
        <v>#DIV/0!</v>
      </c>
      <c r="L124" s="36">
        <v>151.22200012207</v>
      </c>
      <c r="M124" s="5">
        <f t="shared" si="5"/>
        <v>-3.6369939391318507E-3</v>
      </c>
      <c r="N124" s="24">
        <v>96.182403564453125</v>
      </c>
      <c r="O124" s="5">
        <f t="shared" si="6"/>
        <v>-1.0654934427181215E-2</v>
      </c>
      <c r="P124" s="36">
        <v>17.655000686645501</v>
      </c>
      <c r="Q124" s="5">
        <f t="shared" si="7"/>
        <v>-1.2048270590304529E-2</v>
      </c>
      <c r="R124" s="24">
        <v>51.350936889648438</v>
      </c>
      <c r="S124" s="5">
        <f t="shared" si="8"/>
        <v>-2.637489129665879E-3</v>
      </c>
      <c r="T124" s="62">
        <v>151.2220001</v>
      </c>
      <c r="U124" s="5">
        <f>LN(T124/T123)</f>
        <v>-3.636994117249302E-3</v>
      </c>
      <c r="V124" s="59">
        <v>50.51499939</v>
      </c>
      <c r="W124" s="5">
        <f t="shared" ref="V124:W124" si="131">LN(V124/V123)</f>
        <v>5.8569317815253602E-3</v>
      </c>
      <c r="X124" s="5"/>
    </row>
    <row r="125" spans="1:24" ht="13.8" thickBot="1">
      <c r="A125" s="13">
        <v>45625</v>
      </c>
      <c r="B125" s="35">
        <v>700.54327392578102</v>
      </c>
      <c r="C125" s="5">
        <f t="shared" si="0"/>
        <v>5.7926403573916605E-3</v>
      </c>
      <c r="D125" s="24">
        <v>123.45890045166016</v>
      </c>
      <c r="E125" s="5">
        <f t="shared" si="1"/>
        <v>1.4946010922186441E-2</v>
      </c>
      <c r="F125" s="24">
        <v>414.37741088867188</v>
      </c>
      <c r="G125" s="5">
        <f t="shared" si="2"/>
        <v>6.5745855975831609E-3</v>
      </c>
      <c r="H125" s="36">
        <v>86.763900756835895</v>
      </c>
      <c r="I125" s="5">
        <f t="shared" si="3"/>
        <v>4.1740770696306433E-3</v>
      </c>
      <c r="J125" s="35"/>
      <c r="K125" s="5" t="e">
        <f t="shared" si="4"/>
        <v>#DIV/0!</v>
      </c>
      <c r="L125" s="36">
        <v>152.613998413085</v>
      </c>
      <c r="M125" s="5">
        <f t="shared" si="5"/>
        <v>9.1628907495772231E-3</v>
      </c>
      <c r="N125" s="24">
        <v>96.719703674316406</v>
      </c>
      <c r="O125" s="5">
        <f t="shared" si="6"/>
        <v>5.5707167438582127E-3</v>
      </c>
      <c r="P125" s="36">
        <v>17.8250007629394</v>
      </c>
      <c r="Q125" s="5">
        <f t="shared" si="7"/>
        <v>9.5829408292489975E-3</v>
      </c>
      <c r="R125" s="24">
        <v>51.670089721679688</v>
      </c>
      <c r="S125" s="5">
        <f t="shared" si="8"/>
        <v>6.1958973527805675E-3</v>
      </c>
      <c r="T125" s="62">
        <v>152.61399840000001</v>
      </c>
      <c r="U125" s="5">
        <f>LN(T125/T124)</f>
        <v>9.1628908097826523E-3</v>
      </c>
      <c r="V125" s="59">
        <v>50.868999479999999</v>
      </c>
      <c r="W125" s="5">
        <f t="shared" ref="V125:W125" si="132">LN(V125/V124)</f>
        <v>6.9833806634019367E-3</v>
      </c>
      <c r="X125" s="5"/>
    </row>
    <row r="126" spans="1:24" ht="13.8" thickBot="1">
      <c r="A126" s="12">
        <v>45628</v>
      </c>
      <c r="B126" s="35">
        <v>701.85852050781205</v>
      </c>
      <c r="C126" s="5">
        <f t="shared" si="0"/>
        <v>1.8757063387511708E-3</v>
      </c>
      <c r="D126" s="24">
        <v>124.5802001953125</v>
      </c>
      <c r="E126" s="5">
        <f t="shared" si="1"/>
        <v>9.0413759705040078E-3</v>
      </c>
      <c r="F126" s="24">
        <v>416.55841064453125</v>
      </c>
      <c r="G126" s="5">
        <f t="shared" si="2"/>
        <v>5.2495143617466572E-3</v>
      </c>
      <c r="H126" s="36">
        <v>87.284202575683594</v>
      </c>
      <c r="I126" s="5">
        <f t="shared" si="3"/>
        <v>5.9788456042054253E-3</v>
      </c>
      <c r="J126" s="35"/>
      <c r="K126" s="5" t="e">
        <f t="shared" si="4"/>
        <v>#DIV/0!</v>
      </c>
      <c r="L126" s="36">
        <v>153.94599914550699</v>
      </c>
      <c r="M126" s="5">
        <f t="shared" si="5"/>
        <v>8.690038657265824E-3</v>
      </c>
      <c r="N126" s="24">
        <v>97.120498657226563</v>
      </c>
      <c r="O126" s="5">
        <f t="shared" si="6"/>
        <v>4.1353191881857883E-3</v>
      </c>
      <c r="P126" s="36">
        <v>17.941999435424801</v>
      </c>
      <c r="Q126" s="5">
        <f t="shared" si="7"/>
        <v>6.542292568401855E-3</v>
      </c>
      <c r="R126" s="24">
        <v>51.972064971923828</v>
      </c>
      <c r="S126" s="5">
        <f t="shared" si="8"/>
        <v>5.8272834187341489E-3</v>
      </c>
      <c r="T126" s="62">
        <v>153.94599909999999</v>
      </c>
      <c r="U126" s="5">
        <f>LN(T126/T125)</f>
        <v>8.690038447401285E-3</v>
      </c>
      <c r="V126" s="59">
        <v>51.2140007</v>
      </c>
      <c r="W126" s="5">
        <f t="shared" ref="V126:W126" si="133">LN(V126/V125)</f>
        <v>6.7592553689034846E-3</v>
      </c>
      <c r="X126" s="5"/>
    </row>
    <row r="127" spans="1:24" ht="13.8" thickBot="1">
      <c r="A127" s="12">
        <v>45629</v>
      </c>
      <c r="B127" s="35">
        <v>705.76110839843705</v>
      </c>
      <c r="C127" s="5">
        <f t="shared" si="0"/>
        <v>5.5449608825433646E-3</v>
      </c>
      <c r="D127" s="24">
        <v>125.35600280761719</v>
      </c>
      <c r="E127" s="5">
        <f t="shared" si="1"/>
        <v>6.2080250445822162E-3</v>
      </c>
      <c r="F127" s="24">
        <v>419.44680786132813</v>
      </c>
      <c r="G127" s="5">
        <f t="shared" si="2"/>
        <v>6.9100255498202607E-3</v>
      </c>
      <c r="H127" s="36">
        <v>87.808502197265597</v>
      </c>
      <c r="I127" s="5">
        <f t="shared" si="3"/>
        <v>5.9888410464002924E-3</v>
      </c>
      <c r="J127" s="35"/>
      <c r="K127" s="5" t="e">
        <f t="shared" si="4"/>
        <v>#DIV/0!</v>
      </c>
      <c r="L127" s="36">
        <v>155.28900146484301</v>
      </c>
      <c r="M127" s="5">
        <f t="shared" si="5"/>
        <v>8.6860204081715079E-3</v>
      </c>
      <c r="N127" s="24">
        <v>98.202201843261719</v>
      </c>
      <c r="O127" s="5">
        <f t="shared" si="6"/>
        <v>1.1076175395924764E-2</v>
      </c>
      <c r="P127" s="36">
        <v>18.0559997558593</v>
      </c>
      <c r="Q127" s="5">
        <f t="shared" si="7"/>
        <v>6.3337243235188244E-3</v>
      </c>
      <c r="R127" s="24">
        <v>52.454860687255859</v>
      </c>
      <c r="S127" s="5">
        <f t="shared" si="8"/>
        <v>9.246641174467312E-3</v>
      </c>
      <c r="T127" s="62">
        <v>155.28900150000001</v>
      </c>
      <c r="U127" s="5">
        <f>LN(T127/T126)</f>
        <v>8.6860209301722283E-3</v>
      </c>
      <c r="V127" s="59">
        <v>51.748001100000003</v>
      </c>
      <c r="W127" s="5">
        <f t="shared" ref="V127:W127" si="134">LN(V127/V126)</f>
        <v>1.0372859476135634E-2</v>
      </c>
      <c r="X127" s="5"/>
    </row>
    <row r="128" spans="1:24" ht="13.8" thickBot="1">
      <c r="A128" s="12">
        <v>45630</v>
      </c>
      <c r="B128" s="35">
        <v>706.539306640625</v>
      </c>
      <c r="C128" s="5">
        <f t="shared" si="0"/>
        <v>1.1020294445280307E-3</v>
      </c>
      <c r="D128" s="24">
        <v>125.94930267333984</v>
      </c>
      <c r="E128" s="5">
        <f t="shared" si="1"/>
        <v>4.7217544164993297E-3</v>
      </c>
      <c r="F128" s="24">
        <v>420.31961059570313</v>
      </c>
      <c r="G128" s="5">
        <f t="shared" si="2"/>
        <v>2.0786805222672657E-3</v>
      </c>
      <c r="H128" s="36">
        <v>87.856002807617102</v>
      </c>
      <c r="I128" s="5">
        <f t="shared" si="3"/>
        <v>5.4081058103244012E-4</v>
      </c>
      <c r="J128" s="35"/>
      <c r="K128" s="5" t="e">
        <f t="shared" si="4"/>
        <v>#DIV/0!</v>
      </c>
      <c r="L128" s="36">
        <v>156.287994384765</v>
      </c>
      <c r="M128" s="5">
        <f t="shared" si="5"/>
        <v>6.412516690727752E-3</v>
      </c>
      <c r="N128" s="24">
        <v>98.653602600097656</v>
      </c>
      <c r="O128" s="5">
        <f t="shared" si="6"/>
        <v>4.5861136712085785E-3</v>
      </c>
      <c r="P128" s="36">
        <v>18.090000152587798</v>
      </c>
      <c r="Q128" s="5">
        <f t="shared" si="7"/>
        <v>1.881281848200444E-3</v>
      </c>
      <c r="R128" s="24">
        <v>52.931324005126953</v>
      </c>
      <c r="S128" s="5">
        <f t="shared" si="8"/>
        <v>9.0422964961673902E-3</v>
      </c>
      <c r="T128" s="62">
        <v>156.2879944</v>
      </c>
      <c r="U128" s="5">
        <f>LN(T128/T127)</f>
        <v>6.4125165618108765E-3</v>
      </c>
      <c r="V128" s="59">
        <v>51.984001159999998</v>
      </c>
      <c r="W128" s="5">
        <f t="shared" ref="V128:W128" si="135">LN(V128/V127)</f>
        <v>4.5501959287869735E-3</v>
      </c>
      <c r="X128" s="5"/>
    </row>
    <row r="129" spans="1:24" ht="13.8" thickBot="1">
      <c r="A129" s="12">
        <v>45631</v>
      </c>
      <c r="B129" s="35">
        <v>708.76788330078102</v>
      </c>
      <c r="C129" s="5">
        <f t="shared" si="0"/>
        <v>3.1492505907860491E-3</v>
      </c>
      <c r="D129" s="24">
        <v>127.17829895019531</v>
      </c>
      <c r="E129" s="5">
        <f t="shared" si="1"/>
        <v>9.7105643660673445E-3</v>
      </c>
      <c r="F129" s="24">
        <v>422.06610107421875</v>
      </c>
      <c r="G129" s="5">
        <f t="shared" si="2"/>
        <v>4.1465398966760384E-3</v>
      </c>
      <c r="H129" s="36">
        <v>88.384002685546804</v>
      </c>
      <c r="I129" s="5">
        <f t="shared" si="3"/>
        <v>5.9918456782653033E-3</v>
      </c>
      <c r="J129" s="35"/>
      <c r="K129" s="5" t="e">
        <f t="shared" si="4"/>
        <v>#DIV/0!</v>
      </c>
      <c r="L129" s="36">
        <v>156.26300048828099</v>
      </c>
      <c r="M129" s="5">
        <f t="shared" si="5"/>
        <v>-1.5993483909678305E-4</v>
      </c>
      <c r="N129" s="24">
        <v>99.414703369140625</v>
      </c>
      <c r="O129" s="5">
        <f t="shared" si="6"/>
        <v>7.6852731325816421E-3</v>
      </c>
      <c r="P129" s="36">
        <v>18.263999938964801</v>
      </c>
      <c r="Q129" s="5">
        <f t="shared" si="7"/>
        <v>9.5725980435344311E-3</v>
      </c>
      <c r="R129" s="24">
        <v>52.988288879394531</v>
      </c>
      <c r="S129" s="5">
        <f t="shared" si="8"/>
        <v>1.0756247725697207E-3</v>
      </c>
      <c r="T129" s="62">
        <v>156.2630005</v>
      </c>
      <c r="U129" s="5">
        <f>LN(T129/T128)</f>
        <v>-1.5993486158172901E-4</v>
      </c>
      <c r="V129" s="59">
        <v>52.090999600000004</v>
      </c>
      <c r="W129" s="5">
        <f t="shared" ref="V129:W129" si="136">LN(V129/V128)</f>
        <v>2.0561801953721775E-3</v>
      </c>
      <c r="X129" s="5"/>
    </row>
    <row r="130" spans="1:24" ht="13.8" thickBot="1">
      <c r="A130" s="12">
        <v>45632</v>
      </c>
      <c r="B130" s="35">
        <v>708.41998291015602</v>
      </c>
      <c r="C130" s="5">
        <f t="shared" si="0"/>
        <v>-4.9097287086392644E-4</v>
      </c>
      <c r="D130" s="24">
        <v>127.89389801025391</v>
      </c>
      <c r="E130" s="5">
        <f t="shared" si="1"/>
        <v>5.6109677653336703E-3</v>
      </c>
      <c r="F130" s="24">
        <v>422.76370239257813</v>
      </c>
      <c r="G130" s="5">
        <f t="shared" si="2"/>
        <v>1.6514603865662386E-3</v>
      </c>
      <c r="H130" s="36">
        <v>88.688796997070298</v>
      </c>
      <c r="I130" s="5">
        <f t="shared" si="3"/>
        <v>3.4425909918464849E-3</v>
      </c>
      <c r="J130" s="35"/>
      <c r="K130" s="5" t="e">
        <f t="shared" si="4"/>
        <v>#DIV/0!</v>
      </c>
      <c r="L130" s="36">
        <v>157.00500488281199</v>
      </c>
      <c r="M130" s="5">
        <f t="shared" si="5"/>
        <v>4.7371947943579537E-3</v>
      </c>
      <c r="N130" s="24">
        <v>99.650901794433594</v>
      </c>
      <c r="O130" s="5">
        <f t="shared" si="6"/>
        <v>2.3730722938729238E-3</v>
      </c>
      <c r="P130" s="36">
        <v>18.250999450683501</v>
      </c>
      <c r="Q130" s="5">
        <f t="shared" si="7"/>
        <v>-7.1206293566541067E-4</v>
      </c>
      <c r="R130" s="24">
        <v>53.198040008544922</v>
      </c>
      <c r="S130" s="5">
        <f t="shared" si="8"/>
        <v>3.9506291281379106E-3</v>
      </c>
      <c r="T130" s="62">
        <v>157.00500489999999</v>
      </c>
      <c r="U130" s="5">
        <f>LN(T130/T129)</f>
        <v>4.7371948288367442E-3</v>
      </c>
      <c r="V130" s="59">
        <v>52.469001769999998</v>
      </c>
      <c r="W130" s="5">
        <f t="shared" ref="V130:W130" si="137">LN(V130/V129)</f>
        <v>7.230371304909897E-3</v>
      </c>
      <c r="X130" s="5"/>
    </row>
    <row r="131" spans="1:24" ht="13.8" thickBot="1">
      <c r="A131" s="12">
        <v>45635</v>
      </c>
      <c r="B131" s="35">
        <v>708.539306640625</v>
      </c>
      <c r="C131" s="5">
        <f t="shared" si="0"/>
        <v>1.6842224279968446E-4</v>
      </c>
      <c r="D131" s="24">
        <v>128.94259643554688</v>
      </c>
      <c r="E131" s="5">
        <f t="shared" si="1"/>
        <v>8.1663180739303814E-3</v>
      </c>
      <c r="F131" s="24">
        <v>422.17849731445313</v>
      </c>
      <c r="G131" s="5">
        <f t="shared" si="2"/>
        <v>-1.3851957492490941E-3</v>
      </c>
      <c r="H131" s="36">
        <v>88.798202514648395</v>
      </c>
      <c r="I131" s="5">
        <f t="shared" si="3"/>
        <v>1.2328286774342613E-3</v>
      </c>
      <c r="J131" s="35"/>
      <c r="K131" s="5" t="e">
        <f t="shared" si="4"/>
        <v>#DIV/0!</v>
      </c>
      <c r="L131" s="36">
        <v>157.753005981445</v>
      </c>
      <c r="M131" s="5">
        <f t="shared" si="5"/>
        <v>4.7528735149816306E-3</v>
      </c>
      <c r="N131" s="24">
        <v>99.507400512695313</v>
      </c>
      <c r="O131" s="5">
        <f t="shared" si="6"/>
        <v>-1.4410778251276865E-3</v>
      </c>
      <c r="P131" s="36">
        <v>18.202999114990199</v>
      </c>
      <c r="Q131" s="5">
        <f t="shared" si="7"/>
        <v>-2.6334759051355795E-3</v>
      </c>
      <c r="R131" s="24">
        <v>53.437629699707031</v>
      </c>
      <c r="S131" s="5">
        <f t="shared" si="8"/>
        <v>4.4936200987807443E-3</v>
      </c>
      <c r="T131" s="62">
        <v>157.753006</v>
      </c>
      <c r="U131" s="5">
        <f>LN(T131/T130)</f>
        <v>4.7528735231278287E-3</v>
      </c>
      <c r="V131" s="59">
        <v>52.7140007</v>
      </c>
      <c r="W131" s="5">
        <f t="shared" ref="V131:W131" si="138">LN(V131/V130)</f>
        <v>4.6585354539449625E-3</v>
      </c>
      <c r="X131" s="5"/>
    </row>
    <row r="132" spans="1:24" ht="13.8" thickBot="1">
      <c r="A132" s="13">
        <v>45636</v>
      </c>
      <c r="B132" s="35">
        <v>710.42779541015602</v>
      </c>
      <c r="C132" s="5">
        <f t="shared" si="0"/>
        <v>2.6617810685098079E-3</v>
      </c>
      <c r="D132" s="24">
        <v>128.86839294433594</v>
      </c>
      <c r="E132" s="5">
        <f t="shared" si="1"/>
        <v>-5.7564259334677299E-4</v>
      </c>
      <c r="F132" s="24">
        <v>422.42660522460938</v>
      </c>
      <c r="G132" s="5">
        <f t="shared" si="2"/>
        <v>5.8751223867100678E-4</v>
      </c>
      <c r="H132" s="36">
        <v>88.974700927734304</v>
      </c>
      <c r="I132" s="5">
        <f t="shared" si="3"/>
        <v>1.9856622427884009E-3</v>
      </c>
      <c r="J132" s="35"/>
      <c r="K132" s="5" t="e">
        <f t="shared" si="4"/>
        <v>#DIV/0!</v>
      </c>
      <c r="L132" s="36">
        <v>157.89399719238199</v>
      </c>
      <c r="M132" s="5">
        <f t="shared" si="5"/>
        <v>8.9334743492600088E-4</v>
      </c>
      <c r="N132" s="24">
        <v>99.545997619628906</v>
      </c>
      <c r="O132" s="5">
        <f t="shared" si="6"/>
        <v>3.8780656627279486E-4</v>
      </c>
      <c r="P132" s="36">
        <v>18.205999374389599</v>
      </c>
      <c r="Q132" s="5">
        <f t="shared" si="7"/>
        <v>1.6480867536441634E-4</v>
      </c>
      <c r="R132" s="24">
        <v>53.612125396728516</v>
      </c>
      <c r="S132" s="5">
        <f t="shared" si="8"/>
        <v>3.260088758015132E-3</v>
      </c>
      <c r="T132" s="62">
        <v>157.8939972</v>
      </c>
      <c r="U132" s="5">
        <f>LN(T132/T131)</f>
        <v>8.9334736555310033E-4</v>
      </c>
      <c r="V132" s="59">
        <v>52.826000209999997</v>
      </c>
      <c r="W132" s="5">
        <f t="shared" ref="V132:W132" si="139">LN(V132/V131)</f>
        <v>2.1224095333950439E-3</v>
      </c>
      <c r="X132" s="5"/>
    </row>
    <row r="133" spans="1:24" ht="13.8" thickBot="1">
      <c r="A133" s="13">
        <v>45637</v>
      </c>
      <c r="B133" s="35">
        <v>710.989013671875</v>
      </c>
      <c r="C133" s="5">
        <f t="shared" si="0"/>
        <v>7.8966041107152412E-4</v>
      </c>
      <c r="D133" s="24">
        <v>129.24259948730469</v>
      </c>
      <c r="E133" s="5">
        <f t="shared" si="1"/>
        <v>2.8995805379996532E-3</v>
      </c>
      <c r="F133" s="24">
        <v>423.03311157226563</v>
      </c>
      <c r="G133" s="5">
        <f t="shared" si="2"/>
        <v>1.434737669096119E-3</v>
      </c>
      <c r="H133" s="36">
        <v>89.404998779296804</v>
      </c>
      <c r="I133" s="5">
        <f t="shared" si="3"/>
        <v>4.8245252896476423E-3</v>
      </c>
      <c r="J133" s="35"/>
      <c r="K133" s="5" t="e">
        <f t="shared" si="4"/>
        <v>#DIV/0!</v>
      </c>
      <c r="L133" s="36">
        <v>158.23800659179599</v>
      </c>
      <c r="M133" s="5">
        <f t="shared" si="5"/>
        <v>2.1763663980964381E-3</v>
      </c>
      <c r="N133" s="24">
        <v>99.628898620605469</v>
      </c>
      <c r="O133" s="5">
        <f t="shared" si="6"/>
        <v>8.3244432233915461E-4</v>
      </c>
      <c r="P133" s="36">
        <v>18.245000839233398</v>
      </c>
      <c r="Q133" s="5">
        <f t="shared" si="7"/>
        <v>2.1399401661769007E-3</v>
      </c>
      <c r="R133" s="24">
        <v>53.671794891357422</v>
      </c>
      <c r="S133" s="5">
        <f t="shared" si="8"/>
        <v>1.1123661518219936E-3</v>
      </c>
      <c r="T133" s="62">
        <v>158.23800660000001</v>
      </c>
      <c r="U133" s="5">
        <f>LN(T133/T132)</f>
        <v>2.1763664016948244E-3</v>
      </c>
      <c r="V133" s="59">
        <v>53.023998259999999</v>
      </c>
      <c r="W133" s="5">
        <f t="shared" ref="V133:W133" si="140">LN(V133/V132)</f>
        <v>3.7411106998983946E-3</v>
      </c>
      <c r="X133" s="5"/>
    </row>
    <row r="134" spans="1:24" ht="13.8" thickBot="1">
      <c r="A134" s="13">
        <v>45638</v>
      </c>
      <c r="B134" s="35">
        <v>708.28192138671795</v>
      </c>
      <c r="C134" s="5">
        <f t="shared" si="0"/>
        <v>-3.8147692610218543E-3</v>
      </c>
      <c r="D134" s="24">
        <v>129.20880126953125</v>
      </c>
      <c r="E134" s="5">
        <f t="shared" si="1"/>
        <v>-2.6154408811191208E-4</v>
      </c>
      <c r="F134" s="24">
        <v>421.40899658203125</v>
      </c>
      <c r="G134" s="5">
        <f t="shared" si="2"/>
        <v>-3.8466035199643646E-3</v>
      </c>
      <c r="H134" s="36">
        <v>89.199203491210895</v>
      </c>
      <c r="I134" s="5">
        <f t="shared" si="3"/>
        <v>-2.3044852981657384E-3</v>
      </c>
      <c r="J134" s="35"/>
      <c r="K134" s="5" t="e">
        <f t="shared" si="4"/>
        <v>#DIV/0!</v>
      </c>
      <c r="L134" s="36">
        <v>157.26899719238199</v>
      </c>
      <c r="M134" s="5">
        <f t="shared" si="5"/>
        <v>-6.142573284359981E-3</v>
      </c>
      <c r="N134" s="24">
        <v>99.222602844238281</v>
      </c>
      <c r="O134" s="5">
        <f t="shared" si="6"/>
        <v>-4.0864297102646734E-3</v>
      </c>
      <c r="P134" s="36">
        <v>18.1709995269775</v>
      </c>
      <c r="Q134" s="5">
        <f t="shared" si="7"/>
        <v>-4.0642252512107088E-3</v>
      </c>
      <c r="R134" s="24">
        <v>53.542507171630859</v>
      </c>
      <c r="S134" s="5">
        <f t="shared" si="8"/>
        <v>-2.4117637275400351E-3</v>
      </c>
      <c r="T134" s="62">
        <v>157.2689972</v>
      </c>
      <c r="U134" s="5">
        <f>LN(T134/T133)</f>
        <v>-6.1425732877665781E-3</v>
      </c>
      <c r="V134" s="59">
        <v>52.588001249999998</v>
      </c>
      <c r="W134" s="5">
        <f t="shared" ref="V134:W134" si="141">LN(V134/V133)</f>
        <v>-8.2566278247841116E-3</v>
      </c>
      <c r="X134" s="5"/>
    </row>
    <row r="135" spans="1:24" ht="13.8" thickBot="1">
      <c r="A135" s="13">
        <v>45639</v>
      </c>
      <c r="B135" s="35">
        <v>708.46417236328102</v>
      </c>
      <c r="C135" s="5">
        <f t="shared" si="0"/>
        <v>2.5728107297761949E-4</v>
      </c>
      <c r="D135" s="24">
        <v>129.71159362792969</v>
      </c>
      <c r="E135" s="5">
        <f t="shared" si="1"/>
        <v>3.8837650513543456E-3</v>
      </c>
      <c r="F135" s="24">
        <v>422.3743896484375</v>
      </c>
      <c r="G135" s="5">
        <f t="shared" si="2"/>
        <v>2.2882495754252209E-3</v>
      </c>
      <c r="H135" s="36">
        <v>89.432701110839801</v>
      </c>
      <c r="I135" s="5">
        <f t="shared" si="3"/>
        <v>2.6142894589393727E-3</v>
      </c>
      <c r="J135" s="35"/>
      <c r="K135" s="5" t="e">
        <f t="shared" si="4"/>
        <v>#DIV/0!</v>
      </c>
      <c r="L135" s="36">
        <v>157.27000427246</v>
      </c>
      <c r="M135" s="5">
        <f t="shared" si="5"/>
        <v>6.4035307121931551E-6</v>
      </c>
      <c r="N135" s="24">
        <v>99.784698486328125</v>
      </c>
      <c r="O135" s="5">
        <f t="shared" si="6"/>
        <v>5.6490101930784095E-3</v>
      </c>
      <c r="P135" s="36">
        <v>18.3190002441406</v>
      </c>
      <c r="Q135" s="5">
        <f t="shared" si="7"/>
        <v>8.1118952953083481E-3</v>
      </c>
      <c r="R135" s="24">
        <v>53.519905090332031</v>
      </c>
      <c r="S135" s="5">
        <f t="shared" si="8"/>
        <v>-4.2222253650145945E-4</v>
      </c>
      <c r="T135" s="62">
        <v>157.27000430000001</v>
      </c>
      <c r="U135" s="5">
        <f>LN(T135/T134)</f>
        <v>6.4036573856086509E-6</v>
      </c>
      <c r="V135" s="59">
        <v>52.356998439999998</v>
      </c>
      <c r="W135" s="5">
        <f t="shared" ref="V135:W135" si="142">LN(V135/V134)</f>
        <v>-4.4023666447720877E-3</v>
      </c>
      <c r="X135" s="5"/>
    </row>
    <row r="136" spans="1:24" ht="13.8" thickBot="1">
      <c r="A136" s="13">
        <v>45642</v>
      </c>
      <c r="B136" s="35">
        <v>708.21759033203102</v>
      </c>
      <c r="C136" s="5">
        <f t="shared" si="0"/>
        <v>-3.481121028493899E-4</v>
      </c>
      <c r="D136" s="24">
        <v>130.66360473632813</v>
      </c>
      <c r="E136" s="5">
        <f t="shared" si="1"/>
        <v>7.3126423465382879E-3</v>
      </c>
      <c r="F136" s="24">
        <v>421.89910888671875</v>
      </c>
      <c r="G136" s="5">
        <f t="shared" si="2"/>
        <v>-1.1258930020905196E-3</v>
      </c>
      <c r="H136" s="36">
        <v>89.644096374511705</v>
      </c>
      <c r="I136" s="5">
        <f t="shared" si="3"/>
        <v>2.3609464189071161E-3</v>
      </c>
      <c r="J136" s="35"/>
      <c r="K136" s="5" t="e">
        <f t="shared" si="4"/>
        <v>#DIV/0!</v>
      </c>
      <c r="L136" s="36">
        <v>158.49400329589801</v>
      </c>
      <c r="M136" s="5">
        <f t="shared" si="5"/>
        <v>7.7526578372917546E-3</v>
      </c>
      <c r="N136" s="24">
        <v>99.805000305175781</v>
      </c>
      <c r="O136" s="5">
        <f t="shared" si="6"/>
        <v>2.0343553841302466E-4</v>
      </c>
      <c r="P136" s="36">
        <v>18.256999969482401</v>
      </c>
      <c r="Q136" s="5">
        <f t="shared" si="7"/>
        <v>-3.3902194706843911E-3</v>
      </c>
      <c r="R136" s="24">
        <v>53.820972442626953</v>
      </c>
      <c r="S136" s="5">
        <f t="shared" si="8"/>
        <v>5.609571091556396E-3</v>
      </c>
      <c r="T136" s="62">
        <v>158.4940033</v>
      </c>
      <c r="U136" s="5">
        <f>LN(T136/T135)</f>
        <v>7.7526576880599411E-3</v>
      </c>
      <c r="V136" s="59">
        <v>52.678001399999999</v>
      </c>
      <c r="W136" s="5">
        <f t="shared" ref="V136:W136" si="143">LN(V136/V135)</f>
        <v>6.1123236995474818E-3</v>
      </c>
      <c r="X136" s="5"/>
    </row>
    <row r="137" spans="1:24" ht="13.8" thickBot="1">
      <c r="A137" s="13">
        <v>45643</v>
      </c>
      <c r="B137" s="35">
        <v>703.605712890625</v>
      </c>
      <c r="C137" s="5">
        <f t="shared" si="0"/>
        <v>-6.5332451094169859E-3</v>
      </c>
      <c r="D137" s="24">
        <v>130.31840515136719</v>
      </c>
      <c r="E137" s="5">
        <f t="shared" si="1"/>
        <v>-2.6453914307818468E-3</v>
      </c>
      <c r="F137" s="24">
        <v>418.04229736328125</v>
      </c>
      <c r="G137" s="5">
        <f t="shared" si="2"/>
        <v>-9.1835897149913637E-3</v>
      </c>
      <c r="H137" s="36">
        <v>89.138900756835895</v>
      </c>
      <c r="I137" s="5">
        <f t="shared" si="3"/>
        <v>-5.6515101595265354E-3</v>
      </c>
      <c r="J137" s="35"/>
      <c r="K137" s="5" t="e">
        <f t="shared" si="4"/>
        <v>#DIV/0!</v>
      </c>
      <c r="L137" s="36">
        <v>157.26100158691401</v>
      </c>
      <c r="M137" s="5">
        <f t="shared" si="5"/>
        <v>-7.8099029761222192E-3</v>
      </c>
      <c r="N137" s="24">
        <v>98.875999450683594</v>
      </c>
      <c r="O137" s="5">
        <f t="shared" si="6"/>
        <v>-9.3517510594761412E-3</v>
      </c>
      <c r="P137" s="36">
        <v>17.965000152587798</v>
      </c>
      <c r="Q137" s="5">
        <f t="shared" si="7"/>
        <v>-1.6123137400719849E-2</v>
      </c>
      <c r="R137" s="24">
        <v>53.346317291259766</v>
      </c>
      <c r="S137" s="5">
        <f t="shared" si="8"/>
        <v>-8.8582674125187652E-3</v>
      </c>
      <c r="T137" s="62">
        <v>157.26100159999999</v>
      </c>
      <c r="U137" s="5">
        <f>LN(T137/T136)</f>
        <v>-7.8099029187913846E-3</v>
      </c>
      <c r="V137" s="59">
        <v>52.469001769999998</v>
      </c>
      <c r="W137" s="5">
        <f t="shared" ref="V137:W137" si="144">LN(V137/V136)</f>
        <v>-3.9753849172296735E-3</v>
      </c>
      <c r="X137" s="5"/>
    </row>
    <row r="138" spans="1:24" ht="13.8" thickBot="1">
      <c r="A138" s="13">
        <v>45644</v>
      </c>
      <c r="B138" s="35">
        <v>701.09368896484295</v>
      </c>
      <c r="C138" s="5">
        <f t="shared" si="0"/>
        <v>-3.5766037919581031E-3</v>
      </c>
      <c r="D138" s="24">
        <v>130.08430480957031</v>
      </c>
      <c r="E138" s="5">
        <f t="shared" si="1"/>
        <v>-1.7979874702365234E-3</v>
      </c>
      <c r="F138" s="24">
        <v>415.66220092773438</v>
      </c>
      <c r="G138" s="5">
        <f t="shared" si="2"/>
        <v>-5.7097038734789151E-3</v>
      </c>
      <c r="H138" s="36">
        <v>88.162399291992102</v>
      </c>
      <c r="I138" s="5">
        <f t="shared" si="3"/>
        <v>-1.1015275559860722E-2</v>
      </c>
      <c r="J138" s="35"/>
      <c r="K138" s="5" t="e">
        <f t="shared" si="4"/>
        <v>#DIV/0!</v>
      </c>
      <c r="L138" s="36">
        <v>156.79100036621</v>
      </c>
      <c r="M138" s="5">
        <f t="shared" si="5"/>
        <v>-2.9931448847500936E-3</v>
      </c>
      <c r="N138" s="24">
        <v>98.182701110839844</v>
      </c>
      <c r="O138" s="5">
        <f t="shared" si="6"/>
        <v>-7.036494186039236E-3</v>
      </c>
      <c r="P138" s="36">
        <v>17.885999679565401</v>
      </c>
      <c r="Q138" s="5">
        <f t="shared" si="7"/>
        <v>-4.4071630504943608E-3</v>
      </c>
      <c r="R138" s="24">
        <v>53.031681060791016</v>
      </c>
      <c r="S138" s="5">
        <f t="shared" si="8"/>
        <v>-5.9154553166573132E-3</v>
      </c>
      <c r="T138" s="62">
        <v>156.7910004</v>
      </c>
      <c r="U138" s="5">
        <f>LN(T138/T137)</f>
        <v>-2.9931447524520986E-3</v>
      </c>
      <c r="V138" s="59">
        <v>52.1570015</v>
      </c>
      <c r="W138" s="5">
        <f t="shared" ref="V138:W138" si="145">LN(V138/V137)</f>
        <v>-5.9641233553583868E-3</v>
      </c>
      <c r="X138" s="5"/>
    </row>
    <row r="139" spans="1:24" ht="13.8" thickBot="1">
      <c r="A139" s="13">
        <v>45645</v>
      </c>
      <c r="B139" s="35">
        <v>696.59588623046795</v>
      </c>
      <c r="C139" s="5">
        <f t="shared" si="0"/>
        <v>-6.4360761362972103E-3</v>
      </c>
      <c r="D139" s="24">
        <v>129.5740966796875</v>
      </c>
      <c r="E139" s="5">
        <f t="shared" si="1"/>
        <v>-3.9298461638913847E-3</v>
      </c>
      <c r="F139" s="24">
        <v>414.08938598632813</v>
      </c>
      <c r="G139" s="5">
        <f t="shared" si="2"/>
        <v>-3.7910546962033713E-3</v>
      </c>
      <c r="H139" s="36">
        <v>87.950401306152301</v>
      </c>
      <c r="I139" s="5">
        <f t="shared" si="3"/>
        <v>-2.4075261709315524E-3</v>
      </c>
      <c r="J139" s="35"/>
      <c r="K139" s="5" t="e">
        <f t="shared" si="4"/>
        <v>#DIV/0!</v>
      </c>
      <c r="L139" s="36">
        <v>156.72900390625</v>
      </c>
      <c r="M139" s="5">
        <f t="shared" si="5"/>
        <v>-3.954864756520379E-4</v>
      </c>
      <c r="N139" s="24">
        <v>97.427497863769531</v>
      </c>
      <c r="O139" s="5">
        <f t="shared" si="6"/>
        <v>-7.7215503411795453E-3</v>
      </c>
      <c r="P139" s="36">
        <v>17.624000549316399</v>
      </c>
      <c r="Q139" s="5">
        <f t="shared" si="7"/>
        <v>-1.4756625339905176E-2</v>
      </c>
      <c r="R139" s="24">
        <v>53.001850128173828</v>
      </c>
      <c r="S139" s="5">
        <f t="shared" si="8"/>
        <v>-5.6266980962955786E-4</v>
      </c>
      <c r="T139" s="62">
        <v>156.72900390000001</v>
      </c>
      <c r="U139" s="5">
        <f>LN(T139/T138)</f>
        <v>-3.9548673103958993E-4</v>
      </c>
      <c r="V139" s="59">
        <v>51.966999049999998</v>
      </c>
      <c r="W139" s="5">
        <f t="shared" ref="V139:W139" si="146">LN(V139/V138)</f>
        <v>-3.6495459238244585E-3</v>
      </c>
      <c r="X139" s="5"/>
    </row>
    <row r="140" spans="1:24" ht="13.8" thickBot="1">
      <c r="A140" s="13">
        <v>45646</v>
      </c>
      <c r="B140" s="35">
        <v>691.72772216796795</v>
      </c>
      <c r="C140" s="5">
        <f t="shared" si="0"/>
        <v>-7.0130393022159038E-3</v>
      </c>
      <c r="D140" s="24">
        <v>125.62789916992188</v>
      </c>
      <c r="E140" s="5">
        <f t="shared" si="1"/>
        <v>-3.0928536125961539E-2</v>
      </c>
      <c r="F140" s="24">
        <v>407.03158569335938</v>
      </c>
      <c r="G140" s="5">
        <f t="shared" si="2"/>
        <v>-1.719107014244883E-2</v>
      </c>
      <c r="H140" s="36">
        <v>86.882400512695298</v>
      </c>
      <c r="I140" s="5">
        <f t="shared" si="3"/>
        <v>-1.2217548048394167E-2</v>
      </c>
      <c r="J140" s="35"/>
      <c r="K140" s="5" t="e">
        <f t="shared" si="4"/>
        <v>#DIV/0!</v>
      </c>
      <c r="L140" s="36">
        <v>153.57899475097599</v>
      </c>
      <c r="M140" s="5">
        <f t="shared" si="5"/>
        <v>-2.0303165731097986E-2</v>
      </c>
      <c r="N140" s="24">
        <v>95.841499328613281</v>
      </c>
      <c r="O140" s="5">
        <f t="shared" si="6"/>
        <v>-1.641271140924478E-2</v>
      </c>
      <c r="P140" s="36">
        <v>17.396999359130799</v>
      </c>
      <c r="Q140" s="5">
        <f t="shared" si="7"/>
        <v>-1.2963899944199893E-2</v>
      </c>
      <c r="R140" s="24">
        <v>51.950363159179688</v>
      </c>
      <c r="S140" s="5">
        <f t="shared" si="8"/>
        <v>-2.0038112948734671E-2</v>
      </c>
      <c r="T140" s="62">
        <v>153.5789948</v>
      </c>
      <c r="U140" s="5">
        <f>LN(T140/T139)</f>
        <v>-2.0303165372009897E-2</v>
      </c>
      <c r="V140" s="59">
        <v>50.8429985</v>
      </c>
      <c r="W140" s="5">
        <f t="shared" ref="V140:W140" si="147">LN(V140/V139)</f>
        <v>-2.1866459730074689E-2</v>
      </c>
      <c r="X140" s="5"/>
    </row>
    <row r="141" spans="1:24" ht="13.8" thickBot="1">
      <c r="A141" s="13">
        <v>45649</v>
      </c>
      <c r="B141" s="35">
        <v>693.72430419921795</v>
      </c>
      <c r="C141" s="5">
        <f t="shared" si="0"/>
        <v>2.8822122677802336E-3</v>
      </c>
      <c r="D141" s="24">
        <v>125.84459686279297</v>
      </c>
      <c r="E141" s="5">
        <f t="shared" si="1"/>
        <v>1.7234309908742591E-3</v>
      </c>
      <c r="F141" s="24">
        <v>409.060302734375</v>
      </c>
      <c r="G141" s="5">
        <f t="shared" si="2"/>
        <v>4.9717960654387834E-3</v>
      </c>
      <c r="H141" s="36">
        <v>87.434501647949205</v>
      </c>
      <c r="I141" s="5">
        <f t="shared" si="3"/>
        <v>6.3344744488185393E-3</v>
      </c>
      <c r="J141" s="35"/>
      <c r="K141" s="5" t="e">
        <f t="shared" si="4"/>
        <v>#DIV/0!</v>
      </c>
      <c r="L141" s="36">
        <v>153.68400573730401</v>
      </c>
      <c r="M141" s="5">
        <f t="shared" si="5"/>
        <v>6.8352512505337026E-4</v>
      </c>
      <c r="N141" s="24">
        <v>96.169403076171875</v>
      </c>
      <c r="O141" s="5">
        <f t="shared" si="6"/>
        <v>3.4154734154580799E-3</v>
      </c>
      <c r="P141" s="36">
        <v>17.504999160766602</v>
      </c>
      <c r="Q141" s="5">
        <f t="shared" si="7"/>
        <v>6.1887657396335807E-3</v>
      </c>
      <c r="R141" s="24">
        <v>52.027210235595703</v>
      </c>
      <c r="S141" s="5">
        <f t="shared" si="8"/>
        <v>1.4781474100439571E-3</v>
      </c>
      <c r="T141" s="62">
        <v>153.6840057</v>
      </c>
      <c r="U141" s="5">
        <f>LN(T141/T140)</f>
        <v>6.8352456311097346E-4</v>
      </c>
      <c r="V141" s="59">
        <v>50.57400131</v>
      </c>
      <c r="W141" s="5">
        <f t="shared" ref="V141:W141" si="148">LN(V141/V140)</f>
        <v>-5.3047875862895152E-3</v>
      </c>
      <c r="X141" s="5"/>
    </row>
    <row r="142" spans="1:24" ht="13.8" thickBot="1">
      <c r="A142" s="13">
        <v>45650</v>
      </c>
      <c r="B142" s="35">
        <v>693.96270751953102</v>
      </c>
      <c r="C142" s="5">
        <f t="shared" si="0"/>
        <v>3.4359811779640428E-4</v>
      </c>
      <c r="D142" s="24">
        <v>125.74620056152344</v>
      </c>
      <c r="E142" s="5">
        <f t="shared" si="1"/>
        <v>-7.8219320653746859E-4</v>
      </c>
      <c r="F142" s="24">
        <v>409.10650634765625</v>
      </c>
      <c r="G142" s="5">
        <f t="shared" si="2"/>
        <v>1.1294423781925944E-4</v>
      </c>
      <c r="H142" s="36">
        <v>87.439201354980398</v>
      </c>
      <c r="I142" s="5">
        <f t="shared" si="3"/>
        <v>5.3749728536834908E-5</v>
      </c>
      <c r="J142" s="35"/>
      <c r="K142" s="5" t="e">
        <f t="shared" si="4"/>
        <v>#DIV/0!</v>
      </c>
      <c r="L142" s="36">
        <v>153.940994262695</v>
      </c>
      <c r="M142" s="5">
        <f t="shared" si="5"/>
        <v>1.670791289224759E-3</v>
      </c>
      <c r="N142" s="24">
        <v>96.146697998046875</v>
      </c>
      <c r="O142" s="5">
        <f t="shared" si="6"/>
        <v>-2.3612248900289245E-4</v>
      </c>
      <c r="P142" s="36">
        <v>17.488000869750898</v>
      </c>
      <c r="Q142" s="5">
        <f t="shared" si="7"/>
        <v>-9.7152529579526902E-4</v>
      </c>
      <c r="R142" s="24">
        <v>52.125759124755859</v>
      </c>
      <c r="S142" s="5">
        <f t="shared" si="8"/>
        <v>1.8923880744851794E-3</v>
      </c>
      <c r="T142" s="62">
        <v>153.9409943</v>
      </c>
      <c r="U142" s="5">
        <f>LN(T142/T141)</f>
        <v>1.6707917742896455E-3</v>
      </c>
      <c r="V142" s="59">
        <v>50.724998470000003</v>
      </c>
      <c r="W142" s="5">
        <f t="shared" ref="V142:W142" si="149">LN(V142/V141)</f>
        <v>2.9812194031987884E-3</v>
      </c>
      <c r="X142" s="5"/>
    </row>
    <row r="143" spans="1:24" ht="13.8" thickBot="1">
      <c r="A143" s="13">
        <v>45652</v>
      </c>
      <c r="B143" s="35">
        <v>694.25830078125</v>
      </c>
      <c r="C143" s="5">
        <f t="shared" si="0"/>
        <v>4.2585908788125094E-4</v>
      </c>
      <c r="D143" s="24">
        <v>126.68679809570313</v>
      </c>
      <c r="E143" s="5">
        <f t="shared" si="1"/>
        <v>7.4522894575026191E-3</v>
      </c>
      <c r="F143" s="24">
        <v>408.93148803710938</v>
      </c>
      <c r="G143" s="5">
        <f t="shared" si="2"/>
        <v>-4.2789776127442311E-4</v>
      </c>
      <c r="H143" s="36">
        <v>87.615196228027301</v>
      </c>
      <c r="I143" s="5">
        <f t="shared" si="3"/>
        <v>2.0107456284894991E-3</v>
      </c>
      <c r="J143" s="35"/>
      <c r="K143" s="5" t="e">
        <f t="shared" si="4"/>
        <v>#DIV/0!</v>
      </c>
      <c r="L143" s="36">
        <v>154.065994262695</v>
      </c>
      <c r="M143" s="5">
        <f t="shared" si="5"/>
        <v>8.1166993944537544E-4</v>
      </c>
      <c r="N143" s="24">
        <v>96.190101623535156</v>
      </c>
      <c r="O143" s="5">
        <f t="shared" si="6"/>
        <v>4.5132940041063427E-4</v>
      </c>
      <c r="P143" s="36">
        <v>17.5090007781982</v>
      </c>
      <c r="Q143" s="5">
        <f t="shared" si="7"/>
        <v>1.2000977214532214E-3</v>
      </c>
      <c r="R143" s="24">
        <v>52.217983245849609</v>
      </c>
      <c r="S143" s="5">
        <f t="shared" si="8"/>
        <v>1.7676986278876248E-3</v>
      </c>
      <c r="T143" s="62">
        <v>154.0659943</v>
      </c>
      <c r="U143" s="5">
        <f>LN(T143/T142)</f>
        <v>8.1166993924880351E-4</v>
      </c>
      <c r="V143" s="59">
        <v>50.597000119999997</v>
      </c>
      <c r="W143" s="5">
        <f t="shared" ref="V143:W143" si="150">LN(V143/V142)</f>
        <v>-2.5265671793186189E-3</v>
      </c>
      <c r="X143" s="5"/>
    </row>
    <row r="144" spans="1:24" ht="13.8" thickBot="1">
      <c r="A144" s="13">
        <v>45653</v>
      </c>
      <c r="B144" s="35">
        <v>695.034423828125</v>
      </c>
      <c r="C144" s="5">
        <f t="shared" si="0"/>
        <v>1.1172924378945756E-3</v>
      </c>
      <c r="D144" s="24">
        <v>126.76399993896484</v>
      </c>
      <c r="E144" s="5">
        <f t="shared" si="1"/>
        <v>6.0920578075152531E-4</v>
      </c>
      <c r="F144" s="24">
        <v>408.79379272460938</v>
      </c>
      <c r="G144" s="5">
        <f t="shared" si="2"/>
        <v>-3.367764628071104E-4</v>
      </c>
      <c r="H144" s="36">
        <v>87.601501464843693</v>
      </c>
      <c r="I144" s="5">
        <f t="shared" si="3"/>
        <v>-1.5631801525558468E-4</v>
      </c>
      <c r="J144" s="35"/>
      <c r="K144" s="5" t="e">
        <f t="shared" si="4"/>
        <v>#DIV/0!</v>
      </c>
      <c r="L144" s="36">
        <v>154.17799377441401</v>
      </c>
      <c r="M144" s="5">
        <f t="shared" si="5"/>
        <v>7.2669392425781789E-4</v>
      </c>
      <c r="N144" s="24">
        <v>96.181900024414063</v>
      </c>
      <c r="O144" s="5">
        <f t="shared" si="6"/>
        <v>-8.5268116522164622E-5</v>
      </c>
      <c r="P144" s="36">
        <v>17.504999160766602</v>
      </c>
      <c r="Q144" s="5">
        <f t="shared" si="7"/>
        <v>-2.2857242565806909E-4</v>
      </c>
      <c r="R144" s="24">
        <v>52.204421997070313</v>
      </c>
      <c r="S144" s="5">
        <f t="shared" si="8"/>
        <v>-2.5973829704436445E-4</v>
      </c>
      <c r="T144" s="62">
        <v>154.1779938</v>
      </c>
      <c r="U144" s="5">
        <f>LN(T144/T143)</f>
        <v>7.2669384807218815E-4</v>
      </c>
      <c r="V144" s="59">
        <v>50.83000183</v>
      </c>
      <c r="W144" s="5">
        <f t="shared" ref="V144:W144" si="151">LN(V144/V143)</f>
        <v>4.5944790912536065E-3</v>
      </c>
      <c r="X144" s="5"/>
    </row>
    <row r="145" spans="1:24" ht="13.8" thickBot="1">
      <c r="A145" s="13">
        <v>45656</v>
      </c>
      <c r="B145" s="35">
        <v>692.04577636718705</v>
      </c>
      <c r="C145" s="5">
        <f t="shared" si="0"/>
        <v>-4.3092707767026601E-3</v>
      </c>
      <c r="D145" s="24">
        <v>128.54150390625</v>
      </c>
      <c r="E145" s="5">
        <f t="shared" si="1"/>
        <v>1.3924750244119315E-2</v>
      </c>
      <c r="F145" s="24">
        <v>406.99758911132813</v>
      </c>
      <c r="G145" s="5">
        <f t="shared" si="2"/>
        <v>-4.4035927711016248E-3</v>
      </c>
      <c r="H145" s="36">
        <v>87.960403442382798</v>
      </c>
      <c r="I145" s="5">
        <f t="shared" si="3"/>
        <v>4.0886145283291313E-3</v>
      </c>
      <c r="J145" s="35"/>
      <c r="K145" s="5" t="e">
        <f t="shared" si="4"/>
        <v>#DIV/0!</v>
      </c>
      <c r="L145" s="36">
        <v>154.238998413085</v>
      </c>
      <c r="M145" s="5">
        <f t="shared" si="5"/>
        <v>3.9559843336720761E-4</v>
      </c>
      <c r="N145" s="24">
        <v>95.677696228027344</v>
      </c>
      <c r="O145" s="5">
        <f t="shared" si="6"/>
        <v>-5.2559785068551444E-3</v>
      </c>
      <c r="P145" s="36">
        <v>17.455999374389599</v>
      </c>
      <c r="Q145" s="5">
        <f t="shared" si="7"/>
        <v>-2.8031132126931659E-3</v>
      </c>
      <c r="R145" s="24">
        <v>52.49554443359375</v>
      </c>
      <c r="S145" s="5">
        <f t="shared" si="8"/>
        <v>5.5610941763055569E-3</v>
      </c>
      <c r="T145" s="62">
        <v>154.23899840000001</v>
      </c>
      <c r="U145" s="5">
        <f>LN(T145/T144)</f>
        <v>3.9559818258045937E-4</v>
      </c>
      <c r="V145" s="59">
        <v>50.530998230000002</v>
      </c>
      <c r="W145" s="5">
        <f t="shared" ref="V145:W145" si="152">LN(V145/V144)</f>
        <v>-5.8997931575517099E-3</v>
      </c>
      <c r="X145" s="5"/>
    </row>
    <row r="146" spans="1:24" ht="13.8" thickBot="1">
      <c r="A146" s="13">
        <v>45657</v>
      </c>
      <c r="B146" s="35">
        <v>691.89782714843705</v>
      </c>
      <c r="C146" s="5">
        <f t="shared" si="0"/>
        <v>-2.1380816232368063E-4</v>
      </c>
      <c r="D146" s="24">
        <v>128.27070617675781</v>
      </c>
      <c r="E146" s="5">
        <f t="shared" si="1"/>
        <v>-2.1089170936986422E-3</v>
      </c>
      <c r="F146" s="24">
        <v>408.57119750976563</v>
      </c>
      <c r="G146" s="5">
        <f t="shared" si="2"/>
        <v>3.8589273572261543E-3</v>
      </c>
      <c r="H146" s="36">
        <v>87.672996520996094</v>
      </c>
      <c r="I146" s="5">
        <f t="shared" si="3"/>
        <v>-3.2728077687694717E-3</v>
      </c>
      <c r="J146" s="35"/>
      <c r="K146" s="5" t="e">
        <f t="shared" si="4"/>
        <v>#DIV/0!</v>
      </c>
      <c r="L146" s="36">
        <v>154.38000488281199</v>
      </c>
      <c r="M146" s="5">
        <f t="shared" si="5"/>
        <v>9.1379000018115939E-4</v>
      </c>
      <c r="N146" s="24">
        <v>95.693199157714844</v>
      </c>
      <c r="O146" s="5">
        <f t="shared" si="6"/>
        <v>1.6201972290681916E-4</v>
      </c>
      <c r="P146" s="36">
        <v>17.4340000152587</v>
      </c>
      <c r="Q146" s="5">
        <f t="shared" si="7"/>
        <v>-1.2610697868275604E-3</v>
      </c>
      <c r="R146" s="24">
        <v>52.5389404296875</v>
      </c>
      <c r="S146" s="5">
        <f t="shared" si="8"/>
        <v>8.2631906310545972E-4</v>
      </c>
      <c r="T146" s="62">
        <v>154.38000489999999</v>
      </c>
      <c r="U146" s="5">
        <f>LN(T146/T145)</f>
        <v>9.1379019635253139E-4</v>
      </c>
      <c r="V146" s="59">
        <v>50.819000240000001</v>
      </c>
      <c r="W146" s="5">
        <f t="shared" ref="V146:W146" si="153">LN(V146/V145)</f>
        <v>5.6833308250365264E-3</v>
      </c>
      <c r="X146" s="5"/>
    </row>
    <row r="147" spans="1:24" ht="13.8" thickBot="1">
      <c r="A147" s="12">
        <v>45658</v>
      </c>
      <c r="B147" s="35">
        <v>694.52569580078102</v>
      </c>
      <c r="C147" s="5">
        <f t="shared" si="0"/>
        <v>3.790864416046313E-3</v>
      </c>
      <c r="D147" s="24">
        <v>128.57809448242188</v>
      </c>
      <c r="E147" s="5">
        <f t="shared" si="1"/>
        <v>2.3935362098469145E-3</v>
      </c>
      <c r="F147" s="24">
        <v>409.9075927734375</v>
      </c>
      <c r="G147" s="5">
        <f t="shared" si="2"/>
        <v>3.2655615933730848E-3</v>
      </c>
      <c r="H147" s="36">
        <v>87.945602416992102</v>
      </c>
      <c r="I147" s="5">
        <f t="shared" si="3"/>
        <v>3.1045244250221451E-3</v>
      </c>
      <c r="J147" s="35"/>
      <c r="K147" s="5" t="e">
        <f t="shared" si="4"/>
        <v>#DIV/0!</v>
      </c>
      <c r="L147" s="36">
        <v>155.09800720214801</v>
      </c>
      <c r="M147" s="5">
        <f t="shared" si="5"/>
        <v>4.6400944787172308E-3</v>
      </c>
      <c r="N147" s="24">
        <v>96.111297607421875</v>
      </c>
      <c r="O147" s="5">
        <f t="shared" si="6"/>
        <v>4.3596382667980792E-3</v>
      </c>
      <c r="P147" s="36">
        <v>17.511999130248999</v>
      </c>
      <c r="Q147" s="5">
        <f t="shared" si="7"/>
        <v>4.4639870899491479E-3</v>
      </c>
      <c r="R147" s="24">
        <v>52.542560577392578</v>
      </c>
      <c r="S147" s="5">
        <f t="shared" si="8"/>
        <v>6.8901712895499614E-5</v>
      </c>
      <c r="T147" s="62">
        <v>155.09800720000001</v>
      </c>
      <c r="U147" s="5">
        <f>LN(T147/T146)</f>
        <v>4.6400943535322764E-3</v>
      </c>
      <c r="V147" s="59">
        <v>51.178001399999999</v>
      </c>
      <c r="W147" s="5">
        <f t="shared" ref="V147:W147" si="154">LN(V147/V146)</f>
        <v>7.0394744301830103E-3</v>
      </c>
      <c r="X147" s="5"/>
    </row>
    <row r="148" spans="1:24" ht="13.8" thickBot="1">
      <c r="A148" s="12">
        <v>45659</v>
      </c>
      <c r="B148" s="35">
        <v>702.66632080078102</v>
      </c>
      <c r="C148" s="5">
        <f t="shared" si="0"/>
        <v>1.1652968270862056E-2</v>
      </c>
      <c r="D148" s="24">
        <v>129.99459838867188</v>
      </c>
      <c r="E148" s="5">
        <f t="shared" si="1"/>
        <v>1.0956439836517833E-2</v>
      </c>
      <c r="F148" s="24">
        <v>414.16690063476563</v>
      </c>
      <c r="G148" s="5">
        <f t="shared" si="2"/>
        <v>1.0337283399170082E-2</v>
      </c>
      <c r="H148" s="36">
        <v>89.010597229003906</v>
      </c>
      <c r="I148" s="5">
        <f t="shared" si="3"/>
        <v>1.2036963643008793E-2</v>
      </c>
      <c r="J148" s="35"/>
      <c r="K148" s="5" t="e">
        <f t="shared" si="4"/>
        <v>#DIV/0!</v>
      </c>
      <c r="L148" s="36">
        <v>156.56500244140599</v>
      </c>
      <c r="M148" s="5">
        <f t="shared" si="5"/>
        <v>9.414053180178128E-3</v>
      </c>
      <c r="N148" s="24">
        <v>97.568099975585938</v>
      </c>
      <c r="O148" s="5">
        <f t="shared" si="6"/>
        <v>1.5043725463478536E-2</v>
      </c>
      <c r="P148" s="36">
        <v>17.764999389648398</v>
      </c>
      <c r="Q148" s="5">
        <f t="shared" si="7"/>
        <v>1.4343884561458173E-2</v>
      </c>
      <c r="R148" s="24">
        <v>53.075984954833984</v>
      </c>
      <c r="S148" s="5">
        <f t="shared" si="8"/>
        <v>1.010104636902579E-2</v>
      </c>
      <c r="T148" s="62">
        <v>156.5650024</v>
      </c>
      <c r="U148" s="5">
        <f>LN(T148/T147)</f>
        <v>9.4140529295622805E-3</v>
      </c>
      <c r="V148" s="59">
        <v>51.59500122</v>
      </c>
      <c r="W148" s="5">
        <f t="shared" ref="V148:W148" si="155">LN(V148/V147)</f>
        <v>8.1150126545405047E-3</v>
      </c>
      <c r="X148" s="5"/>
    </row>
    <row r="149" spans="1:24" ht="13.8" thickBot="1">
      <c r="A149" s="12">
        <v>45660</v>
      </c>
      <c r="B149" s="35">
        <v>703.57110595703102</v>
      </c>
      <c r="C149" s="5">
        <f t="shared" si="0"/>
        <v>1.2868172385209293E-3</v>
      </c>
      <c r="D149" s="24">
        <v>129.1343994140625</v>
      </c>
      <c r="E149" s="5">
        <f t="shared" si="1"/>
        <v>-6.6391808065250297E-3</v>
      </c>
      <c r="F149" s="24">
        <v>412.96820068359375</v>
      </c>
      <c r="G149" s="5">
        <f t="shared" si="2"/>
        <v>-2.8984401422368811E-3</v>
      </c>
      <c r="H149" s="36">
        <v>88.499000549316406</v>
      </c>
      <c r="I149" s="5">
        <f t="shared" si="3"/>
        <v>-5.7641739106277122E-3</v>
      </c>
      <c r="J149" s="35"/>
      <c r="K149" s="5" t="e">
        <f t="shared" si="4"/>
        <v>#DIV/0!</v>
      </c>
      <c r="L149" s="36">
        <v>156.08500671386699</v>
      </c>
      <c r="M149" s="5">
        <f t="shared" si="5"/>
        <v>-3.070501139287001E-3</v>
      </c>
      <c r="N149" s="24">
        <v>97.167098999023438</v>
      </c>
      <c r="O149" s="5">
        <f t="shared" si="6"/>
        <v>-4.1184289791530871E-3</v>
      </c>
      <c r="P149" s="36">
        <v>17.6909999847412</v>
      </c>
      <c r="Q149" s="5">
        <f t="shared" si="7"/>
        <v>-4.1741602920590476E-3</v>
      </c>
      <c r="R149" s="24">
        <v>53.003654479980469</v>
      </c>
      <c r="S149" s="5">
        <f t="shared" si="8"/>
        <v>-1.3637015820980342E-3</v>
      </c>
      <c r="T149" s="62">
        <v>156.08500670000001</v>
      </c>
      <c r="U149" s="5">
        <f>LN(T149/T148)</f>
        <v>-3.070500963664298E-3</v>
      </c>
      <c r="V149" s="59">
        <v>51.652999880000003</v>
      </c>
      <c r="W149" s="5">
        <f t="shared" ref="V149:W149" si="156">LN(V149/V148)</f>
        <v>1.1234825949682319E-3</v>
      </c>
      <c r="X149" s="5"/>
    </row>
    <row r="150" spans="1:24" ht="13.8" thickBot="1">
      <c r="A150" s="12">
        <v>45663</v>
      </c>
      <c r="B150" s="35">
        <v>698.61407470703102</v>
      </c>
      <c r="C150" s="5">
        <f t="shared" si="0"/>
        <v>-7.0704668243908742E-3</v>
      </c>
      <c r="D150" s="24">
        <v>126.03769683837891</v>
      </c>
      <c r="E150" s="5">
        <f t="shared" si="1"/>
        <v>-2.4272674466760773E-2</v>
      </c>
      <c r="F150" s="24">
        <v>405.61349487304688</v>
      </c>
      <c r="G150" s="5">
        <f t="shared" si="2"/>
        <v>-1.7969870966447782E-2</v>
      </c>
      <c r="H150" s="36">
        <v>87.346496582031193</v>
      </c>
      <c r="I150" s="5">
        <f t="shared" si="3"/>
        <v>-1.3108330765087509E-2</v>
      </c>
      <c r="J150" s="35"/>
      <c r="K150" s="5" t="e">
        <f t="shared" si="4"/>
        <v>#DIV/0!</v>
      </c>
      <c r="L150" s="36">
        <v>152.899002075195</v>
      </c>
      <c r="M150" s="5">
        <f t="shared" si="5"/>
        <v>-2.062318740625544E-2</v>
      </c>
      <c r="N150" s="24">
        <v>95.32659912109375</v>
      </c>
      <c r="O150" s="5">
        <f t="shared" si="6"/>
        <v>-1.9123285435350933E-2</v>
      </c>
      <c r="P150" s="36">
        <v>17.3680000305175</v>
      </c>
      <c r="Q150" s="5">
        <f t="shared" si="7"/>
        <v>-1.8426600490857616E-2</v>
      </c>
      <c r="R150" s="24">
        <v>51.814746856689453</v>
      </c>
      <c r="S150" s="5">
        <f t="shared" si="8"/>
        <v>-2.2686066524996544E-2</v>
      </c>
      <c r="T150" s="62">
        <v>152.89900209999999</v>
      </c>
      <c r="U150" s="5">
        <f>LN(T150/T149)</f>
        <v>-2.0623187155181823E-2</v>
      </c>
      <c r="V150" s="59">
        <v>50.023998259999999</v>
      </c>
      <c r="W150" s="5">
        <f t="shared" ref="V150:W150" si="157">LN(V150/V149)</f>
        <v>-3.2045419326655597E-2</v>
      </c>
      <c r="X150" s="5"/>
    </row>
    <row r="151" spans="1:24" ht="13.8" thickBot="1">
      <c r="A151" s="12">
        <v>45664</v>
      </c>
      <c r="B151" s="35">
        <v>701.101806640625</v>
      </c>
      <c r="C151" s="5">
        <f t="shared" si="0"/>
        <v>3.5546278872698369E-3</v>
      </c>
      <c r="D151" s="24">
        <v>126.38400268554688</v>
      </c>
      <c r="E151" s="5">
        <f t="shared" si="1"/>
        <v>2.7438692085023238E-3</v>
      </c>
      <c r="F151" s="24">
        <v>407.11041259765625</v>
      </c>
      <c r="G151" s="5">
        <f t="shared" si="2"/>
        <v>3.6837095687183813E-3</v>
      </c>
      <c r="H151" s="36">
        <v>87.293899536132798</v>
      </c>
      <c r="I151" s="5">
        <f t="shared" si="3"/>
        <v>-6.0234686427401685E-4</v>
      </c>
      <c r="J151" s="35"/>
      <c r="K151" s="5" t="e">
        <f t="shared" si="4"/>
        <v>#DIV/0!</v>
      </c>
      <c r="L151" s="36">
        <v>154.27799987792901</v>
      </c>
      <c r="M151" s="5">
        <f t="shared" si="5"/>
        <v>8.9785827580829026E-3</v>
      </c>
      <c r="N151" s="24">
        <v>95.743598937988281</v>
      </c>
      <c r="O151" s="5">
        <f t="shared" si="6"/>
        <v>4.3648929367015865E-3</v>
      </c>
      <c r="P151" s="36">
        <v>17.4500007629394</v>
      </c>
      <c r="Q151" s="5">
        <f t="shared" si="7"/>
        <v>4.7102580367891873E-3</v>
      </c>
      <c r="R151" s="24">
        <v>52.041679382324219</v>
      </c>
      <c r="S151" s="5">
        <f t="shared" si="8"/>
        <v>4.3701270112202709E-3</v>
      </c>
      <c r="T151" s="62">
        <v>154.2779999</v>
      </c>
      <c r="U151" s="5">
        <f>LN(T151/T150)</f>
        <v>8.9785827389115072E-3</v>
      </c>
      <c r="V151" s="59">
        <v>50.66999817</v>
      </c>
      <c r="W151" s="5">
        <f t="shared" ref="V151:W151" si="158">LN(V151/V150)</f>
        <v>1.283112789008063E-2</v>
      </c>
      <c r="X151" s="5"/>
    </row>
    <row r="152" spans="1:24" ht="13.8" thickBot="1">
      <c r="A152" s="12">
        <v>45665</v>
      </c>
      <c r="B152" s="35">
        <v>700.9873046875</v>
      </c>
      <c r="C152" s="5">
        <f t="shared" si="0"/>
        <v>-1.6333049369608043E-4</v>
      </c>
      <c r="D152" s="24">
        <v>124.37210083007813</v>
      </c>
      <c r="E152" s="5">
        <f t="shared" si="1"/>
        <v>-1.6047027373010926E-2</v>
      </c>
      <c r="F152" s="24">
        <v>406.25830078125</v>
      </c>
      <c r="G152" s="5">
        <f t="shared" si="2"/>
        <v>-2.0952665479530338E-3</v>
      </c>
      <c r="H152" s="36">
        <v>87.342201232910099</v>
      </c>
      <c r="I152" s="5">
        <f t="shared" si="3"/>
        <v>5.5316968022384161E-4</v>
      </c>
      <c r="J152" s="35"/>
      <c r="K152" s="5" t="e">
        <f t="shared" si="4"/>
        <v>#DIV/0!</v>
      </c>
      <c r="L152" s="36">
        <v>152.53700256347599</v>
      </c>
      <c r="M152" s="5">
        <f t="shared" si="5"/>
        <v>-1.1348962645971163E-2</v>
      </c>
      <c r="N152" s="24">
        <v>95.413803100585938</v>
      </c>
      <c r="O152" s="5">
        <f t="shared" si="6"/>
        <v>-3.4505194263989951E-3</v>
      </c>
      <c r="P152" s="36">
        <v>17.363000869750898</v>
      </c>
      <c r="Q152" s="5">
        <f t="shared" si="7"/>
        <v>-4.9981369156895912E-3</v>
      </c>
      <c r="R152" s="24">
        <v>51.502826690673828</v>
      </c>
      <c r="S152" s="5">
        <f t="shared" si="8"/>
        <v>-1.0408230752702721E-2</v>
      </c>
      <c r="T152" s="62">
        <v>152.53700259999999</v>
      </c>
      <c r="U152" s="5">
        <f>LN(T152/T151)</f>
        <v>-1.1348962549587498E-2</v>
      </c>
      <c r="V152" s="59">
        <v>50.027999880000003</v>
      </c>
      <c r="W152" s="5">
        <f t="shared" ref="V152:W152" si="159">LN(V152/V151)</f>
        <v>-1.2751137083769291E-2</v>
      </c>
      <c r="X152" s="5"/>
    </row>
    <row r="153" spans="1:24" ht="13.8" thickBot="1">
      <c r="A153" s="12">
        <v>45666</v>
      </c>
      <c r="B153" s="35">
        <v>699.12640380859295</v>
      </c>
      <c r="C153" s="5">
        <f t="shared" si="0"/>
        <v>-2.6582154912020645E-3</v>
      </c>
      <c r="D153" s="24">
        <v>122.49169921875</v>
      </c>
      <c r="E153" s="5">
        <f t="shared" si="1"/>
        <v>-1.5234619088880024E-2</v>
      </c>
      <c r="F153" s="24">
        <v>403.10519409179688</v>
      </c>
      <c r="G153" s="5">
        <f t="shared" si="2"/>
        <v>-7.7916107195147707E-3</v>
      </c>
      <c r="H153" s="36">
        <v>86.990699768066406</v>
      </c>
      <c r="I153" s="5">
        <f t="shared" si="3"/>
        <v>-4.032537050086436E-3</v>
      </c>
      <c r="J153" s="35"/>
      <c r="K153" s="5" t="e">
        <f t="shared" si="4"/>
        <v>#DIV/0!</v>
      </c>
      <c r="L153" s="36">
        <v>151.39700317382801</v>
      </c>
      <c r="M153" s="5">
        <f t="shared" si="5"/>
        <v>-7.5016596645043482E-3</v>
      </c>
      <c r="N153" s="24">
        <v>94.581001281738281</v>
      </c>
      <c r="O153" s="5">
        <f t="shared" si="6"/>
        <v>-8.7666308056659412E-3</v>
      </c>
      <c r="P153" s="36">
        <v>17.270999908447202</v>
      </c>
      <c r="Q153" s="5">
        <f t="shared" si="7"/>
        <v>-5.3127663933743036E-3</v>
      </c>
      <c r="R153" s="24">
        <v>51.161075592041016</v>
      </c>
      <c r="S153" s="5">
        <f t="shared" si="8"/>
        <v>-6.6576927892391946E-3</v>
      </c>
      <c r="T153" s="62">
        <v>151.3970032</v>
      </c>
      <c r="U153" s="5">
        <f>LN(T153/T152)</f>
        <v>-7.5016597310780374E-3</v>
      </c>
      <c r="V153" s="59">
        <v>49.405998230000002</v>
      </c>
      <c r="W153" s="5">
        <f t="shared" ref="V153:W153" si="160">LN(V153/V152)</f>
        <v>-1.2511007805220645E-2</v>
      </c>
      <c r="X153" s="5"/>
    </row>
    <row r="154" spans="1:24" ht="13.8" thickBot="1">
      <c r="A154" s="13">
        <v>45667</v>
      </c>
      <c r="B154" s="35">
        <v>696.70251464843705</v>
      </c>
      <c r="C154" s="5">
        <f t="shared" si="0"/>
        <v>-3.4730496904483489E-3</v>
      </c>
      <c r="D154" s="24">
        <v>120.40560150146484</v>
      </c>
      <c r="E154" s="5">
        <f t="shared" si="1"/>
        <v>-1.7177210318223543E-2</v>
      </c>
      <c r="F154" s="24">
        <v>398.93539428710938</v>
      </c>
      <c r="G154" s="5">
        <f t="shared" si="2"/>
        <v>-1.0398070708367825E-2</v>
      </c>
      <c r="H154" s="36">
        <v>86.277702331542898</v>
      </c>
      <c r="I154" s="5">
        <f t="shared" si="3"/>
        <v>-8.230022928013888E-3</v>
      </c>
      <c r="J154" s="35"/>
      <c r="K154" s="5" t="e">
        <f t="shared" si="4"/>
        <v>#DIV/0!</v>
      </c>
      <c r="L154" s="36">
        <v>149.093994140625</v>
      </c>
      <c r="M154" s="5">
        <f t="shared" si="5"/>
        <v>-1.5328606498774613E-2</v>
      </c>
      <c r="N154" s="24">
        <v>93.727096557617188</v>
      </c>
      <c r="O154" s="5">
        <f t="shared" si="6"/>
        <v>-9.0692921532608238E-3</v>
      </c>
      <c r="P154" s="36">
        <v>17.096000671386701</v>
      </c>
      <c r="Q154" s="5">
        <f t="shared" si="7"/>
        <v>-1.0184231772414768E-2</v>
      </c>
      <c r="R154" s="24">
        <v>50.391670227050781</v>
      </c>
      <c r="S154" s="5">
        <f t="shared" si="8"/>
        <v>-1.515311242636562E-2</v>
      </c>
      <c r="T154" s="62">
        <v>149.0939941</v>
      </c>
      <c r="U154" s="5">
        <f>LN(T154/T153)</f>
        <v>-1.5328606944123649E-2</v>
      </c>
      <c r="V154" s="59">
        <v>48.236999509999997</v>
      </c>
      <c r="W154" s="5">
        <f t="shared" ref="V154:W154" si="161">LN(V154/V153)</f>
        <v>-2.3945487210575992E-2</v>
      </c>
      <c r="X154" s="5"/>
    </row>
    <row r="155" spans="1:24" ht="13.8" thickBot="1">
      <c r="A155" s="13">
        <v>45670</v>
      </c>
      <c r="B155" s="35">
        <v>689.85339355468705</v>
      </c>
      <c r="C155" s="5">
        <f t="shared" si="0"/>
        <v>-9.8794094935263886E-3</v>
      </c>
      <c r="D155" s="24">
        <v>114.41819763183594</v>
      </c>
      <c r="E155" s="5">
        <f t="shared" si="1"/>
        <v>-5.1005919387323982E-2</v>
      </c>
      <c r="F155" s="24">
        <v>391.46951293945313</v>
      </c>
      <c r="G155" s="5">
        <f t="shared" si="2"/>
        <v>-1.8891844741718553E-2</v>
      </c>
      <c r="H155" s="36">
        <v>85.094398498535099</v>
      </c>
      <c r="I155" s="5">
        <f t="shared" si="3"/>
        <v>-1.3809979960792244E-2</v>
      </c>
      <c r="J155" s="35"/>
      <c r="K155" s="5" t="e">
        <f t="shared" si="4"/>
        <v>#DIV/0!</v>
      </c>
      <c r="L155" s="36">
        <v>142.86799621582</v>
      </c>
      <c r="M155" s="5">
        <f t="shared" si="5"/>
        <v>-4.2655839660697012E-2</v>
      </c>
      <c r="N155" s="24">
        <v>91.9219970703125</v>
      </c>
      <c r="O155" s="5">
        <f t="shared" si="6"/>
        <v>-1.9446972135345575E-2</v>
      </c>
      <c r="P155" s="36">
        <v>16.812999725341701</v>
      </c>
      <c r="Q155" s="5">
        <f t="shared" si="7"/>
        <v>-1.6692176927688488E-2</v>
      </c>
      <c r="R155" s="24">
        <v>48.678375244140625</v>
      </c>
      <c r="S155" s="5">
        <f t="shared" si="8"/>
        <v>-3.4590996833254173E-2</v>
      </c>
      <c r="T155" s="62">
        <v>142.86799619999999</v>
      </c>
      <c r="U155" s="5">
        <f>LN(T155/T154)</f>
        <v>-4.2655839498949598E-2</v>
      </c>
      <c r="V155" s="59">
        <v>46.450000760000002</v>
      </c>
      <c r="W155" s="5">
        <f t="shared" ref="V155:W155" si="162">LN(V155/V154)</f>
        <v>-3.7749869650680105E-2</v>
      </c>
      <c r="X155" s="5"/>
    </row>
    <row r="156" spans="1:24" ht="13.8" thickBot="1">
      <c r="A156" s="13">
        <v>45671</v>
      </c>
      <c r="B156" s="35">
        <v>693.36212158203102</v>
      </c>
      <c r="C156" s="5">
        <f t="shared" si="0"/>
        <v>5.073302771257701E-3</v>
      </c>
      <c r="D156" s="24">
        <v>115.69850158691406</v>
      </c>
      <c r="E156" s="5">
        <f t="shared" si="1"/>
        <v>1.1127546764277402E-2</v>
      </c>
      <c r="F156" s="24">
        <v>395.59039306640625</v>
      </c>
      <c r="G156" s="5">
        <f t="shared" si="2"/>
        <v>1.0471675032697442E-2</v>
      </c>
      <c r="H156" s="36">
        <v>85.378402709960895</v>
      </c>
      <c r="I156" s="5">
        <f t="shared" si="3"/>
        <v>3.3319623090956735E-3</v>
      </c>
      <c r="J156" s="35"/>
      <c r="K156" s="5" t="e">
        <f t="shared" si="4"/>
        <v>#DIV/0!</v>
      </c>
      <c r="L156" s="36">
        <v>144.43800354003901</v>
      </c>
      <c r="M156" s="5">
        <f t="shared" si="5"/>
        <v>1.0929273690830242E-2</v>
      </c>
      <c r="N156" s="24">
        <v>92.595100402832031</v>
      </c>
      <c r="O156" s="5">
        <f t="shared" si="6"/>
        <v>7.2958693529498438E-3</v>
      </c>
      <c r="P156" s="36">
        <v>16.9300003051757</v>
      </c>
      <c r="Q156" s="5">
        <f t="shared" si="7"/>
        <v>6.9348338100553792E-3</v>
      </c>
      <c r="R156" s="24">
        <v>49.329338073730469</v>
      </c>
      <c r="S156" s="5">
        <f t="shared" si="8"/>
        <v>1.3284105512459548E-2</v>
      </c>
      <c r="T156" s="62">
        <v>144.43800350000001</v>
      </c>
      <c r="U156" s="5">
        <f>LN(T156/T155)</f>
        <v>1.0929273524356508E-2</v>
      </c>
      <c r="V156" s="59">
        <v>47.340999600000004</v>
      </c>
      <c r="W156" s="5">
        <f t="shared" ref="V156:W156" si="163">LN(V156/V155)</f>
        <v>1.9000237577254022E-2</v>
      </c>
      <c r="X156" s="5"/>
    </row>
    <row r="157" spans="1:24" ht="13.8" thickBot="1">
      <c r="A157" s="13">
        <v>45672</v>
      </c>
      <c r="B157" s="35">
        <v>695.690185546875</v>
      </c>
      <c r="C157" s="5">
        <f t="shared" si="0"/>
        <v>3.3520208457922113E-3</v>
      </c>
      <c r="D157" s="24">
        <v>115.59210205078125</v>
      </c>
      <c r="E157" s="5">
        <f t="shared" si="1"/>
        <v>-9.2005072376412107E-4</v>
      </c>
      <c r="F157" s="24">
        <v>396.48959350585938</v>
      </c>
      <c r="G157" s="5">
        <f t="shared" si="2"/>
        <v>2.2704798530053917E-3</v>
      </c>
      <c r="H157" s="36">
        <v>86.018798828125</v>
      </c>
      <c r="I157" s="5">
        <f t="shared" si="3"/>
        <v>7.4726902475629698E-3</v>
      </c>
      <c r="J157" s="35"/>
      <c r="K157" s="5" t="e">
        <f t="shared" si="4"/>
        <v>#DIV/0!</v>
      </c>
      <c r="L157" s="36">
        <v>145.05299377441401</v>
      </c>
      <c r="M157" s="5">
        <f t="shared" si="5"/>
        <v>4.248775714858574E-3</v>
      </c>
      <c r="N157" s="24">
        <v>92.946296691894531</v>
      </c>
      <c r="O157" s="5">
        <f t="shared" si="6"/>
        <v>3.785642600307621E-3</v>
      </c>
      <c r="P157" s="36">
        <v>16.982000350952099</v>
      </c>
      <c r="Q157" s="5">
        <f t="shared" si="7"/>
        <v>3.0667660725152892E-3</v>
      </c>
      <c r="R157" s="24">
        <v>49.432407379150391</v>
      </c>
      <c r="S157" s="5">
        <f t="shared" si="8"/>
        <v>2.087232103200744E-3</v>
      </c>
      <c r="T157" s="62">
        <v>145.0529938</v>
      </c>
      <c r="U157" s="5">
        <f>LN(T157/T156)</f>
        <v>4.2487761684546392E-3</v>
      </c>
      <c r="V157" s="59">
        <v>47.526000979999999</v>
      </c>
      <c r="W157" s="5">
        <f t="shared" ref="V157:W157" si="164">LN(V157/V156)</f>
        <v>3.9002311317088952E-3</v>
      </c>
      <c r="X157" s="5"/>
    </row>
    <row r="158" spans="1:24" ht="13.8" thickBot="1">
      <c r="A158" s="13">
        <v>45673</v>
      </c>
      <c r="B158" s="35">
        <v>699.5537109375</v>
      </c>
      <c r="C158" s="5">
        <f t="shared" si="0"/>
        <v>5.5381503911098107E-3</v>
      </c>
      <c r="D158" s="24">
        <v>115.64289855957031</v>
      </c>
      <c r="E158" s="5">
        <f t="shared" si="1"/>
        <v>4.3934966135821967E-4</v>
      </c>
      <c r="F158" s="24">
        <v>399.54360961914063</v>
      </c>
      <c r="G158" s="5">
        <f t="shared" si="2"/>
        <v>7.6731249036186425E-3</v>
      </c>
      <c r="H158" s="36">
        <v>86.041900634765597</v>
      </c>
      <c r="I158" s="5">
        <f t="shared" si="3"/>
        <v>2.6853089463824029E-4</v>
      </c>
      <c r="J158" s="35"/>
      <c r="K158" s="5" t="e">
        <f t="shared" si="4"/>
        <v>#DIV/0!</v>
      </c>
      <c r="L158" s="36">
        <v>145.90699768066401</v>
      </c>
      <c r="M158" s="5">
        <f t="shared" si="5"/>
        <v>5.8702665915986076E-3</v>
      </c>
      <c r="N158" s="24">
        <v>93.576400756835938</v>
      </c>
      <c r="O158" s="5">
        <f t="shared" si="6"/>
        <v>6.7563515914057697E-3</v>
      </c>
      <c r="P158" s="36">
        <v>17.100000381469702</v>
      </c>
      <c r="Q158" s="5">
        <f t="shared" si="7"/>
        <v>6.9245055734892319E-3</v>
      </c>
      <c r="R158" s="24">
        <v>49.933284759521484</v>
      </c>
      <c r="S158" s="5">
        <f t="shared" si="8"/>
        <v>1.0081580713473686E-2</v>
      </c>
      <c r="T158" s="62">
        <v>145.90699770000001</v>
      </c>
      <c r="U158" s="5">
        <f>LN(T158/T157)</f>
        <v>5.8702665477306229E-3</v>
      </c>
      <c r="V158" s="59">
        <v>48.030998230000002</v>
      </c>
      <c r="W158" s="5">
        <f t="shared" ref="V158:W158" si="165">LN(V158/V157)</f>
        <v>1.0569648598935711E-2</v>
      </c>
      <c r="X158" s="5"/>
    </row>
    <row r="159" spans="1:24" ht="13.8" thickBot="1">
      <c r="A159" s="13">
        <v>45674</v>
      </c>
      <c r="B159" s="35">
        <v>698.4716796875</v>
      </c>
      <c r="C159" s="5">
        <f t="shared" si="0"/>
        <v>-1.5479425099328133E-3</v>
      </c>
      <c r="D159" s="24">
        <v>114.943603515625</v>
      </c>
      <c r="E159" s="5">
        <f t="shared" si="1"/>
        <v>-6.0653783417810034E-3</v>
      </c>
      <c r="F159" s="24">
        <v>399.14401245117188</v>
      </c>
      <c r="G159" s="5">
        <f t="shared" si="2"/>
        <v>-1.0006345165960286E-3</v>
      </c>
      <c r="H159" s="36">
        <v>85.923599243164006</v>
      </c>
      <c r="I159" s="5">
        <f t="shared" si="3"/>
        <v>-1.3758737694234567E-3</v>
      </c>
      <c r="J159" s="35"/>
      <c r="K159" s="5" t="e">
        <f t="shared" si="4"/>
        <v>#DIV/0!</v>
      </c>
      <c r="L159" s="36">
        <v>145.31700134277301</v>
      </c>
      <c r="M159" s="5">
        <f t="shared" si="5"/>
        <v>-4.0518442645874082E-3</v>
      </c>
      <c r="N159" s="24">
        <v>93.415802001953125</v>
      </c>
      <c r="O159" s="5">
        <f t="shared" si="6"/>
        <v>-1.7177057866671424E-3</v>
      </c>
      <c r="P159" s="36">
        <v>17.0429992675781</v>
      </c>
      <c r="Q159" s="5">
        <f t="shared" si="7"/>
        <v>-3.338966548624857E-3</v>
      </c>
      <c r="R159" s="24">
        <v>49.794956207275391</v>
      </c>
      <c r="S159" s="5">
        <f t="shared" si="8"/>
        <v>-2.7741117183314097E-3</v>
      </c>
      <c r="T159" s="62">
        <v>145.31700129999999</v>
      </c>
      <c r="U159" s="5">
        <f>LN(T159/T158)</f>
        <v>-4.0518446914530925E-3</v>
      </c>
      <c r="V159" s="59">
        <v>47.993000029999997</v>
      </c>
      <c r="W159" s="5">
        <f t="shared" ref="V159:W159" si="166">LN(V159/V158)</f>
        <v>-7.9143136449093916E-4</v>
      </c>
      <c r="X159" s="5"/>
    </row>
    <row r="160" spans="1:24" ht="13.8" thickBot="1">
      <c r="A160" s="13">
        <v>45677</v>
      </c>
      <c r="B160" s="35">
        <v>700.56481933593705</v>
      </c>
      <c r="C160" s="5">
        <f t="shared" si="0"/>
        <v>2.992261047747751E-3</v>
      </c>
      <c r="D160" s="24">
        <v>115.59169769287109</v>
      </c>
      <c r="E160" s="5">
        <f t="shared" si="1"/>
        <v>5.6225305295091914E-3</v>
      </c>
      <c r="F160" s="24">
        <v>401.48919677734375</v>
      </c>
      <c r="G160" s="5">
        <f t="shared" si="2"/>
        <v>5.8583406393680577E-3</v>
      </c>
      <c r="H160" s="36">
        <v>86.356101989746094</v>
      </c>
      <c r="I160" s="5">
        <f t="shared" si="3"/>
        <v>5.0209473559514432E-3</v>
      </c>
      <c r="J160" s="35"/>
      <c r="K160" s="5" t="e">
        <f t="shared" si="4"/>
        <v>#DIV/0!</v>
      </c>
      <c r="L160" s="36">
        <v>145.73300170898401</v>
      </c>
      <c r="M160" s="5">
        <f t="shared" si="5"/>
        <v>2.8586197913427003E-3</v>
      </c>
      <c r="N160" s="24">
        <v>93.633903503417969</v>
      </c>
      <c r="O160" s="5">
        <f t="shared" si="6"/>
        <v>2.3320175748736309E-3</v>
      </c>
      <c r="P160" s="36">
        <v>17.142000198364201</v>
      </c>
      <c r="Q160" s="5">
        <f t="shared" si="7"/>
        <v>5.7920847803559399E-3</v>
      </c>
      <c r="R160" s="24">
        <v>50.048107147216797</v>
      </c>
      <c r="S160" s="5">
        <f t="shared" si="8"/>
        <v>5.0709878866998974E-3</v>
      </c>
      <c r="T160" s="62">
        <v>145.73300169999999</v>
      </c>
      <c r="U160" s="5">
        <f>LN(T160/T159)</f>
        <v>2.858620024038556E-3</v>
      </c>
      <c r="V160" s="59">
        <v>48.384998320000001</v>
      </c>
      <c r="W160" s="5">
        <f t="shared" ref="V160:W160" si="167">LN(V160/V159)</f>
        <v>8.1346460464664753E-3</v>
      </c>
      <c r="X160" s="5"/>
    </row>
    <row r="161" spans="1:24" ht="13.8" thickBot="1">
      <c r="A161" s="13">
        <v>45678</v>
      </c>
      <c r="B161" s="35">
        <v>696.65270996093705</v>
      </c>
      <c r="C161" s="5">
        <f t="shared" si="0"/>
        <v>-5.5998719113429614E-3</v>
      </c>
      <c r="D161" s="24">
        <v>110.74299621582031</v>
      </c>
      <c r="E161" s="5">
        <f t="shared" si="1"/>
        <v>-4.2851967054063682E-2</v>
      </c>
      <c r="F161" s="24">
        <v>396.73800659179688</v>
      </c>
      <c r="G161" s="5">
        <f t="shared" si="2"/>
        <v>-1.1904496052600242E-2</v>
      </c>
      <c r="H161" s="36">
        <v>85.724502563476506</v>
      </c>
      <c r="I161" s="5">
        <f t="shared" si="3"/>
        <v>-7.3407722404675319E-3</v>
      </c>
      <c r="J161" s="35"/>
      <c r="K161" s="5" t="e">
        <f t="shared" si="4"/>
        <v>#DIV/0!</v>
      </c>
      <c r="L161" s="36">
        <v>142.79899597167901</v>
      </c>
      <c r="M161" s="5">
        <f t="shared" si="5"/>
        <v>-2.0338173205650203E-2</v>
      </c>
      <c r="N161" s="24">
        <v>91.900802612304688</v>
      </c>
      <c r="O161" s="5">
        <f t="shared" si="6"/>
        <v>-1.8682771952422034E-2</v>
      </c>
      <c r="P161" s="36">
        <v>16.850999832153299</v>
      </c>
      <c r="Q161" s="5">
        <f t="shared" si="7"/>
        <v>-1.7121611790746689E-2</v>
      </c>
      <c r="R161" s="24">
        <v>49.325721740722656</v>
      </c>
      <c r="S161" s="5">
        <f t="shared" si="8"/>
        <v>-1.4539001656815102E-2</v>
      </c>
      <c r="T161" s="62">
        <v>142.79899599999999</v>
      </c>
      <c r="U161" s="5">
        <f>LN(T161/T160)</f>
        <v>-2.0338172945675411E-2</v>
      </c>
      <c r="V161" s="59">
        <v>47.458000179999999</v>
      </c>
      <c r="W161" s="5">
        <f t="shared" ref="V161:W161" si="168">LN(V161/V160)</f>
        <v>-1.9344700449007522E-2</v>
      </c>
      <c r="X161" s="5"/>
    </row>
    <row r="162" spans="1:24" ht="13.8" thickBot="1">
      <c r="A162" s="13">
        <v>45679</v>
      </c>
      <c r="B162" s="35">
        <v>697.87738037109295</v>
      </c>
      <c r="C162" s="5">
        <f t="shared" si="0"/>
        <v>1.7563919681329054E-3</v>
      </c>
      <c r="D162" s="24">
        <v>108.85330200195313</v>
      </c>
      <c r="E162" s="5">
        <f t="shared" si="1"/>
        <v>-1.7211044777032801E-2</v>
      </c>
      <c r="F162" s="24">
        <v>395.59698486328125</v>
      </c>
      <c r="G162" s="5">
        <f t="shared" si="2"/>
        <v>-2.8801517781701191E-3</v>
      </c>
      <c r="H162" s="36">
        <v>86.299697875976506</v>
      </c>
      <c r="I162" s="5">
        <f t="shared" si="3"/>
        <v>6.6874015941297132E-3</v>
      </c>
      <c r="J162" s="35"/>
      <c r="K162" s="5" t="e">
        <f t="shared" si="4"/>
        <v>#DIV/0!</v>
      </c>
      <c r="L162" s="36">
        <v>141.06100463867099</v>
      </c>
      <c r="M162" s="5">
        <f t="shared" si="5"/>
        <v>-1.2245565049152854E-2</v>
      </c>
      <c r="N162" s="24">
        <v>91.922897338867188</v>
      </c>
      <c r="O162" s="5">
        <f t="shared" si="6"/>
        <v>2.403904031392171E-4</v>
      </c>
      <c r="P162" s="36">
        <v>16.893999099731399</v>
      </c>
      <c r="Q162" s="5">
        <f t="shared" si="7"/>
        <v>2.5484837582848831E-3</v>
      </c>
      <c r="R162" s="24">
        <v>48.954132080078125</v>
      </c>
      <c r="S162" s="5">
        <f t="shared" si="8"/>
        <v>-7.5619044370863258E-3</v>
      </c>
      <c r="T162" s="62">
        <v>141.06100459999999</v>
      </c>
      <c r="U162" s="5">
        <f>LN(T162/T161)</f>
        <v>-1.224556552162436E-2</v>
      </c>
      <c r="V162" s="59">
        <v>46.876998899999997</v>
      </c>
      <c r="W162" s="5">
        <f t="shared" ref="V162:W162" si="169">LN(V162/V161)</f>
        <v>-1.2317986581013697E-2</v>
      </c>
      <c r="X162" s="5"/>
    </row>
    <row r="163" spans="1:24" ht="13.8" thickBot="1">
      <c r="A163" s="13">
        <v>45680</v>
      </c>
      <c r="B163" s="35">
        <v>699.091796875</v>
      </c>
      <c r="C163" s="5">
        <f t="shared" si="0"/>
        <v>1.7386451034250995E-3</v>
      </c>
      <c r="D163" s="24">
        <v>112.5885009765625</v>
      </c>
      <c r="E163" s="5">
        <f t="shared" si="1"/>
        <v>3.3738465162597792E-2</v>
      </c>
      <c r="F163" s="24">
        <v>398.04049682617188</v>
      </c>
      <c r="G163" s="5">
        <f t="shared" si="2"/>
        <v>6.1577728884695711E-3</v>
      </c>
      <c r="H163" s="36">
        <v>86.411102294921804</v>
      </c>
      <c r="I163" s="5">
        <f t="shared" si="3"/>
        <v>1.290069113057412E-3</v>
      </c>
      <c r="J163" s="35"/>
      <c r="K163" s="5" t="e">
        <f t="shared" si="4"/>
        <v>#DIV/0!</v>
      </c>
      <c r="L163" s="36">
        <v>144.15899658203099</v>
      </c>
      <c r="M163" s="5">
        <f t="shared" si="5"/>
        <v>2.1724379568330753E-2</v>
      </c>
      <c r="N163" s="24">
        <v>92.266700744628906</v>
      </c>
      <c r="O163" s="5">
        <f t="shared" si="6"/>
        <v>3.733151151001386E-3</v>
      </c>
      <c r="P163" s="36">
        <v>16.9239997863769</v>
      </c>
      <c r="Q163" s="5">
        <f t="shared" si="7"/>
        <v>1.7742442192734439E-3</v>
      </c>
      <c r="R163" s="24">
        <v>49.635833740234375</v>
      </c>
      <c r="S163" s="5">
        <f t="shared" si="8"/>
        <v>1.3829247610771402E-2</v>
      </c>
      <c r="T163" s="62">
        <v>144.15899659999999</v>
      </c>
      <c r="U163" s="5">
        <f>LN(T163/T162)</f>
        <v>2.1724379967121583E-2</v>
      </c>
      <c r="V163" s="59">
        <v>47.14599991</v>
      </c>
      <c r="W163" s="5">
        <f t="shared" ref="V163:W163" si="170">LN(V163/V162)</f>
        <v>5.7220413594127684E-3</v>
      </c>
      <c r="X163" s="5"/>
    </row>
    <row r="164" spans="1:24" ht="13.8" thickBot="1">
      <c r="A164" s="13">
        <v>45681</v>
      </c>
      <c r="B164" s="35">
        <v>697.67041015625</v>
      </c>
      <c r="C164" s="5">
        <f t="shared" si="0"/>
        <v>-2.0352601212198472E-3</v>
      </c>
      <c r="D164" s="24">
        <v>110.74649810791016</v>
      </c>
      <c r="E164" s="5">
        <f t="shared" si="1"/>
        <v>-1.6495799092638031E-2</v>
      </c>
      <c r="F164" s="24">
        <v>394.75369262695313</v>
      </c>
      <c r="G164" s="5">
        <f t="shared" si="2"/>
        <v>-8.2917434925652133E-3</v>
      </c>
      <c r="H164" s="36">
        <v>86.120201110839801</v>
      </c>
      <c r="I164" s="5">
        <f t="shared" si="3"/>
        <v>-3.3721586054667159E-3</v>
      </c>
      <c r="J164" s="35"/>
      <c r="K164" s="5" t="e">
        <f t="shared" si="4"/>
        <v>#DIV/0!</v>
      </c>
      <c r="L164" s="36">
        <v>141.51800537109301</v>
      </c>
      <c r="M164" s="5">
        <f t="shared" si="5"/>
        <v>-1.8489877962322123E-2</v>
      </c>
      <c r="N164" s="24">
        <v>91.45880126953125</v>
      </c>
      <c r="O164" s="5">
        <f t="shared" si="6"/>
        <v>-8.7946928825011414E-3</v>
      </c>
      <c r="P164" s="36">
        <v>16.846000671386701</v>
      </c>
      <c r="Q164" s="5">
        <f t="shared" si="7"/>
        <v>-4.6194404877860683E-3</v>
      </c>
      <c r="R164" s="24">
        <v>48.871856689453125</v>
      </c>
      <c r="S164" s="5">
        <f t="shared" si="8"/>
        <v>-1.5511324348434097E-2</v>
      </c>
      <c r="T164" s="62">
        <v>141.51800539999999</v>
      </c>
      <c r="U164" s="5">
        <f>LN(T164/T163)</f>
        <v>-1.8489877882705622E-2</v>
      </c>
      <c r="V164" s="59">
        <v>46.005001069999999</v>
      </c>
      <c r="W164" s="5">
        <f t="shared" ref="V164:W164" si="171">LN(V164/V163)</f>
        <v>-2.4499058448126422E-2</v>
      </c>
      <c r="X164" s="5"/>
    </row>
    <row r="165" spans="1:24" ht="13.8" thickBot="1">
      <c r="A165" s="13">
        <v>45684</v>
      </c>
      <c r="B165" s="35">
        <v>693.63531494140602</v>
      </c>
      <c r="C165" s="5">
        <f t="shared" si="0"/>
        <v>-5.8004598925448193E-3</v>
      </c>
      <c r="D165" s="24">
        <v>107.84140014648438</v>
      </c>
      <c r="E165" s="5">
        <f t="shared" si="1"/>
        <v>-2.6582157998286327E-2</v>
      </c>
      <c r="F165" s="24">
        <v>388.38449096679688</v>
      </c>
      <c r="G165" s="5">
        <f t="shared" si="2"/>
        <v>-1.6266202384736882E-2</v>
      </c>
      <c r="H165" s="36">
        <v>85.270698547363196</v>
      </c>
      <c r="I165" s="5">
        <f t="shared" si="3"/>
        <v>-9.9131228306488656E-3</v>
      </c>
      <c r="J165" s="35"/>
      <c r="K165" s="5" t="e">
        <f t="shared" si="4"/>
        <v>#DIV/0!</v>
      </c>
      <c r="L165" s="36">
        <v>137.21499633789</v>
      </c>
      <c r="M165" s="5">
        <f t="shared" si="5"/>
        <v>-3.0877943353996476E-2</v>
      </c>
      <c r="N165" s="24">
        <v>89.969398498535156</v>
      </c>
      <c r="O165" s="5">
        <f t="shared" si="6"/>
        <v>-1.6419015706368285E-2</v>
      </c>
      <c r="P165" s="36">
        <v>16.596000671386701</v>
      </c>
      <c r="Q165" s="5">
        <f t="shared" si="7"/>
        <v>-1.4951536822189413E-2</v>
      </c>
      <c r="R165" s="24">
        <v>47.7236328125</v>
      </c>
      <c r="S165" s="5">
        <f t="shared" si="8"/>
        <v>-2.377498097408548E-2</v>
      </c>
      <c r="T165" s="62">
        <v>137.2149963</v>
      </c>
      <c r="U165" s="5">
        <f>LN(T165/T164)</f>
        <v>-3.0877943834396064E-2</v>
      </c>
      <c r="V165" s="59">
        <v>44.619998930000001</v>
      </c>
      <c r="W165" s="5">
        <f t="shared" ref="V165:W165" si="172">LN(V165/V164)</f>
        <v>-3.0567944468557446E-2</v>
      </c>
      <c r="X165" s="5"/>
    </row>
    <row r="166" spans="1:24" ht="13.8" thickBot="1">
      <c r="A166" s="13">
        <v>45685</v>
      </c>
      <c r="B166" s="35">
        <v>695.01251220703102</v>
      </c>
      <c r="C166" s="5">
        <f t="shared" si="0"/>
        <v>1.9835089793494016E-3</v>
      </c>
      <c r="D166" s="24">
        <v>106.81379699707031</v>
      </c>
      <c r="E166" s="5">
        <f t="shared" si="1"/>
        <v>-9.5745270856956079E-3</v>
      </c>
      <c r="F166" s="24">
        <v>389.40451049804688</v>
      </c>
      <c r="G166" s="5">
        <f t="shared" si="2"/>
        <v>2.6228710205300873E-3</v>
      </c>
      <c r="H166" s="36">
        <v>85.673698425292898</v>
      </c>
      <c r="I166" s="5">
        <f t="shared" si="3"/>
        <v>4.7149907415727828E-3</v>
      </c>
      <c r="J166" s="35"/>
      <c r="K166" s="5" t="e">
        <f t="shared" si="4"/>
        <v>#DIV/0!</v>
      </c>
      <c r="L166" s="36">
        <v>135.60600280761699</v>
      </c>
      <c r="M166" s="5">
        <f t="shared" si="5"/>
        <v>-1.1795369053749354E-2</v>
      </c>
      <c r="N166" s="24">
        <v>90.222702026367188</v>
      </c>
      <c r="O166" s="5">
        <f t="shared" si="6"/>
        <v>2.8114850090118137E-3</v>
      </c>
      <c r="P166" s="36">
        <v>16.743999481201101</v>
      </c>
      <c r="Q166" s="5">
        <f t="shared" si="7"/>
        <v>8.8782112341799606E-3</v>
      </c>
      <c r="R166" s="24">
        <v>47.558181762695313</v>
      </c>
      <c r="S166" s="5">
        <f t="shared" si="8"/>
        <v>-3.4728813012866689E-3</v>
      </c>
      <c r="T166" s="62">
        <v>135.6060028</v>
      </c>
      <c r="U166" s="5">
        <f>LN(T166/T165)</f>
        <v>-1.1795368833783239E-2</v>
      </c>
      <c r="V166" s="59">
        <v>44.226001740000001</v>
      </c>
      <c r="W166" s="5">
        <f t="shared" ref="V166:W166" si="173">LN(V166/V165)</f>
        <v>-8.8692742455295792E-3</v>
      </c>
      <c r="X166" s="5"/>
    </row>
    <row r="167" spans="1:24" ht="13.8" thickBot="1">
      <c r="A167" s="13">
        <v>45686</v>
      </c>
      <c r="B167" s="35">
        <v>698.53558349609295</v>
      </c>
      <c r="C167" s="5">
        <f t="shared" si="0"/>
        <v>5.0562715499960706E-3</v>
      </c>
      <c r="D167" s="24">
        <v>109.33619689941406</v>
      </c>
      <c r="E167" s="5">
        <f t="shared" si="1"/>
        <v>2.3340406978018525E-2</v>
      </c>
      <c r="F167" s="24">
        <v>392.89199829101563</v>
      </c>
      <c r="G167" s="5">
        <f t="shared" si="2"/>
        <v>8.9160845213136584E-3</v>
      </c>
      <c r="H167" s="36">
        <v>86.324203491210895</v>
      </c>
      <c r="I167" s="5">
        <f t="shared" si="3"/>
        <v>7.5641407283117221E-3</v>
      </c>
      <c r="J167" s="35"/>
      <c r="K167" s="5" t="e">
        <f t="shared" si="4"/>
        <v>#DIV/0!</v>
      </c>
      <c r="L167" s="36">
        <v>139.253005981445</v>
      </c>
      <c r="M167" s="5">
        <f t="shared" si="5"/>
        <v>2.6538822495532806E-2</v>
      </c>
      <c r="N167" s="24">
        <v>91.468803405761719</v>
      </c>
      <c r="O167" s="5">
        <f t="shared" si="6"/>
        <v>1.3716886923369415E-2</v>
      </c>
      <c r="P167" s="36">
        <v>16.8880004882812</v>
      </c>
      <c r="Q167" s="5">
        <f t="shared" si="7"/>
        <v>8.5633852993969983E-3</v>
      </c>
      <c r="R167" s="24">
        <v>48.576213836669922</v>
      </c>
      <c r="S167" s="5">
        <f t="shared" si="8"/>
        <v>2.1180143166134289E-2</v>
      </c>
      <c r="T167" s="62">
        <v>139.253006</v>
      </c>
      <c r="U167" s="5">
        <f>LN(T167/T166)</f>
        <v>2.6538822684949465E-2</v>
      </c>
      <c r="V167" s="59">
        <v>45.513999939999998</v>
      </c>
      <c r="W167" s="5">
        <f t="shared" ref="V167:W167" si="174">LN(V167/V166)</f>
        <v>2.870707884017247E-2</v>
      </c>
      <c r="X167" s="5"/>
    </row>
    <row r="168" spans="1:24" ht="13.8" thickBot="1">
      <c r="A168" s="13">
        <v>45687</v>
      </c>
      <c r="B168" s="35">
        <v>700.49139404296795</v>
      </c>
      <c r="C168" s="5">
        <f t="shared" si="0"/>
        <v>2.79596012426701E-3</v>
      </c>
      <c r="D168" s="24">
        <v>107.75319671630859</v>
      </c>
      <c r="E168" s="5">
        <f t="shared" si="1"/>
        <v>-1.4584114081679622E-2</v>
      </c>
      <c r="F168" s="24">
        <v>392.35598754882813</v>
      </c>
      <c r="G168" s="5">
        <f t="shared" si="2"/>
        <v>-1.3652014016043972E-3</v>
      </c>
      <c r="H168" s="36">
        <v>86.454803466796804</v>
      </c>
      <c r="I168" s="5">
        <f t="shared" si="3"/>
        <v>1.5117577390699635E-3</v>
      </c>
      <c r="J168" s="35"/>
      <c r="K168" s="5" t="e">
        <f t="shared" si="4"/>
        <v>#DIV/0!</v>
      </c>
      <c r="L168" s="36">
        <v>139.33099365234301</v>
      </c>
      <c r="M168" s="5">
        <f t="shared" si="5"/>
        <v>5.5988623207199693E-4</v>
      </c>
      <c r="N168" s="24">
        <v>91.737899780273438</v>
      </c>
      <c r="O168" s="5">
        <f t="shared" si="6"/>
        <v>2.9376279726611582E-3</v>
      </c>
      <c r="P168" s="36">
        <v>17.000999450683501</v>
      </c>
      <c r="Q168" s="5">
        <f t="shared" si="7"/>
        <v>6.6687940858290674E-3</v>
      </c>
      <c r="R168" s="24">
        <v>48.595199584960938</v>
      </c>
      <c r="S168" s="5">
        <f t="shared" si="8"/>
        <v>3.9076818714641197E-4</v>
      </c>
      <c r="T168" s="62">
        <v>139.33099369999999</v>
      </c>
      <c r="U168" s="5">
        <f>LN(T168/T167)</f>
        <v>5.5988644086683956E-4</v>
      </c>
      <c r="V168" s="59">
        <v>45.554000850000001</v>
      </c>
      <c r="W168" s="5">
        <f t="shared" ref="V168:W168" si="175">LN(V168/V167)</f>
        <v>8.784844780934328E-4</v>
      </c>
      <c r="X168" s="5"/>
    </row>
    <row r="169" spans="1:24" ht="13.8" thickBot="1">
      <c r="A169" s="13">
        <v>45688</v>
      </c>
      <c r="B169" s="35">
        <v>705.57958984375</v>
      </c>
      <c r="C169" s="5">
        <f t="shared" si="0"/>
        <v>7.2374980632295737E-3</v>
      </c>
      <c r="D169" s="24">
        <v>109.65110015869141</v>
      </c>
      <c r="E169" s="5">
        <f t="shared" si="1"/>
        <v>1.7460111736012557E-2</v>
      </c>
      <c r="F169" s="24">
        <v>396.20208740234375</v>
      </c>
      <c r="G169" s="5">
        <f t="shared" si="2"/>
        <v>9.7548436170852692E-3</v>
      </c>
      <c r="H169" s="36">
        <v>87.434898376464801</v>
      </c>
      <c r="I169" s="5">
        <f t="shared" si="3"/>
        <v>1.1272723778307682E-2</v>
      </c>
      <c r="J169" s="35"/>
      <c r="K169" s="5" t="e">
        <f t="shared" si="4"/>
        <v>#DIV/0!</v>
      </c>
      <c r="L169" s="36">
        <v>141.19400024414</v>
      </c>
      <c r="M169" s="5">
        <f t="shared" si="5"/>
        <v>1.3282481220725449E-2</v>
      </c>
      <c r="N169" s="24">
        <v>92.877197265625</v>
      </c>
      <c r="O169" s="5">
        <f t="shared" si="6"/>
        <v>1.2342565335385825E-2</v>
      </c>
      <c r="P169" s="36">
        <v>17.162000656127901</v>
      </c>
      <c r="Q169" s="5">
        <f t="shared" si="7"/>
        <v>9.4255420716075709E-3</v>
      </c>
      <c r="R169" s="24">
        <v>49.052680969238281</v>
      </c>
      <c r="S169" s="5">
        <f t="shared" si="8"/>
        <v>9.3700903462760193E-3</v>
      </c>
      <c r="T169" s="62">
        <v>141.1940002</v>
      </c>
      <c r="U169" s="5">
        <f>LN(T169/T168)</f>
        <v>1.3282480566064542E-2</v>
      </c>
      <c r="V169" s="59">
        <v>46.366001130000001</v>
      </c>
      <c r="W169" s="5">
        <f t="shared" ref="V169:W169" si="176">LN(V169/V168)</f>
        <v>1.7668002287163389E-2</v>
      </c>
      <c r="X169" s="5"/>
    </row>
    <row r="170" spans="1:24" ht="13.8" thickBot="1">
      <c r="A170" s="12">
        <v>45691</v>
      </c>
      <c r="B170" s="35">
        <v>707.51037597656205</v>
      </c>
      <c r="C170" s="5">
        <f t="shared" si="0"/>
        <v>2.7327167852925589E-3</v>
      </c>
      <c r="D170" s="24">
        <v>110.13500213623047</v>
      </c>
      <c r="E170" s="5">
        <f t="shared" si="1"/>
        <v>4.4033972520308431E-3</v>
      </c>
      <c r="F170" s="24">
        <v>393.0159912109375</v>
      </c>
      <c r="G170" s="5">
        <f t="shared" si="2"/>
        <v>-8.0741016621160028E-3</v>
      </c>
      <c r="H170" s="36">
        <v>87.378997802734304</v>
      </c>
      <c r="I170" s="5">
        <f t="shared" si="3"/>
        <v>-6.3954384471302708E-4</v>
      </c>
      <c r="J170" s="35"/>
      <c r="K170" s="5" t="e">
        <f t="shared" si="4"/>
        <v>#DIV/0!</v>
      </c>
      <c r="L170" s="36">
        <v>139.29699707031199</v>
      </c>
      <c r="M170" s="5">
        <f t="shared" si="5"/>
        <v>-1.3526509698349464E-2</v>
      </c>
      <c r="N170" s="24">
        <v>92.423698425292969</v>
      </c>
      <c r="O170" s="5">
        <f t="shared" si="6"/>
        <v>-4.8947388415891734E-3</v>
      </c>
      <c r="P170" s="36">
        <v>17.069999694824201</v>
      </c>
      <c r="Q170" s="5">
        <f t="shared" si="7"/>
        <v>-5.3751566879179299E-3</v>
      </c>
      <c r="R170" s="24">
        <v>48.481281280517578</v>
      </c>
      <c r="S170" s="5">
        <f t="shared" si="8"/>
        <v>-1.1717071936858668E-2</v>
      </c>
      <c r="T170" s="62">
        <v>139.2969971</v>
      </c>
      <c r="U170" s="5">
        <f>LN(T170/T169)</f>
        <v>-1.3526509172602506E-2</v>
      </c>
      <c r="V170" s="59">
        <v>45.929000850000001</v>
      </c>
      <c r="W170" s="5">
        <f t="shared" ref="V170:W170" si="177">LN(V170/V169)</f>
        <v>-9.4697120386374838E-3</v>
      </c>
      <c r="X170" s="5"/>
    </row>
    <row r="171" spans="1:24" ht="13.8" thickBot="1">
      <c r="A171" s="12">
        <v>45692</v>
      </c>
      <c r="B171" s="35">
        <v>712.88067626953102</v>
      </c>
      <c r="C171" s="5">
        <f t="shared" si="0"/>
        <v>7.5617568471834547E-3</v>
      </c>
      <c r="D171" s="24">
        <v>111.46720123291016</v>
      </c>
      <c r="E171" s="5">
        <f t="shared" si="1"/>
        <v>1.2023482848136436E-2</v>
      </c>
      <c r="F171" s="24">
        <v>397.81399536132813</v>
      </c>
      <c r="G171" s="5">
        <f t="shared" si="2"/>
        <v>1.2134246559186348E-2</v>
      </c>
      <c r="H171" s="36">
        <v>87.992301940917898</v>
      </c>
      <c r="I171" s="5">
        <f t="shared" si="3"/>
        <v>6.9943786626740691E-3</v>
      </c>
      <c r="J171" s="35"/>
      <c r="K171" s="5" t="e">
        <f t="shared" si="4"/>
        <v>#DIV/0!</v>
      </c>
      <c r="L171" s="36">
        <v>141.11999511718699</v>
      </c>
      <c r="M171" s="5">
        <f t="shared" si="5"/>
        <v>1.300223438884226E-2</v>
      </c>
      <c r="N171" s="24">
        <v>93.923103332519531</v>
      </c>
      <c r="O171" s="5">
        <f t="shared" si="6"/>
        <v>1.6092975603362675E-2</v>
      </c>
      <c r="P171" s="36">
        <v>17.343999862670898</v>
      </c>
      <c r="Q171" s="5">
        <f t="shared" si="7"/>
        <v>1.5924098410829028E-2</v>
      </c>
      <c r="R171" s="24">
        <v>49.13043212890625</v>
      </c>
      <c r="S171" s="5">
        <f t="shared" si="8"/>
        <v>1.3300871298424362E-2</v>
      </c>
      <c r="T171" s="62">
        <v>141.11999510000001</v>
      </c>
      <c r="U171" s="5">
        <f>LN(T171/T170)</f>
        <v>1.3002234053925001E-2</v>
      </c>
      <c r="V171" s="59">
        <v>46.558998109999997</v>
      </c>
      <c r="W171" s="5">
        <f t="shared" ref="V171:W171" si="178">LN(V171/V170)</f>
        <v>1.3623540590277152E-2</v>
      </c>
      <c r="X171" s="5"/>
    </row>
    <row r="172" spans="1:24" ht="13.8" thickBot="1">
      <c r="A172" s="12">
        <v>45693</v>
      </c>
      <c r="B172" s="35">
        <v>713.671875</v>
      </c>
      <c r="C172" s="5">
        <f t="shared" si="0"/>
        <v>1.1092459382458677E-3</v>
      </c>
      <c r="D172" s="24">
        <v>111.80370330810547</v>
      </c>
      <c r="E172" s="5">
        <f t="shared" si="1"/>
        <v>3.014296293327398E-3</v>
      </c>
      <c r="F172" s="24">
        <v>398.96600341796875</v>
      </c>
      <c r="G172" s="5">
        <f t="shared" si="2"/>
        <v>2.8916610887186243E-3</v>
      </c>
      <c r="H172" s="36">
        <v>87.715400695800696</v>
      </c>
      <c r="I172" s="5">
        <f t="shared" si="3"/>
        <v>-3.1518421809915154E-3</v>
      </c>
      <c r="J172" s="35"/>
      <c r="K172" s="5" t="e">
        <f t="shared" si="4"/>
        <v>#DIV/0!</v>
      </c>
      <c r="L172" s="36">
        <v>142.60699462890599</v>
      </c>
      <c r="M172" s="5">
        <f t="shared" si="5"/>
        <v>1.0481999812791782E-2</v>
      </c>
      <c r="N172" s="24">
        <v>93.888298034667969</v>
      </c>
      <c r="O172" s="5">
        <f t="shared" si="6"/>
        <v>-3.7064095147196951E-4</v>
      </c>
      <c r="P172" s="36">
        <v>17.357000350952099</v>
      </c>
      <c r="Q172" s="5">
        <f t="shared" si="7"/>
        <v>7.4928611909772793E-4</v>
      </c>
      <c r="R172" s="24">
        <v>49.621364593505859</v>
      </c>
      <c r="S172" s="5">
        <f t="shared" si="8"/>
        <v>9.9428369984710229E-3</v>
      </c>
      <c r="T172" s="62">
        <v>142.60699460000001</v>
      </c>
      <c r="U172" s="5">
        <f>LN(T172/T171)</f>
        <v>1.0481999731884821E-2</v>
      </c>
      <c r="V172" s="59">
        <v>47.248001100000003</v>
      </c>
      <c r="W172" s="5">
        <f t="shared" ref="V172:W172" si="179">LN(V172/V171)</f>
        <v>1.4690063347327849E-2</v>
      </c>
      <c r="X172" s="5"/>
    </row>
    <row r="173" spans="1:24" ht="13.8" thickBot="1">
      <c r="A173" s="12">
        <v>45694</v>
      </c>
      <c r="B173" s="35">
        <v>711.79309082031205</v>
      </c>
      <c r="C173" s="5">
        <f t="shared" si="0"/>
        <v>-2.6360314881906789E-3</v>
      </c>
      <c r="D173" s="24">
        <v>110.24759674072266</v>
      </c>
      <c r="E173" s="5">
        <f t="shared" si="1"/>
        <v>-1.4015968754776514E-2</v>
      </c>
      <c r="F173" s="24">
        <v>398.918212890625</v>
      </c>
      <c r="G173" s="5">
        <f t="shared" si="2"/>
        <v>-1.1979313896449885E-4</v>
      </c>
      <c r="H173" s="36">
        <v>87.744102478027301</v>
      </c>
      <c r="I173" s="5">
        <f t="shared" si="3"/>
        <v>3.2716133311021711E-4</v>
      </c>
      <c r="J173" s="35"/>
      <c r="K173" s="5" t="e">
        <f t="shared" si="4"/>
        <v>#DIV/0!</v>
      </c>
      <c r="L173" s="36">
        <v>141.49299621582</v>
      </c>
      <c r="M173" s="5">
        <f t="shared" si="5"/>
        <v>-7.8423383205360204E-3</v>
      </c>
      <c r="N173" s="24">
        <v>93.489601135253906</v>
      </c>
      <c r="O173" s="5">
        <f t="shared" si="6"/>
        <v>-4.255544574561408E-3</v>
      </c>
      <c r="P173" s="36">
        <v>17.277999877929599</v>
      </c>
      <c r="Q173" s="5">
        <f t="shared" si="7"/>
        <v>-4.5618945867579083E-3</v>
      </c>
      <c r="R173" s="24">
        <v>49.276897430419922</v>
      </c>
      <c r="S173" s="5">
        <f t="shared" si="8"/>
        <v>-6.9661195055750642E-3</v>
      </c>
      <c r="T173" s="62">
        <v>141.49299619999999</v>
      </c>
      <c r="U173" s="5">
        <f>LN(T173/T172)</f>
        <v>-7.8423382296469394E-3</v>
      </c>
      <c r="V173" s="59">
        <v>47.13999939</v>
      </c>
      <c r="W173" s="5">
        <f t="shared" ref="V173:W173" si="180">LN(V173/V172)</f>
        <v>-2.2884637151686141E-3</v>
      </c>
      <c r="X173" s="5"/>
    </row>
    <row r="174" spans="1:24" ht="13.8" thickBot="1">
      <c r="A174" s="12">
        <v>45695</v>
      </c>
      <c r="B174" s="35">
        <v>711.38720703125</v>
      </c>
      <c r="C174" s="5">
        <f t="shared" si="0"/>
        <v>-5.7038985247210455E-4</v>
      </c>
      <c r="D174" s="24">
        <v>111.10659790039063</v>
      </c>
      <c r="E174" s="5">
        <f t="shared" si="1"/>
        <v>7.7613661051832384E-3</v>
      </c>
      <c r="F174" s="24">
        <v>398.3297119140625</v>
      </c>
      <c r="G174" s="5">
        <f t="shared" si="2"/>
        <v>-1.4763314275063079E-3</v>
      </c>
      <c r="H174" s="36">
        <v>87.236000061035099</v>
      </c>
      <c r="I174" s="5">
        <f t="shared" si="3"/>
        <v>-5.807561405157315E-3</v>
      </c>
      <c r="J174" s="35"/>
      <c r="K174" s="5" t="e">
        <f t="shared" si="4"/>
        <v>#DIV/0!</v>
      </c>
      <c r="L174" s="36">
        <v>142.06300354003901</v>
      </c>
      <c r="M174" s="5">
        <f t="shared" si="5"/>
        <v>4.0204269527112551E-3</v>
      </c>
      <c r="N174" s="24">
        <v>93.319000244140625</v>
      </c>
      <c r="O174" s="5">
        <f t="shared" si="6"/>
        <v>-1.8264784092481812E-3</v>
      </c>
      <c r="P174" s="36">
        <v>17.2339992523193</v>
      </c>
      <c r="Q174" s="5">
        <f t="shared" si="7"/>
        <v>-2.5498754380901792E-3</v>
      </c>
      <c r="R174" s="24">
        <v>49.380874633789063</v>
      </c>
      <c r="S174" s="5">
        <f t="shared" si="8"/>
        <v>2.1078368118594812E-3</v>
      </c>
      <c r="T174" s="62">
        <v>142.06300350000001</v>
      </c>
      <c r="U174" s="5">
        <f>LN(T174/T173)</f>
        <v>4.0204267826792362E-3</v>
      </c>
      <c r="V174" s="59">
        <v>46.757999419999997</v>
      </c>
      <c r="W174" s="5">
        <f t="shared" ref="V174:W174" si="181">LN(V174/V173)</f>
        <v>-8.1365328826224787E-3</v>
      </c>
      <c r="X174" s="5"/>
    </row>
    <row r="175" spans="1:24" ht="13.8" thickBot="1">
      <c r="A175" s="13">
        <v>45698</v>
      </c>
      <c r="B175" s="35">
        <v>708.14587402343705</v>
      </c>
      <c r="C175" s="5">
        <f t="shared" si="0"/>
        <v>-4.5667673185434158E-3</v>
      </c>
      <c r="D175" s="24">
        <v>108.76869964599609</v>
      </c>
      <c r="E175" s="5">
        <f t="shared" si="1"/>
        <v>-2.1266475969728769E-2</v>
      </c>
      <c r="F175" s="24">
        <v>394.32101440429688</v>
      </c>
      <c r="G175" s="5">
        <f t="shared" si="2"/>
        <v>-1.0114749292407025E-2</v>
      </c>
      <c r="H175" s="36">
        <v>86.868301391601506</v>
      </c>
      <c r="I175" s="5">
        <f t="shared" si="3"/>
        <v>-4.2238958262444419E-3</v>
      </c>
      <c r="J175" s="35"/>
      <c r="K175" s="5" t="e">
        <f t="shared" si="4"/>
        <v>#DIV/0!</v>
      </c>
      <c r="L175" s="36">
        <v>139.475006103515</v>
      </c>
      <c r="M175" s="5">
        <f t="shared" si="5"/>
        <v>-1.8385228610786133E-2</v>
      </c>
      <c r="N175" s="24">
        <v>92.177299499511719</v>
      </c>
      <c r="O175" s="5">
        <f t="shared" si="6"/>
        <v>-1.2309842980253687E-2</v>
      </c>
      <c r="P175" s="36">
        <v>17.128999710083001</v>
      </c>
      <c r="Q175" s="5">
        <f t="shared" si="7"/>
        <v>-6.1112168431837772E-3</v>
      </c>
      <c r="R175" s="24">
        <v>48.507499694824219</v>
      </c>
      <c r="S175" s="5">
        <f t="shared" si="8"/>
        <v>-1.7844777196598643E-2</v>
      </c>
      <c r="T175" s="62">
        <v>139.4750061</v>
      </c>
      <c r="U175" s="5">
        <f>LN(T175/T174)</f>
        <v>-1.8385228354147996E-2</v>
      </c>
      <c r="V175" s="59">
        <v>45.749000549999998</v>
      </c>
      <c r="W175" s="5">
        <f t="shared" ref="V175:W175" si="182">LN(V175/V174)</f>
        <v>-2.1815406103918543E-2</v>
      </c>
      <c r="X175" s="5"/>
    </row>
    <row r="176" spans="1:24" ht="13.8" thickBot="1">
      <c r="A176" s="13">
        <v>45699</v>
      </c>
      <c r="B176" s="35">
        <v>701.24188232421795</v>
      </c>
      <c r="C176" s="5">
        <f t="shared" si="0"/>
        <v>-9.7972284656710918E-3</v>
      </c>
      <c r="D176" s="24">
        <v>107.04989624023438</v>
      </c>
      <c r="E176" s="5">
        <f t="shared" si="1"/>
        <v>-1.5928560184021192E-2</v>
      </c>
      <c r="F176" s="24">
        <v>387.55661010742188</v>
      </c>
      <c r="G176" s="5">
        <f t="shared" si="2"/>
        <v>-1.7303406211627612E-2</v>
      </c>
      <c r="H176" s="36">
        <v>85.931297302246094</v>
      </c>
      <c r="I176" s="5">
        <f t="shared" si="3"/>
        <v>-1.0845086218964651E-2</v>
      </c>
      <c r="J176" s="35"/>
      <c r="K176" s="5" t="e">
        <f t="shared" si="4"/>
        <v>#DIV/0!</v>
      </c>
      <c r="L176" s="36">
        <v>135.67300415039</v>
      </c>
      <c r="M176" s="5">
        <f t="shared" si="5"/>
        <v>-2.7637808169553638E-2</v>
      </c>
      <c r="N176" s="24">
        <v>90.544296264648438</v>
      </c>
      <c r="O176" s="5">
        <f t="shared" si="6"/>
        <v>-1.7874698468702512E-2</v>
      </c>
      <c r="P176" s="36">
        <v>16.8680000305175</v>
      </c>
      <c r="Q176" s="5">
        <f t="shared" si="7"/>
        <v>-1.5354578896832982E-2</v>
      </c>
      <c r="R176" s="24">
        <v>47.307743072509766</v>
      </c>
      <c r="S176" s="5">
        <f t="shared" si="8"/>
        <v>-2.5044435450131648E-2</v>
      </c>
      <c r="T176" s="62">
        <v>135.67300420000001</v>
      </c>
      <c r="U176" s="5">
        <f>LN(T176/T175)</f>
        <v>-2.7637807778693388E-2</v>
      </c>
      <c r="V176" s="59">
        <v>44.301998140000002</v>
      </c>
      <c r="W176" s="5">
        <f t="shared" ref="V176:W176" si="183">LN(V176/V175)</f>
        <v>-3.2140164806957618E-2</v>
      </c>
      <c r="X176" s="5"/>
    </row>
    <row r="177" spans="1:24" ht="13.8" thickBot="1">
      <c r="A177" s="13">
        <v>45700</v>
      </c>
      <c r="B177" s="35">
        <v>701.81341552734295</v>
      </c>
      <c r="C177" s="5">
        <f t="shared" si="0"/>
        <v>8.1469808868148618E-4</v>
      </c>
      <c r="D177" s="24">
        <v>106.36660003662109</v>
      </c>
      <c r="E177" s="5">
        <f t="shared" si="1"/>
        <v>-6.4034275733009091E-3</v>
      </c>
      <c r="F177" s="24">
        <v>387.235107421875</v>
      </c>
      <c r="G177" s="5">
        <f t="shared" si="2"/>
        <v>-8.2990743634924055E-4</v>
      </c>
      <c r="H177" s="36">
        <v>85.958198547363196</v>
      </c>
      <c r="I177" s="5">
        <f t="shared" si="3"/>
        <v>3.1300627422022916E-4</v>
      </c>
      <c r="J177" s="35"/>
      <c r="K177" s="5" t="e">
        <f t="shared" si="4"/>
        <v>#DIV/0!</v>
      </c>
      <c r="L177" s="36">
        <v>134.60400390625</v>
      </c>
      <c r="M177" s="5">
        <f t="shared" si="5"/>
        <v>-7.9104458512778281E-3</v>
      </c>
      <c r="N177" s="24">
        <v>90.340797424316406</v>
      </c>
      <c r="O177" s="5">
        <f t="shared" si="6"/>
        <v>-2.250035334981389E-3</v>
      </c>
      <c r="P177" s="36">
        <v>16.8589992523193</v>
      </c>
      <c r="Q177" s="5">
        <f t="shared" si="7"/>
        <v>-5.3374320889914987E-4</v>
      </c>
      <c r="R177" s="24">
        <v>47.093467712402344</v>
      </c>
      <c r="S177" s="5">
        <f t="shared" si="8"/>
        <v>-4.5396817757013272E-3</v>
      </c>
      <c r="T177" s="62">
        <v>134.60400390000001</v>
      </c>
      <c r="U177" s="5">
        <f>LN(T177/T176)</f>
        <v>-7.910446263368974E-3</v>
      </c>
      <c r="V177" s="59">
        <v>44.280998230000002</v>
      </c>
      <c r="W177" s="5">
        <f t="shared" ref="V177:W177" si="184">LN(V177/V176)</f>
        <v>-4.7412960170556753E-4</v>
      </c>
      <c r="X177" s="5"/>
    </row>
    <row r="178" spans="1:24" ht="13.8" thickBot="1">
      <c r="A178" s="13">
        <v>45701</v>
      </c>
      <c r="B178" s="35">
        <v>703.89520263671795</v>
      </c>
      <c r="C178" s="5">
        <f t="shared" si="0"/>
        <v>2.9619063359437822E-3</v>
      </c>
      <c r="D178" s="24">
        <v>106.30780029296875</v>
      </c>
      <c r="E178" s="5">
        <f t="shared" si="1"/>
        <v>-5.5295555139161807E-4</v>
      </c>
      <c r="F178" s="24">
        <v>387.43240356445313</v>
      </c>
      <c r="G178" s="5">
        <f t="shared" si="2"/>
        <v>5.0936987558110845E-4</v>
      </c>
      <c r="H178" s="36">
        <v>86.197898864746094</v>
      </c>
      <c r="I178" s="5">
        <f t="shared" si="3"/>
        <v>2.7846875699687563E-3</v>
      </c>
      <c r="J178" s="35"/>
      <c r="K178" s="5" t="e">
        <f t="shared" si="4"/>
        <v>#DIV/0!</v>
      </c>
      <c r="L178" s="36">
        <v>134.59599304199199</v>
      </c>
      <c r="M178" s="5">
        <f t="shared" si="5"/>
        <v>-5.9516079875080946E-5</v>
      </c>
      <c r="N178" s="24">
        <v>90.368301391601563</v>
      </c>
      <c r="O178" s="5">
        <f t="shared" si="6"/>
        <v>3.0440047211520302E-4</v>
      </c>
      <c r="P178" s="36">
        <v>16.867000579833899</v>
      </c>
      <c r="Q178" s="5">
        <f t="shared" si="7"/>
        <v>4.7449016809224275E-4</v>
      </c>
      <c r="R178" s="24">
        <v>47.174835205078125</v>
      </c>
      <c r="S178" s="5">
        <f t="shared" si="8"/>
        <v>1.7262963342818969E-3</v>
      </c>
      <c r="T178" s="62">
        <v>134.59599299999999</v>
      </c>
      <c r="U178" s="5">
        <f>LN(T178/T177)</f>
        <v>-5.9516345428144039E-5</v>
      </c>
      <c r="V178" s="59">
        <v>44.2140007</v>
      </c>
      <c r="W178" s="5">
        <f t="shared" ref="V178:W178" si="185">LN(V178/V177)</f>
        <v>-1.5141543275960852E-3</v>
      </c>
      <c r="X178" s="5"/>
    </row>
    <row r="179" spans="1:24" ht="13.8" thickBot="1">
      <c r="A179" s="13">
        <v>45702</v>
      </c>
      <c r="B179" s="35">
        <v>701.59539794921795</v>
      </c>
      <c r="C179" s="5">
        <f t="shared" si="0"/>
        <v>-3.2726035152477518E-3</v>
      </c>
      <c r="D179" s="24">
        <v>104.60520172119141</v>
      </c>
      <c r="E179" s="5">
        <f t="shared" si="1"/>
        <v>-1.6145382603575165E-2</v>
      </c>
      <c r="F179" s="24">
        <v>383.42230224609375</v>
      </c>
      <c r="G179" s="5">
        <f t="shared" si="2"/>
        <v>-1.0404392586527688E-2</v>
      </c>
      <c r="H179" s="36">
        <v>85.810997009277301</v>
      </c>
      <c r="I179" s="5">
        <f t="shared" si="3"/>
        <v>-4.4986337015082145E-3</v>
      </c>
      <c r="J179" s="35"/>
      <c r="K179" s="5" t="e">
        <f t="shared" si="4"/>
        <v>#DIV/0!</v>
      </c>
      <c r="L179" s="36">
        <v>131.25399780273401</v>
      </c>
      <c r="M179" s="5">
        <f t="shared" si="5"/>
        <v>-2.5143286934267144E-2</v>
      </c>
      <c r="N179" s="24">
        <v>89.5740966796875</v>
      </c>
      <c r="O179" s="5">
        <f t="shared" si="6"/>
        <v>-8.8273789571482308E-3</v>
      </c>
      <c r="P179" s="36">
        <v>16.732000350952099</v>
      </c>
      <c r="Q179" s="5">
        <f t="shared" si="7"/>
        <v>-8.036010097845412E-3</v>
      </c>
      <c r="R179" s="24">
        <v>46.287899017333984</v>
      </c>
      <c r="S179" s="5">
        <f t="shared" si="8"/>
        <v>-1.8980031365560202E-2</v>
      </c>
      <c r="T179" s="62">
        <v>131.25399780000001</v>
      </c>
      <c r="U179" s="5">
        <f>LN(T179/T178)</f>
        <v>-2.5143286643111471E-2</v>
      </c>
      <c r="V179" s="59">
        <v>42.917999270000003</v>
      </c>
      <c r="W179" s="5">
        <f t="shared" ref="V179:W179" si="186">LN(V179/V178)</f>
        <v>-2.9750195499885085E-2</v>
      </c>
      <c r="X179" s="5"/>
    </row>
    <row r="180" spans="1:24" ht="13.8" thickBot="1">
      <c r="A180" s="13">
        <v>45705</v>
      </c>
      <c r="B180" s="35">
        <v>702.29522705078102</v>
      </c>
      <c r="C180" s="5">
        <f t="shared" si="0"/>
        <v>9.9698530222902277E-4</v>
      </c>
      <c r="D180" s="24">
        <v>104.65200042724609</v>
      </c>
      <c r="E180" s="5">
        <f t="shared" si="1"/>
        <v>4.472840729440424E-4</v>
      </c>
      <c r="F180" s="24">
        <v>384.23699951171875</v>
      </c>
      <c r="G180" s="5">
        <f t="shared" si="2"/>
        <v>2.1225498593587487E-3</v>
      </c>
      <c r="H180" s="36">
        <v>85.972000122070298</v>
      </c>
      <c r="I180" s="5">
        <f t="shared" si="3"/>
        <v>1.8744947128073531E-3</v>
      </c>
      <c r="J180" s="35"/>
      <c r="K180" s="5" t="e">
        <f t="shared" si="4"/>
        <v>#DIV/0!</v>
      </c>
      <c r="L180" s="36">
        <v>131.121002197265</v>
      </c>
      <c r="M180" s="5">
        <f t="shared" si="5"/>
        <v>-1.0137826916404283E-3</v>
      </c>
      <c r="N180" s="24">
        <v>89.569297790527344</v>
      </c>
      <c r="O180" s="5">
        <f t="shared" si="6"/>
        <v>-5.3575954340904013E-5</v>
      </c>
      <c r="P180" s="36">
        <v>16.761999130248999</v>
      </c>
      <c r="Q180" s="5">
        <f t="shared" si="7"/>
        <v>1.7912932335977989E-3</v>
      </c>
      <c r="R180" s="24">
        <v>46.399105072021484</v>
      </c>
      <c r="S180" s="5">
        <f t="shared" si="8"/>
        <v>2.3996051904240745E-3</v>
      </c>
      <c r="T180" s="62">
        <v>131.12100219999999</v>
      </c>
      <c r="U180" s="5">
        <f>LN(T180/T179)</f>
        <v>-1.0137826499520557E-3</v>
      </c>
      <c r="V180" s="59">
        <v>42.708999630000001</v>
      </c>
      <c r="W180" s="5">
        <f t="shared" ref="V180:W180" si="187">LN(V180/V179)</f>
        <v>-4.8816391495712687E-3</v>
      </c>
      <c r="X180" s="5"/>
    </row>
    <row r="181" spans="1:24" ht="13.8" thickBot="1">
      <c r="A181" s="13">
        <v>45706</v>
      </c>
      <c r="B181" s="35">
        <v>703.122802734375</v>
      </c>
      <c r="C181" s="5">
        <f t="shared" si="0"/>
        <v>1.1776934146374496E-3</v>
      </c>
      <c r="D181" s="24">
        <v>104.74649810791016</v>
      </c>
      <c r="E181" s="5">
        <f t="shared" si="1"/>
        <v>9.0256317729201288E-4</v>
      </c>
      <c r="F181" s="24">
        <v>383.21209716796875</v>
      </c>
      <c r="G181" s="5">
        <f t="shared" si="2"/>
        <v>-2.6709340267101183E-3</v>
      </c>
      <c r="H181" s="36">
        <v>85.8927001953125</v>
      </c>
      <c r="I181" s="5">
        <f t="shared" si="3"/>
        <v>-9.2281814984649074E-4</v>
      </c>
      <c r="J181" s="35"/>
      <c r="K181" s="5" t="e">
        <f t="shared" si="4"/>
        <v>#DIV/0!</v>
      </c>
      <c r="L181" s="36">
        <v>130.68299865722599</v>
      </c>
      <c r="M181" s="5">
        <f t="shared" si="5"/>
        <v>-3.3460447301584873E-3</v>
      </c>
      <c r="N181" s="24">
        <v>89.535400390625</v>
      </c>
      <c r="O181" s="5">
        <f t="shared" si="6"/>
        <v>-3.7852050394331733E-4</v>
      </c>
      <c r="P181" s="36">
        <v>16.714000701904201</v>
      </c>
      <c r="Q181" s="5">
        <f t="shared" si="7"/>
        <v>-2.8676342142239849E-3</v>
      </c>
      <c r="R181" s="24">
        <v>46.271625518798828</v>
      </c>
      <c r="S181" s="5">
        <f t="shared" si="8"/>
        <v>-2.7512383429147509E-3</v>
      </c>
      <c r="T181" s="62">
        <v>130.68299870000001</v>
      </c>
      <c r="U181" s="5">
        <f>LN(T181/T180)</f>
        <v>-3.3460444237057812E-3</v>
      </c>
      <c r="V181" s="59">
        <v>42.185001370000002</v>
      </c>
      <c r="W181" s="5">
        <f t="shared" ref="V181:W181" si="188">LN(V181/V180)</f>
        <v>-1.2344922101961937E-2</v>
      </c>
      <c r="X181" s="5"/>
    </row>
    <row r="182" spans="1:24" ht="13.8" thickBot="1">
      <c r="A182" s="13">
        <v>45707</v>
      </c>
      <c r="B182" s="35">
        <v>704.43371582031205</v>
      </c>
      <c r="C182" s="5">
        <f t="shared" si="0"/>
        <v>1.8626796830994452E-3</v>
      </c>
      <c r="D182" s="24">
        <v>105.55699920654297</v>
      </c>
      <c r="E182" s="5">
        <f t="shared" si="1"/>
        <v>7.7079565657248231E-3</v>
      </c>
      <c r="F182" s="24">
        <v>384.87899780273438</v>
      </c>
      <c r="G182" s="5">
        <f t="shared" si="2"/>
        <v>4.3403790580549672E-3</v>
      </c>
      <c r="H182" s="36">
        <v>85.751701354980398</v>
      </c>
      <c r="I182" s="5">
        <f t="shared" si="3"/>
        <v>-1.6429183914384998E-3</v>
      </c>
      <c r="J182" s="35"/>
      <c r="K182" s="5" t="e">
        <f t="shared" si="4"/>
        <v>#DIV/0!</v>
      </c>
      <c r="L182" s="36">
        <v>132.350006103515</v>
      </c>
      <c r="M182" s="5">
        <f t="shared" si="5"/>
        <v>1.2675441754124288E-2</v>
      </c>
      <c r="N182" s="24">
        <v>90.040397644042969</v>
      </c>
      <c r="O182" s="5">
        <f t="shared" si="6"/>
        <v>5.6243501649132959E-3</v>
      </c>
      <c r="P182" s="36">
        <v>16.7789993286132</v>
      </c>
      <c r="Q182" s="5">
        <f t="shared" si="7"/>
        <v>3.8813309198129811E-3</v>
      </c>
      <c r="R182" s="24">
        <v>46.710121154785156</v>
      </c>
      <c r="S182" s="5">
        <f t="shared" si="8"/>
        <v>9.4319348137465349E-3</v>
      </c>
      <c r="T182" s="62">
        <v>132.3500061</v>
      </c>
      <c r="U182" s="5">
        <f>LN(T182/T181)</f>
        <v>1.2675441400254523E-2</v>
      </c>
      <c r="V182" s="59">
        <v>43.013999939999998</v>
      </c>
      <c r="W182" s="5">
        <f t="shared" ref="V182:W182" si="189">LN(V182/V181)</f>
        <v>1.9460902610307376E-2</v>
      </c>
      <c r="X182" s="5"/>
    </row>
    <row r="183" spans="1:24" ht="13.8" thickBot="1">
      <c r="A183" s="13">
        <v>45708</v>
      </c>
      <c r="B183" s="35">
        <v>704.47039794921795</v>
      </c>
      <c r="C183" s="5">
        <f t="shared" si="0"/>
        <v>5.2071860044521288E-5</v>
      </c>
      <c r="D183" s="24">
        <v>106.41989898681641</v>
      </c>
      <c r="E183" s="5">
        <f t="shared" si="1"/>
        <v>8.1414961157594574E-3</v>
      </c>
      <c r="F183" s="24">
        <v>384.58770751953125</v>
      </c>
      <c r="G183" s="5">
        <f t="shared" si="2"/>
        <v>-7.571225502107983E-4</v>
      </c>
      <c r="H183" s="36">
        <v>85.927101135253906</v>
      </c>
      <c r="I183" s="5">
        <f t="shared" si="3"/>
        <v>2.0433488439786395E-3</v>
      </c>
      <c r="J183" s="35"/>
      <c r="K183" s="5" t="e">
        <f t="shared" si="4"/>
        <v>#DIV/0!</v>
      </c>
      <c r="L183" s="36">
        <v>133.99099731445301</v>
      </c>
      <c r="M183" s="5">
        <f t="shared" si="5"/>
        <v>1.232263868386989E-2</v>
      </c>
      <c r="N183" s="24">
        <v>90.348899841308594</v>
      </c>
      <c r="O183" s="5">
        <f t="shared" si="6"/>
        <v>3.4204079990883887E-3</v>
      </c>
      <c r="P183" s="36">
        <v>16.7959995269775</v>
      </c>
      <c r="Q183" s="5">
        <f t="shared" si="7"/>
        <v>1.0126701650970131E-3</v>
      </c>
      <c r="R183" s="24">
        <v>47.145000457763672</v>
      </c>
      <c r="S183" s="5">
        <f t="shared" si="8"/>
        <v>9.2671003512136731E-3</v>
      </c>
      <c r="T183" s="62">
        <v>133.9909973</v>
      </c>
      <c r="U183" s="5">
        <f>LN(T183/T182)</f>
        <v>1.2322638602562741E-2</v>
      </c>
      <c r="V183" s="59">
        <v>43.570999149999999</v>
      </c>
      <c r="W183" s="5">
        <f t="shared" ref="V183:W183" si="190">LN(V183/V182)</f>
        <v>1.2866129225865778E-2</v>
      </c>
      <c r="X183" s="5"/>
    </row>
    <row r="184" spans="1:24" ht="13.8" thickBot="1">
      <c r="A184" s="13">
        <v>45709</v>
      </c>
      <c r="B184" s="35">
        <v>702.6279296875</v>
      </c>
      <c r="C184" s="5">
        <f t="shared" si="0"/>
        <v>-2.6188209857618259E-3</v>
      </c>
      <c r="D184" s="24">
        <v>105.08750152587891</v>
      </c>
      <c r="E184" s="5">
        <f t="shared" si="1"/>
        <v>-1.2599228992671178E-2</v>
      </c>
      <c r="F184" s="24">
        <v>382.222412109375</v>
      </c>
      <c r="G184" s="5">
        <f t="shared" si="2"/>
        <v>-6.1692010873198909E-3</v>
      </c>
      <c r="H184" s="36">
        <v>85.157302856445298</v>
      </c>
      <c r="I184" s="5">
        <f t="shared" si="3"/>
        <v>-8.9991075276136222E-3</v>
      </c>
      <c r="J184" s="35"/>
      <c r="K184" s="5" t="e">
        <f t="shared" si="4"/>
        <v>#DIV/0!</v>
      </c>
      <c r="L184" s="36">
        <v>132.52200317382801</v>
      </c>
      <c r="M184" s="5">
        <f t="shared" si="5"/>
        <v>-1.1023920144621746E-2</v>
      </c>
      <c r="N184" s="24">
        <v>89.849502563476563</v>
      </c>
      <c r="O184" s="5">
        <f t="shared" si="6"/>
        <v>-5.5427634176161136E-3</v>
      </c>
      <c r="P184" s="36">
        <v>16.704999923706001</v>
      </c>
      <c r="Q184" s="5">
        <f t="shared" si="7"/>
        <v>-5.4326634175554328E-3</v>
      </c>
      <c r="R184" s="24">
        <v>46.554000854492188</v>
      </c>
      <c r="S184" s="5">
        <f t="shared" si="8"/>
        <v>-1.2615021132609866E-2</v>
      </c>
      <c r="T184" s="62">
        <v>132.5220032</v>
      </c>
      <c r="U184" s="5">
        <f>LN(T184/T183)</f>
        <v>-1.1023919839264583E-2</v>
      </c>
      <c r="V184" s="59">
        <v>43.305999759999999</v>
      </c>
      <c r="W184" s="5">
        <f t="shared" ref="V184:W184" si="191">LN(V184/V183)</f>
        <v>-6.100583933620559E-3</v>
      </c>
      <c r="X184" s="5"/>
    </row>
    <row r="185" spans="1:24" ht="13.8" thickBot="1">
      <c r="A185" s="13">
        <v>45712</v>
      </c>
      <c r="B185" s="35">
        <v>699.04748535156205</v>
      </c>
      <c r="C185" s="5">
        <f t="shared" si="0"/>
        <v>-5.1088177547964526E-3</v>
      </c>
      <c r="D185" s="24">
        <v>104.53769683837891</v>
      </c>
      <c r="E185" s="5">
        <f t="shared" si="1"/>
        <v>-5.2456093304709059E-3</v>
      </c>
      <c r="F185" s="24">
        <v>379.38250732421875</v>
      </c>
      <c r="G185" s="5">
        <f t="shared" si="2"/>
        <v>-7.4577195474059589E-3</v>
      </c>
      <c r="H185" s="36">
        <v>84.562797546386705</v>
      </c>
      <c r="I185" s="5">
        <f t="shared" si="3"/>
        <v>-7.0057434587196508E-3</v>
      </c>
      <c r="J185" s="35"/>
      <c r="K185" s="5" t="e">
        <f t="shared" si="4"/>
        <v>#DIV/0!</v>
      </c>
      <c r="L185" s="36">
        <v>130.76600646972599</v>
      </c>
      <c r="M185" s="5">
        <f t="shared" si="5"/>
        <v>-1.3339177458010058E-2</v>
      </c>
      <c r="N185" s="24">
        <v>88.933403015136719</v>
      </c>
      <c r="O185" s="5">
        <f t="shared" si="6"/>
        <v>-1.0248268013018081E-2</v>
      </c>
      <c r="P185" s="36">
        <v>16.520999908447202</v>
      </c>
      <c r="Q185" s="5">
        <f t="shared" si="7"/>
        <v>-1.1075777834731753E-2</v>
      </c>
      <c r="R185" s="24">
        <v>46.174999237060547</v>
      </c>
      <c r="S185" s="5">
        <f t="shared" si="8"/>
        <v>-8.1744379322061158E-3</v>
      </c>
      <c r="T185" s="62">
        <v>130.7660065</v>
      </c>
      <c r="U185" s="5">
        <f>LN(T185/T184)</f>
        <v>-1.3339177423988888E-2</v>
      </c>
      <c r="V185" s="59">
        <v>42.856998439999998</v>
      </c>
      <c r="W185" s="5">
        <f t="shared" ref="V185:W185" si="192">LN(V185/V184)</f>
        <v>-1.0422232134263857E-2</v>
      </c>
      <c r="X185" s="5"/>
    </row>
    <row r="186" spans="1:24" ht="13.8" thickBot="1">
      <c r="A186" s="13">
        <v>45713</v>
      </c>
      <c r="B186" s="35">
        <v>698.07141113281205</v>
      </c>
      <c r="C186" s="5">
        <f t="shared" si="0"/>
        <v>-1.3972674480459601E-3</v>
      </c>
      <c r="D186" s="24">
        <v>104.18579864501953</v>
      </c>
      <c r="E186" s="5">
        <f t="shared" si="1"/>
        <v>-3.3719110152072261E-3</v>
      </c>
      <c r="F186" s="24">
        <v>378.627197265625</v>
      </c>
      <c r="G186" s="5">
        <f t="shared" si="2"/>
        <v>-1.992877674257387E-3</v>
      </c>
      <c r="H186" s="36">
        <v>84.292800903320298</v>
      </c>
      <c r="I186" s="5">
        <f t="shared" si="3"/>
        <v>-3.1979617572526838E-3</v>
      </c>
      <c r="J186" s="35"/>
      <c r="K186" s="5" t="e">
        <f t="shared" si="4"/>
        <v>#DIV/0!</v>
      </c>
      <c r="L186" s="36">
        <v>130.13000488281199</v>
      </c>
      <c r="M186" s="5">
        <f t="shared" si="5"/>
        <v>-4.8755275595839444E-3</v>
      </c>
      <c r="N186" s="24">
        <v>88.760498046875</v>
      </c>
      <c r="O186" s="5">
        <f t="shared" si="6"/>
        <v>-1.9460996893942582E-3</v>
      </c>
      <c r="P186" s="36">
        <v>16.458999633788999</v>
      </c>
      <c r="Q186" s="5">
        <f t="shared" si="7"/>
        <v>-3.7598755948156726E-3</v>
      </c>
      <c r="R186" s="24">
        <v>45.930000305175781</v>
      </c>
      <c r="S186" s="5">
        <f t="shared" si="8"/>
        <v>-5.3200045804524592E-3</v>
      </c>
      <c r="T186" s="62">
        <v>130.13000489999999</v>
      </c>
      <c r="U186" s="5">
        <f>LN(T186/T185)</f>
        <v>-4.8755276590133866E-3</v>
      </c>
      <c r="V186" s="59">
        <v>42.710998539999999</v>
      </c>
      <c r="W186" s="5">
        <f t="shared" ref="V186:W186" si="193">LN(V186/V185)</f>
        <v>-3.4124917453905407E-3</v>
      </c>
      <c r="X186" s="5"/>
    </row>
    <row r="187" spans="1:24" ht="13.8" thickBot="1">
      <c r="A187" s="13">
        <v>45715</v>
      </c>
      <c r="B187" s="35">
        <v>697.00012207031205</v>
      </c>
      <c r="C187" s="5">
        <f t="shared" si="0"/>
        <v>-1.5358198451873057E-3</v>
      </c>
      <c r="D187" s="24">
        <v>102.22940063476563</v>
      </c>
      <c r="E187" s="5">
        <f t="shared" si="1"/>
        <v>-1.8956516793543939E-2</v>
      </c>
      <c r="F187" s="24">
        <v>377.8756103515625</v>
      </c>
      <c r="G187" s="5">
        <f t="shared" si="2"/>
        <v>-1.9870042880965697E-3</v>
      </c>
      <c r="H187" s="36">
        <v>84.197196960449205</v>
      </c>
      <c r="I187" s="5">
        <f t="shared" si="3"/>
        <v>-1.1348323858208183E-3</v>
      </c>
      <c r="J187" s="35"/>
      <c r="K187" s="5" t="e">
        <f t="shared" si="4"/>
        <v>#DIV/0!</v>
      </c>
      <c r="L187" s="36">
        <v>128.04699707031199</v>
      </c>
      <c r="M187" s="5">
        <f t="shared" si="5"/>
        <v>-1.6136627168236849E-2</v>
      </c>
      <c r="N187" s="24">
        <v>88.432098388671875</v>
      </c>
      <c r="O187" s="5">
        <f t="shared" si="6"/>
        <v>-3.7067015306155911E-3</v>
      </c>
      <c r="P187" s="36">
        <v>16.489000320434499</v>
      </c>
      <c r="Q187" s="5">
        <f t="shared" si="7"/>
        <v>1.8210935400221639E-3</v>
      </c>
      <c r="R187" s="24">
        <v>45.749000549316406</v>
      </c>
      <c r="S187" s="5">
        <f t="shared" si="8"/>
        <v>-3.948559415745641E-3</v>
      </c>
      <c r="T187" s="62">
        <v>128.0469971</v>
      </c>
      <c r="U187" s="5">
        <f>LN(T187/T186)</f>
        <v>-1.6136627068467694E-2</v>
      </c>
      <c r="V187" s="59">
        <v>42.0359993</v>
      </c>
      <c r="W187" s="5">
        <f t="shared" ref="V187:W187" si="194">LN(V187/V186)</f>
        <v>-1.5930086765529559E-2</v>
      </c>
      <c r="X187" s="5"/>
    </row>
    <row r="188" spans="1:24" ht="13.8" thickBot="1">
      <c r="A188" s="13">
        <v>45716</v>
      </c>
      <c r="B188" s="35">
        <v>689.08728027343705</v>
      </c>
      <c r="C188" s="5">
        <f t="shared" si="0"/>
        <v>-1.1417646167030563E-2</v>
      </c>
      <c r="D188" s="24">
        <v>101.21189880371094</v>
      </c>
      <c r="E188" s="5">
        <f t="shared" si="1"/>
        <v>-1.00029867887866E-2</v>
      </c>
      <c r="F188" s="24">
        <v>371.65121459960938</v>
      </c>
      <c r="G188" s="5">
        <f t="shared" si="2"/>
        <v>-1.6609249025598086E-2</v>
      </c>
      <c r="H188" s="36">
        <v>83.491302490234304</v>
      </c>
      <c r="I188" s="5">
        <f t="shared" si="3"/>
        <v>-8.4191658002081542E-3</v>
      </c>
      <c r="J188" s="35"/>
      <c r="K188" s="5" t="e">
        <f t="shared" si="4"/>
        <v>#DIV/0!</v>
      </c>
      <c r="L188" s="36">
        <v>125.41600036621</v>
      </c>
      <c r="M188" s="5">
        <f t="shared" si="5"/>
        <v>-2.0761146456805771E-2</v>
      </c>
      <c r="N188" s="24">
        <v>86.922203063964844</v>
      </c>
      <c r="O188" s="5">
        <f t="shared" si="6"/>
        <v>-1.7221506733672804E-2</v>
      </c>
      <c r="P188" s="36">
        <v>16.1840000152587</v>
      </c>
      <c r="Q188" s="5">
        <f t="shared" si="7"/>
        <v>-1.8670410543788568E-2</v>
      </c>
      <c r="R188" s="24">
        <v>44.804000854492188</v>
      </c>
      <c r="S188" s="5">
        <f t="shared" si="8"/>
        <v>-2.0872505345047192E-2</v>
      </c>
      <c r="T188" s="62">
        <v>125.4160004</v>
      </c>
      <c r="U188" s="5">
        <f>LN(T188/T187)</f>
        <v>-2.0761146419234901E-2</v>
      </c>
      <c r="V188" s="59">
        <v>41.23500061</v>
      </c>
      <c r="W188" s="5">
        <f t="shared" ref="V188:W188" si="195">LN(V188/V187)</f>
        <v>-1.9238952272379942E-2</v>
      </c>
      <c r="X188" s="5"/>
    </row>
    <row r="189" spans="1:24" ht="13.8" thickBot="1">
      <c r="A189" s="12">
        <v>45719</v>
      </c>
      <c r="B189" s="35">
        <v>689.50299072265602</v>
      </c>
      <c r="C189" s="5">
        <f t="shared" si="0"/>
        <v>6.0309501751944726E-4</v>
      </c>
      <c r="D189" s="24">
        <v>101.49800109863281</v>
      </c>
      <c r="E189" s="5">
        <f t="shared" si="1"/>
        <v>2.8227776249049553E-3</v>
      </c>
      <c r="F189" s="24">
        <v>370.710693359375</v>
      </c>
      <c r="G189" s="5">
        <f t="shared" si="2"/>
        <v>-2.5338631558703612E-3</v>
      </c>
      <c r="H189" s="36">
        <v>82.890998840332003</v>
      </c>
      <c r="I189" s="5">
        <f t="shared" si="3"/>
        <v>-7.215986916160262E-3</v>
      </c>
      <c r="J189" s="35"/>
      <c r="K189" s="5" t="e">
        <f t="shared" si="4"/>
        <v>#DIV/0!</v>
      </c>
      <c r="L189" s="36">
        <v>126.449996948242</v>
      </c>
      <c r="M189" s="5">
        <f t="shared" si="5"/>
        <v>8.2107342956732506E-3</v>
      </c>
      <c r="N189" s="24">
        <v>86.983001708984375</v>
      </c>
      <c r="O189" s="5">
        <f t="shared" si="6"/>
        <v>6.9921596166098239E-4</v>
      </c>
      <c r="P189" s="36">
        <v>16.187999725341701</v>
      </c>
      <c r="Q189" s="5">
        <f t="shared" si="7"/>
        <v>2.4710923856448801E-4</v>
      </c>
      <c r="R189" s="24">
        <v>44.812999725341797</v>
      </c>
      <c r="S189" s="5">
        <f t="shared" si="8"/>
        <v>2.0082954844789498E-4</v>
      </c>
      <c r="T189" s="62">
        <v>126.4499969</v>
      </c>
      <c r="U189" s="5">
        <f>LN(T189/T188)</f>
        <v>8.2107336447393292E-3</v>
      </c>
      <c r="V189" s="59">
        <v>40.945999149999999</v>
      </c>
      <c r="W189" s="5">
        <f t="shared" ref="V189:W189" si="196">LN(V189/V188)</f>
        <v>-7.0333204072386378E-3</v>
      </c>
      <c r="X189" s="5"/>
    </row>
    <row r="190" spans="1:24" ht="13.8" thickBot="1">
      <c r="A190" s="12">
        <v>45720</v>
      </c>
      <c r="B190" s="35">
        <v>689.69488525390602</v>
      </c>
      <c r="C190" s="5">
        <f t="shared" si="0"/>
        <v>2.7826976220127696E-4</v>
      </c>
      <c r="D190" s="24">
        <v>101.43039703369141</v>
      </c>
      <c r="E190" s="5">
        <f t="shared" si="1"/>
        <v>-6.6628493660423076E-4</v>
      </c>
      <c r="F190" s="24">
        <v>370.727294921875</v>
      </c>
      <c r="G190" s="5">
        <f t="shared" si="2"/>
        <v>4.4782066107125734E-5</v>
      </c>
      <c r="H190" s="36">
        <v>82.684303283691406</v>
      </c>
      <c r="I190" s="5">
        <f t="shared" si="3"/>
        <v>-2.4966968063316556E-3</v>
      </c>
      <c r="J190" s="35"/>
      <c r="K190" s="5" t="e">
        <f t="shared" si="4"/>
        <v>#DIV/0!</v>
      </c>
      <c r="L190" s="36">
        <v>126.814002990722</v>
      </c>
      <c r="M190" s="5">
        <f t="shared" si="5"/>
        <v>2.874520604682765E-3</v>
      </c>
      <c r="N190" s="24">
        <v>87.164299011230469</v>
      </c>
      <c r="O190" s="5">
        <f t="shared" si="6"/>
        <v>2.0821151633476295E-3</v>
      </c>
      <c r="P190" s="36">
        <v>16.174999237060501</v>
      </c>
      <c r="Q190" s="5">
        <f t="shared" si="7"/>
        <v>-8.0341682769253424E-4</v>
      </c>
      <c r="R190" s="24">
        <v>44.705001831054688</v>
      </c>
      <c r="S190" s="5">
        <f t="shared" si="8"/>
        <v>-2.4128766238331704E-3</v>
      </c>
      <c r="T190" s="62">
        <v>126.814003</v>
      </c>
      <c r="U190" s="5">
        <f>LN(T190/T189)</f>
        <v>2.8745210593556147E-3</v>
      </c>
      <c r="V190" s="59">
        <v>41.29700089</v>
      </c>
      <c r="W190" s="5">
        <f t="shared" ref="V190:W190" si="197">LN(V190/V189)</f>
        <v>8.5357749833130311E-3</v>
      </c>
      <c r="X190" s="5"/>
    </row>
    <row r="191" spans="1:24" ht="13.8" thickBot="1">
      <c r="A191" s="12">
        <v>45721</v>
      </c>
      <c r="B191" s="35">
        <v>695.752197265625</v>
      </c>
      <c r="C191" s="5">
        <f t="shared" si="0"/>
        <v>8.744254016293012E-3</v>
      </c>
      <c r="D191" s="24">
        <v>104.06900024414063</v>
      </c>
      <c r="E191" s="5">
        <f t="shared" si="1"/>
        <v>2.5681323290689322E-2</v>
      </c>
      <c r="F191" s="24">
        <v>375.73870849609375</v>
      </c>
      <c r="G191" s="5">
        <f t="shared" si="2"/>
        <v>1.342723940186117E-2</v>
      </c>
      <c r="H191" s="36">
        <v>83.735298156738196</v>
      </c>
      <c r="I191" s="5">
        <f t="shared" si="3"/>
        <v>1.2630829982798438E-2</v>
      </c>
      <c r="J191" s="35"/>
      <c r="K191" s="5" t="e">
        <f t="shared" si="4"/>
        <v>#DIV/0!</v>
      </c>
      <c r="L191" s="36">
        <v>129.86199951171801</v>
      </c>
      <c r="M191" s="5">
        <f t="shared" si="5"/>
        <v>2.3750874816482078E-2</v>
      </c>
      <c r="N191" s="24">
        <v>88.253501892089844</v>
      </c>
      <c r="O191" s="5">
        <f t="shared" si="6"/>
        <v>1.2418544449983422E-2</v>
      </c>
      <c r="P191" s="36">
        <v>16.318000793456999</v>
      </c>
      <c r="Q191" s="5">
        <f t="shared" si="7"/>
        <v>8.8020484121122938E-3</v>
      </c>
      <c r="R191" s="24">
        <v>45.840000152587891</v>
      </c>
      <c r="S191" s="5">
        <f t="shared" si="8"/>
        <v>2.5071682589299146E-2</v>
      </c>
      <c r="T191" s="62">
        <v>129.8619995</v>
      </c>
      <c r="U191" s="5">
        <f>LN(T191/T190)</f>
        <v>2.3750874653085414E-2</v>
      </c>
      <c r="V191" s="59">
        <v>42.38999939</v>
      </c>
      <c r="W191" s="5">
        <f t="shared" ref="V191:W191" si="198">LN(V191/V190)</f>
        <v>2.612259131970816E-2</v>
      </c>
      <c r="X191" s="5"/>
    </row>
    <row r="192" spans="1:24" ht="13.8" thickBot="1">
      <c r="A192" s="12">
        <v>45722</v>
      </c>
      <c r="B192" s="35">
        <v>700.10479736328102</v>
      </c>
      <c r="C192" s="5">
        <f t="shared" si="0"/>
        <v>6.2364758306384062E-3</v>
      </c>
      <c r="D192" s="24">
        <v>103.19110107421875</v>
      </c>
      <c r="E192" s="5">
        <f t="shared" si="1"/>
        <v>-8.471523604007011E-3</v>
      </c>
      <c r="F192" s="24">
        <v>378.8865966796875</v>
      </c>
      <c r="G192" s="5">
        <f t="shared" si="2"/>
        <v>8.3429654984114327E-3</v>
      </c>
      <c r="H192" s="36">
        <v>83.867401123046804</v>
      </c>
      <c r="I192" s="5">
        <f t="shared" si="3"/>
        <v>1.5763826505469022E-3</v>
      </c>
      <c r="J192" s="35"/>
      <c r="K192" s="5" t="e">
        <f t="shared" si="4"/>
        <v>#DIV/0!</v>
      </c>
      <c r="L192" s="36">
        <v>130.815994262695</v>
      </c>
      <c r="M192" s="5">
        <f t="shared" si="5"/>
        <v>7.3193674402752687E-3</v>
      </c>
      <c r="N192" s="24">
        <v>89.174003601074219</v>
      </c>
      <c r="O192" s="5">
        <f t="shared" si="6"/>
        <v>1.037618113650844E-2</v>
      </c>
      <c r="P192" s="36">
        <v>16.552999496459901</v>
      </c>
      <c r="Q192" s="5">
        <f t="shared" si="7"/>
        <v>1.4298482226903747E-2</v>
      </c>
      <c r="R192" s="24">
        <v>46.188999176025391</v>
      </c>
      <c r="S192" s="5">
        <f t="shared" si="8"/>
        <v>7.5845809260405928E-3</v>
      </c>
      <c r="T192" s="62">
        <v>130.8159943</v>
      </c>
      <c r="U192" s="5">
        <f>LN(T192/T191)</f>
        <v>7.3193678156811773E-3</v>
      </c>
      <c r="V192" s="59">
        <v>43.117000580000003</v>
      </c>
      <c r="W192" s="5">
        <f t="shared" ref="V192:W192" si="199">LN(V192/V191)</f>
        <v>1.7004893373960956E-2</v>
      </c>
      <c r="X192" s="5"/>
    </row>
    <row r="193" spans="1:24" ht="13.8" thickBot="1">
      <c r="A193" s="12">
        <v>45723</v>
      </c>
      <c r="B193" s="35">
        <v>699.99987792968705</v>
      </c>
      <c r="C193" s="5">
        <f t="shared" si="0"/>
        <v>-1.498736996481418E-4</v>
      </c>
      <c r="D193" s="24">
        <v>102.53990173339844</v>
      </c>
      <c r="E193" s="5">
        <f t="shared" si="1"/>
        <v>-6.3306113979457969E-3</v>
      </c>
      <c r="F193" s="24">
        <v>379.0419921875</v>
      </c>
      <c r="G193" s="5">
        <f t="shared" si="2"/>
        <v>4.1005316931554158E-4</v>
      </c>
      <c r="H193" s="36">
        <v>83.816596984863196</v>
      </c>
      <c r="I193" s="5">
        <f t="shared" si="3"/>
        <v>-6.0595095908218114E-4</v>
      </c>
      <c r="J193" s="35"/>
      <c r="K193" s="5" t="e">
        <f t="shared" si="4"/>
        <v>#DIV/0!</v>
      </c>
      <c r="L193" s="36">
        <v>130.30400085449199</v>
      </c>
      <c r="M193" s="5">
        <f t="shared" si="5"/>
        <v>-3.9215232376771676E-3</v>
      </c>
      <c r="N193" s="24">
        <v>89.119499206542969</v>
      </c>
      <c r="O193" s="5">
        <f t="shared" si="6"/>
        <v>-6.1140081237754458E-4</v>
      </c>
      <c r="P193" s="36">
        <v>16.544000625610298</v>
      </c>
      <c r="Q193" s="5">
        <f t="shared" si="7"/>
        <v>-5.4378771720475924E-4</v>
      </c>
      <c r="R193" s="24">
        <v>45.965999603271484</v>
      </c>
      <c r="S193" s="5">
        <f t="shared" si="8"/>
        <v>-4.8396725294044653E-3</v>
      </c>
      <c r="T193" s="62">
        <v>130.30400090000001</v>
      </c>
      <c r="U193" s="5">
        <f>LN(T193/T192)</f>
        <v>-3.9215231736036684E-3</v>
      </c>
      <c r="V193" s="59">
        <v>43.435001370000002</v>
      </c>
      <c r="W193" s="5">
        <f t="shared" ref="V193:W193" si="200">LN(V193/V192)</f>
        <v>7.3482349049467533E-3</v>
      </c>
      <c r="X193" s="5"/>
    </row>
    <row r="194" spans="1:24" ht="13.8" thickBot="1">
      <c r="A194" s="13">
        <v>45726</v>
      </c>
      <c r="B194" s="35">
        <v>697.75537109375</v>
      </c>
      <c r="C194" s="5">
        <f t="shared" si="0"/>
        <v>-3.2115905366368156E-3</v>
      </c>
      <c r="D194" s="24">
        <v>100.52619934082031</v>
      </c>
      <c r="E194" s="5">
        <f t="shared" si="1"/>
        <v>-1.9833624546705245E-2</v>
      </c>
      <c r="F194" s="24">
        <v>375.926513671875</v>
      </c>
      <c r="G194" s="5">
        <f t="shared" si="2"/>
        <v>-8.2533143468390344E-3</v>
      </c>
      <c r="H194" s="36">
        <v>83.336997985839801</v>
      </c>
      <c r="I194" s="5">
        <f t="shared" si="3"/>
        <v>-5.7384385324575661E-3</v>
      </c>
      <c r="J194" s="35"/>
      <c r="K194" s="5" t="e">
        <f t="shared" si="4"/>
        <v>#DIV/0!</v>
      </c>
      <c r="L194" s="36">
        <v>128.78399658203099</v>
      </c>
      <c r="M194" s="5">
        <f t="shared" si="5"/>
        <v>-1.1733632794574324E-2</v>
      </c>
      <c r="N194" s="24">
        <v>88.587898254394531</v>
      </c>
      <c r="O194" s="5">
        <f t="shared" si="6"/>
        <v>-5.9828971158980776E-3</v>
      </c>
      <c r="P194" s="36">
        <v>16.361000061035099</v>
      </c>
      <c r="Q194" s="5">
        <f t="shared" si="7"/>
        <v>-1.1123078409490407E-2</v>
      </c>
      <c r="R194" s="24">
        <v>45.479999542236328</v>
      </c>
      <c r="S194" s="5">
        <f t="shared" si="8"/>
        <v>-1.0629325314655573E-2</v>
      </c>
      <c r="T194" s="62">
        <v>128.78399659999999</v>
      </c>
      <c r="U194" s="5">
        <f>LN(T194/T193)</f>
        <v>-1.1733633004290993E-2</v>
      </c>
      <c r="V194" s="59">
        <v>42.673999790000003</v>
      </c>
      <c r="W194" s="5">
        <f t="shared" ref="V194:W194" si="201">LN(V194/V193)</f>
        <v>-1.7675768691604275E-2</v>
      </c>
      <c r="X194" s="5"/>
    </row>
    <row r="195" spans="1:24" ht="13.8" thickBot="1">
      <c r="A195" s="13">
        <v>45727</v>
      </c>
      <c r="B195" s="35">
        <v>698.26068115234295</v>
      </c>
      <c r="C195" s="5">
        <f t="shared" si="0"/>
        <v>7.2393161933696011E-4</v>
      </c>
      <c r="D195" s="24">
        <v>102.00530242919922</v>
      </c>
      <c r="E195" s="5">
        <f t="shared" si="1"/>
        <v>1.4606413049292333E-2</v>
      </c>
      <c r="F195" s="24">
        <v>375.42019653320313</v>
      </c>
      <c r="G195" s="5">
        <f t="shared" si="2"/>
        <v>-1.347759186103332E-3</v>
      </c>
      <c r="H195" s="36">
        <v>83.260299682617102</v>
      </c>
      <c r="I195" s="5">
        <f t="shared" si="3"/>
        <v>-9.207629381132237E-4</v>
      </c>
      <c r="J195" s="35"/>
      <c r="K195" s="5" t="e">
        <f t="shared" si="4"/>
        <v>#DIV/0!</v>
      </c>
      <c r="L195" s="36">
        <v>128.83599853515599</v>
      </c>
      <c r="M195" s="5">
        <f t="shared" si="5"/>
        <v>4.0371054123827343E-4</v>
      </c>
      <c r="N195" s="24">
        <v>88.504203796386719</v>
      </c>
      <c r="O195" s="5">
        <f t="shared" si="6"/>
        <v>-9.4520832120445605E-4</v>
      </c>
      <c r="P195" s="36">
        <v>16.5090007781982</v>
      </c>
      <c r="Q195" s="5">
        <f t="shared" si="7"/>
        <v>9.0052761520827782E-3</v>
      </c>
      <c r="R195" s="24">
        <v>45.472000122070313</v>
      </c>
      <c r="S195" s="5">
        <f t="shared" si="8"/>
        <v>-1.759042179648481E-4</v>
      </c>
      <c r="T195" s="62">
        <v>128.83599849999999</v>
      </c>
      <c r="U195" s="5">
        <f>LN(T195/T194)</f>
        <v>4.037101288359302E-4</v>
      </c>
      <c r="V195" s="59">
        <v>42.312000269999999</v>
      </c>
      <c r="W195" s="5">
        <f t="shared" ref="V195:W195" si="202">LN(V195/V194)</f>
        <v>-8.5190904168155109E-3</v>
      </c>
      <c r="X195" s="5"/>
    </row>
    <row r="196" spans="1:24" ht="13.8" thickBot="1">
      <c r="A196" s="13">
        <v>45728</v>
      </c>
      <c r="B196" s="35">
        <v>698.05847167968705</v>
      </c>
      <c r="C196" s="5">
        <f t="shared" si="0"/>
        <v>-2.8963217135472507E-4</v>
      </c>
      <c r="D196" s="24">
        <v>101.43630218505859</v>
      </c>
      <c r="E196" s="5">
        <f t="shared" si="1"/>
        <v>-5.5937597316327841E-3</v>
      </c>
      <c r="F196" s="24">
        <v>374.81451416015625</v>
      </c>
      <c r="G196" s="5">
        <f t="shared" si="2"/>
        <v>-1.6146480454791701E-3</v>
      </c>
      <c r="H196" s="36">
        <v>83.557899475097599</v>
      </c>
      <c r="I196" s="5">
        <f t="shared" si="3"/>
        <v>3.5679573295330073E-3</v>
      </c>
      <c r="J196" s="35"/>
      <c r="K196" s="5" t="e">
        <f t="shared" si="4"/>
        <v>#DIV/0!</v>
      </c>
      <c r="L196" s="36">
        <v>128.26100158691401</v>
      </c>
      <c r="M196" s="5">
        <f t="shared" si="5"/>
        <v>-4.4730036264040464E-3</v>
      </c>
      <c r="N196" s="24">
        <v>88.373802185058594</v>
      </c>
      <c r="O196" s="5">
        <f t="shared" si="6"/>
        <v>-1.4744810608872457E-3</v>
      </c>
      <c r="P196" s="36">
        <v>16.5259990692138</v>
      </c>
      <c r="Q196" s="5">
        <f t="shared" si="7"/>
        <v>1.0291080729107533E-3</v>
      </c>
      <c r="R196" s="24">
        <v>45.251998901367188</v>
      </c>
      <c r="S196" s="5">
        <f t="shared" si="8"/>
        <v>-4.8499108130912287E-3</v>
      </c>
      <c r="T196" s="62">
        <v>128.26100159999999</v>
      </c>
      <c r="U196" s="5">
        <f>LN(T196/T195)</f>
        <v>-4.4730032515038565E-3</v>
      </c>
      <c r="V196" s="59">
        <v>42.25</v>
      </c>
      <c r="W196" s="5">
        <f t="shared" ref="V196:W196" si="203">LN(V196/V195)</f>
        <v>-1.466386341664333E-3</v>
      </c>
      <c r="X196" s="5"/>
    </row>
    <row r="197" spans="1:24" ht="13.8" thickBot="1">
      <c r="A197" s="13">
        <v>45729</v>
      </c>
      <c r="B197" s="35">
        <v>697.81817626953102</v>
      </c>
      <c r="C197" s="5">
        <f t="shared" si="0"/>
        <v>-3.4429319078122672E-4</v>
      </c>
      <c r="D197" s="24">
        <v>101.16539764404297</v>
      </c>
      <c r="E197" s="5">
        <f t="shared" si="1"/>
        <v>-2.6742589296690779E-3</v>
      </c>
      <c r="F197" s="24">
        <v>373.35018920898438</v>
      </c>
      <c r="G197" s="5">
        <f t="shared" si="2"/>
        <v>-3.9144504261926791E-3</v>
      </c>
      <c r="H197" s="36">
        <v>83.048797607421804</v>
      </c>
      <c r="I197" s="5">
        <f t="shared" si="3"/>
        <v>-6.1114404301486841E-3</v>
      </c>
      <c r="J197" s="35"/>
      <c r="K197" s="5" t="e">
        <f t="shared" si="4"/>
        <v>#DIV/0!</v>
      </c>
      <c r="L197" s="36">
        <v>127.67400360107401</v>
      </c>
      <c r="M197" s="5">
        <f t="shared" si="5"/>
        <v>-4.5870944045486202E-3</v>
      </c>
      <c r="N197" s="24">
        <v>88.065597534179688</v>
      </c>
      <c r="O197" s="5">
        <f t="shared" si="6"/>
        <v>-3.4936070384113602E-3</v>
      </c>
      <c r="P197" s="36">
        <v>16.408000946044901</v>
      </c>
      <c r="Q197" s="5">
        <f t="shared" si="7"/>
        <v>-7.1657635288399323E-3</v>
      </c>
      <c r="R197" s="24">
        <v>44.819000244140625</v>
      </c>
      <c r="S197" s="5">
        <f t="shared" si="8"/>
        <v>-9.6146816830758111E-3</v>
      </c>
      <c r="T197" s="62">
        <v>127.67400360000001</v>
      </c>
      <c r="U197" s="5">
        <f>LN(T197/T196)</f>
        <v>-4.5870945149868916E-3</v>
      </c>
      <c r="V197" s="59">
        <v>41.921001429999997</v>
      </c>
      <c r="W197" s="5">
        <f t="shared" ref="V197:W197" si="204">LN(V197/V196)</f>
        <v>-7.8174250013081127E-3</v>
      </c>
      <c r="X197" s="5"/>
    </row>
    <row r="198" spans="1:24" ht="13.8" thickBot="1">
      <c r="A198" s="13">
        <v>45733</v>
      </c>
      <c r="B198" s="35">
        <v>700.82940673828102</v>
      </c>
      <c r="C198" s="5">
        <f t="shared" si="0"/>
        <v>4.3059240339446674E-3</v>
      </c>
      <c r="D198" s="24">
        <v>101.63950347900391</v>
      </c>
      <c r="E198" s="5">
        <f t="shared" si="1"/>
        <v>4.6754954738096755E-3</v>
      </c>
      <c r="F198" s="24">
        <v>374.81619262695313</v>
      </c>
      <c r="G198" s="5">
        <f t="shared" si="2"/>
        <v>3.9189285426350301E-3</v>
      </c>
      <c r="H198" s="36">
        <v>83.778602600097599</v>
      </c>
      <c r="I198" s="5">
        <f t="shared" si="3"/>
        <v>8.749277963949486E-3</v>
      </c>
      <c r="J198" s="35"/>
      <c r="K198" s="5" t="e">
        <f t="shared" si="4"/>
        <v>#DIV/0!</v>
      </c>
      <c r="L198" s="36">
        <v>128.746002197265</v>
      </c>
      <c r="M198" s="5">
        <f t="shared" si="5"/>
        <v>8.3613198453875957E-3</v>
      </c>
      <c r="N198" s="24">
        <v>88.674598693847656</v>
      </c>
      <c r="O198" s="5">
        <f t="shared" si="6"/>
        <v>6.8915117549302289E-3</v>
      </c>
      <c r="P198" s="36">
        <v>16.507999420166001</v>
      </c>
      <c r="Q198" s="5">
        <f t="shared" si="7"/>
        <v>6.0759983382935277E-3</v>
      </c>
      <c r="R198" s="24">
        <v>45.124000549316406</v>
      </c>
      <c r="S198" s="5">
        <f t="shared" si="8"/>
        <v>6.7821058131213169E-3</v>
      </c>
      <c r="T198" s="62">
        <v>128.74600219999999</v>
      </c>
      <c r="U198" s="5">
        <f>LN(T198/T197)</f>
        <v>8.3613198750429E-3</v>
      </c>
      <c r="V198" s="59">
        <v>41.895000459999999</v>
      </c>
      <c r="W198" s="5">
        <f t="shared" ref="V198:W198" si="205">LN(V198/V197)</f>
        <v>-6.2042975679452931E-4</v>
      </c>
      <c r="X198" s="5"/>
    </row>
    <row r="199" spans="1:24" ht="13.8" thickBot="1">
      <c r="A199" s="13">
        <v>45734</v>
      </c>
      <c r="B199" s="35">
        <v>706.03472900390602</v>
      </c>
      <c r="C199" s="5">
        <f t="shared" si="0"/>
        <v>7.3999270953193945E-3</v>
      </c>
      <c r="D199" s="24">
        <v>103.17140197753906</v>
      </c>
      <c r="E199" s="5">
        <f t="shared" si="1"/>
        <v>1.4959428678301152E-2</v>
      </c>
      <c r="F199" s="24">
        <v>379.5421142578125</v>
      </c>
      <c r="G199" s="5">
        <f t="shared" si="2"/>
        <v>1.2529810878626551E-2</v>
      </c>
      <c r="H199" s="36">
        <v>84.296302795410099</v>
      </c>
      <c r="I199" s="5">
        <f t="shared" si="3"/>
        <v>6.1603703578131776E-3</v>
      </c>
      <c r="J199" s="35"/>
      <c r="K199" s="5" t="e">
        <f t="shared" si="4"/>
        <v>#DIV/0!</v>
      </c>
      <c r="L199" s="36">
        <v>131.70599365234301</v>
      </c>
      <c r="M199" s="5">
        <f t="shared" si="5"/>
        <v>2.27306294356736E-2</v>
      </c>
      <c r="N199" s="24">
        <v>90.254402160644531</v>
      </c>
      <c r="O199" s="5">
        <f t="shared" si="6"/>
        <v>1.7658898361129945E-2</v>
      </c>
      <c r="P199" s="36">
        <v>16.804000854492099</v>
      </c>
      <c r="Q199" s="5">
        <f t="shared" si="7"/>
        <v>1.7771927391741587E-2</v>
      </c>
      <c r="R199" s="24">
        <v>46.027000427246094</v>
      </c>
      <c r="S199" s="5">
        <f t="shared" si="8"/>
        <v>1.981392218558066E-2</v>
      </c>
      <c r="T199" s="62">
        <v>131.70599369999999</v>
      </c>
      <c r="U199" s="5">
        <f>LN(T199/T198)</f>
        <v>2.2730629776273943E-2</v>
      </c>
      <c r="V199" s="59">
        <v>42.984001159999998</v>
      </c>
      <c r="W199" s="5">
        <f t="shared" ref="V199:W199" si="206">LN(V199/V198)</f>
        <v>2.5661481368225433E-2</v>
      </c>
      <c r="X199" s="5"/>
    </row>
    <row r="200" spans="1:24" ht="13.8" thickBot="1">
      <c r="A200" s="13">
        <v>45735</v>
      </c>
      <c r="B200" s="35">
        <v>707.72479248046795</v>
      </c>
      <c r="C200" s="5">
        <f t="shared" si="0"/>
        <v>2.3908794331072808E-3</v>
      </c>
      <c r="D200" s="24">
        <v>104.56089782714844</v>
      </c>
      <c r="E200" s="5">
        <f t="shared" si="1"/>
        <v>1.3377953972362008E-2</v>
      </c>
      <c r="F200" s="24">
        <v>382.35549926757813</v>
      </c>
      <c r="G200" s="5">
        <f t="shared" si="2"/>
        <v>7.3852385072600999E-3</v>
      </c>
      <c r="H200" s="36">
        <v>84.767799377441406</v>
      </c>
      <c r="I200" s="5">
        <f t="shared" si="3"/>
        <v>5.5777400213561359E-3</v>
      </c>
      <c r="J200" s="35"/>
      <c r="K200" s="5" t="e">
        <f t="shared" si="4"/>
        <v>#DIV/0!</v>
      </c>
      <c r="L200" s="36">
        <v>133.59899902343699</v>
      </c>
      <c r="M200" s="5">
        <f t="shared" si="5"/>
        <v>1.4270651132532978E-2</v>
      </c>
      <c r="N200" s="24">
        <v>90.971099853515625</v>
      </c>
      <c r="O200" s="5">
        <f t="shared" si="6"/>
        <v>7.9094986223874168E-3</v>
      </c>
      <c r="P200" s="36">
        <v>16.902999877929599</v>
      </c>
      <c r="Q200" s="5">
        <f t="shared" si="7"/>
        <v>5.8741095885700622E-3</v>
      </c>
      <c r="R200" s="24">
        <v>46.807998657226563</v>
      </c>
      <c r="S200" s="5">
        <f t="shared" si="8"/>
        <v>1.682590969735721E-2</v>
      </c>
      <c r="T200" s="62">
        <v>133.59899899999999</v>
      </c>
      <c r="U200" s="5">
        <f>LN(T200/T199)</f>
        <v>1.4270650595261555E-2</v>
      </c>
      <c r="V200" s="59">
        <v>43.796001429999997</v>
      </c>
      <c r="W200" s="5">
        <f t="shared" ref="V200:W200" si="207">LN(V200/V199)</f>
        <v>1.8714541249255923E-2</v>
      </c>
      <c r="X200" s="5"/>
    </row>
    <row r="201" spans="1:24" ht="13.8" thickBot="1">
      <c r="A201" s="13">
        <v>45736</v>
      </c>
      <c r="B201" s="35">
        <v>712.06610107421795</v>
      </c>
      <c r="C201" s="5">
        <f t="shared" si="0"/>
        <v>6.1154387499617584E-3</v>
      </c>
      <c r="D201" s="24">
        <v>104.17459869384766</v>
      </c>
      <c r="E201" s="5">
        <f t="shared" si="1"/>
        <v>-3.7013309260684785E-3</v>
      </c>
      <c r="F201" s="24">
        <v>385.15240478515625</v>
      </c>
      <c r="G201" s="5">
        <f t="shared" si="2"/>
        <v>7.2883103447995501E-3</v>
      </c>
      <c r="H201" s="36">
        <v>85.229301452636705</v>
      </c>
      <c r="I201" s="5">
        <f t="shared" si="3"/>
        <v>5.4295421121331186E-3</v>
      </c>
      <c r="J201" s="35"/>
      <c r="K201" s="5" t="e">
        <f t="shared" si="4"/>
        <v>#DIV/0!</v>
      </c>
      <c r="L201" s="36">
        <v>134.46400451660099</v>
      </c>
      <c r="M201" s="5">
        <f t="shared" si="5"/>
        <v>6.453770077267597E-3</v>
      </c>
      <c r="N201" s="24">
        <v>91.67669677734375</v>
      </c>
      <c r="O201" s="5">
        <f t="shared" si="6"/>
        <v>7.7263503527390184E-3</v>
      </c>
      <c r="P201" s="36">
        <v>17.0820007324218</v>
      </c>
      <c r="Q201" s="5">
        <f t="shared" si="7"/>
        <v>1.0534206654550349E-2</v>
      </c>
      <c r="R201" s="24">
        <v>47.220001220703125</v>
      </c>
      <c r="S201" s="5">
        <f t="shared" si="8"/>
        <v>8.7634577096686404E-3</v>
      </c>
      <c r="T201" s="62">
        <v>134.46400449999999</v>
      </c>
      <c r="U201" s="5">
        <f>LN(T201/T200)</f>
        <v>6.4537701292348452E-3</v>
      </c>
      <c r="V201" s="59">
        <v>44.125999450000002</v>
      </c>
      <c r="W201" s="5">
        <f t="shared" ref="V201:W201" si="208">LN(V201/V200)</f>
        <v>7.5066437593115758E-3</v>
      </c>
      <c r="X201" s="5"/>
    </row>
    <row r="202" spans="1:24" ht="13.8" thickBot="1">
      <c r="A202" s="13">
        <v>45737</v>
      </c>
      <c r="B202" s="35">
        <v>714.79119873046795</v>
      </c>
      <c r="C202" s="5">
        <f t="shared" si="0"/>
        <v>3.8197246072945758E-3</v>
      </c>
      <c r="D202" s="24">
        <v>104.90239715576172</v>
      </c>
      <c r="E202" s="5">
        <f t="shared" si="1"/>
        <v>6.9620418894495552E-3</v>
      </c>
      <c r="F202" s="24">
        <v>388.85971069335938</v>
      </c>
      <c r="G202" s="5">
        <f t="shared" si="2"/>
        <v>9.5795251387147638E-3</v>
      </c>
      <c r="H202" s="36">
        <v>85.848297119140597</v>
      </c>
      <c r="I202" s="5">
        <f t="shared" si="3"/>
        <v>7.2364631358361403E-3</v>
      </c>
      <c r="J202" s="35"/>
      <c r="K202" s="5" t="e">
        <f t="shared" si="4"/>
        <v>#DIV/0!</v>
      </c>
      <c r="L202" s="36">
        <v>135.87600708007801</v>
      </c>
      <c r="M202" s="5">
        <f t="shared" si="5"/>
        <v>1.0446218414606122E-2</v>
      </c>
      <c r="N202" s="24">
        <v>92.542999267578125</v>
      </c>
      <c r="O202" s="5">
        <f t="shared" si="6"/>
        <v>9.4051710508504804E-3</v>
      </c>
      <c r="P202" s="36">
        <v>17.246999740600501</v>
      </c>
      <c r="Q202" s="5">
        <f t="shared" si="7"/>
        <v>9.6128798682233313E-3</v>
      </c>
      <c r="R202" s="24">
        <v>47.811000823974609</v>
      </c>
      <c r="S202" s="5">
        <f t="shared" si="8"/>
        <v>1.2438198270835855E-2</v>
      </c>
      <c r="T202" s="62">
        <v>135.87600710000001</v>
      </c>
      <c r="U202" s="5">
        <f>LN(T202/T201)</f>
        <v>1.0446218684685713E-2</v>
      </c>
      <c r="V202" s="59">
        <v>44.938999180000003</v>
      </c>
      <c r="W202" s="5">
        <f t="shared" ref="V202:W202" si="209">LN(V202/V201)</f>
        <v>1.8256830949365265E-2</v>
      </c>
      <c r="X202" s="5"/>
    </row>
    <row r="203" spans="1:24" ht="13.8" thickBot="1">
      <c r="A203" s="13">
        <v>45740</v>
      </c>
      <c r="B203" s="35">
        <v>719.04388427734295</v>
      </c>
      <c r="C203" s="5">
        <f t="shared" si="0"/>
        <v>5.9319207173059545E-3</v>
      </c>
      <c r="D203" s="24">
        <v>105.98789978027344</v>
      </c>
      <c r="E203" s="5">
        <f t="shared" si="1"/>
        <v>1.0294567620164563E-2</v>
      </c>
      <c r="F203" s="24">
        <v>393.8953857421875</v>
      </c>
      <c r="G203" s="5">
        <f t="shared" si="2"/>
        <v>1.2866717940059339E-2</v>
      </c>
      <c r="H203" s="36">
        <v>86.930198669433594</v>
      </c>
      <c r="I203" s="5">
        <f t="shared" si="3"/>
        <v>1.2523730874228386E-2</v>
      </c>
      <c r="J203" s="35"/>
      <c r="K203" s="5" t="e">
        <f t="shared" si="4"/>
        <v>#DIV/0!</v>
      </c>
      <c r="L203" s="36">
        <v>137.68200683593699</v>
      </c>
      <c r="M203" s="5">
        <f t="shared" si="5"/>
        <v>1.3203970659271107E-2</v>
      </c>
      <c r="N203" s="24">
        <v>93.812301635742188</v>
      </c>
      <c r="O203" s="5">
        <f t="shared" si="6"/>
        <v>1.3622601463027129E-2</v>
      </c>
      <c r="P203" s="36">
        <v>17.437999725341701</v>
      </c>
      <c r="Q203" s="5">
        <f t="shared" si="7"/>
        <v>1.1013516986065583E-2</v>
      </c>
      <c r="R203" s="24">
        <v>48.331001281738281</v>
      </c>
      <c r="S203" s="5">
        <f t="shared" si="8"/>
        <v>1.0817447465479029E-2</v>
      </c>
      <c r="T203" s="62">
        <v>137.68200680000001</v>
      </c>
      <c r="U203" s="5">
        <f>LN(T203/T202)</f>
        <v>1.3203970251637805E-2</v>
      </c>
      <c r="V203" s="59">
        <v>45.319999690000003</v>
      </c>
      <c r="W203" s="5">
        <f t="shared" ref="V203:W203" si="210">LN(V203/V202)</f>
        <v>8.4424329483203091E-3</v>
      </c>
      <c r="X203" s="5"/>
    </row>
    <row r="204" spans="1:24" ht="13.8" thickBot="1">
      <c r="A204" s="13">
        <v>45741</v>
      </c>
      <c r="B204" s="35">
        <v>719.06231689453102</v>
      </c>
      <c r="C204" s="5">
        <f t="shared" si="0"/>
        <v>2.5634570206426542E-5</v>
      </c>
      <c r="D204" s="24">
        <v>105.94750213623047</v>
      </c>
      <c r="E204" s="5">
        <f t="shared" si="1"/>
        <v>-3.8122601667221935E-4</v>
      </c>
      <c r="F204" s="24">
        <v>392.59579467773438</v>
      </c>
      <c r="G204" s="5">
        <f t="shared" si="2"/>
        <v>-3.3047853036593253E-3</v>
      </c>
      <c r="H204" s="36">
        <v>86.937797546386705</v>
      </c>
      <c r="I204" s="5">
        <f t="shared" si="3"/>
        <v>8.74097260374534E-5</v>
      </c>
      <c r="J204" s="35"/>
      <c r="K204" s="5" t="e">
        <f t="shared" si="4"/>
        <v>#DIV/0!</v>
      </c>
      <c r="L204" s="36">
        <v>136.79100036621</v>
      </c>
      <c r="M204" s="5">
        <f t="shared" si="5"/>
        <v>-6.4925116583856544E-3</v>
      </c>
      <c r="N204" s="24">
        <v>93.515800476074219</v>
      </c>
      <c r="O204" s="5">
        <f t="shared" si="6"/>
        <v>-3.1655838491565359E-3</v>
      </c>
      <c r="P204" s="36">
        <v>17.346000671386701</v>
      </c>
      <c r="Q204" s="5">
        <f t="shared" si="7"/>
        <v>-5.2897462872346255E-3</v>
      </c>
      <c r="R204" s="24">
        <v>47.978000640869141</v>
      </c>
      <c r="S204" s="5">
        <f t="shared" si="8"/>
        <v>-7.3306173797888681E-3</v>
      </c>
      <c r="T204" s="62">
        <v>136.7910004</v>
      </c>
      <c r="U204" s="5">
        <f>LN(T204/T203)</f>
        <v>-6.4925111503521251E-3</v>
      </c>
      <c r="V204" s="59">
        <v>44.655998230000002</v>
      </c>
      <c r="W204" s="5">
        <f t="shared" ref="V204:W204" si="211">LN(V204/V203)</f>
        <v>-1.4759792161923954E-2</v>
      </c>
      <c r="X204" s="5"/>
    </row>
    <row r="205" spans="1:24" ht="13.8" thickBot="1">
      <c r="A205" s="13">
        <v>45742</v>
      </c>
      <c r="B205" s="35">
        <v>716.94610595703102</v>
      </c>
      <c r="C205" s="5">
        <f t="shared" si="0"/>
        <v>-2.9473538396652178E-3</v>
      </c>
      <c r="D205" s="24">
        <v>105.81960296630859</v>
      </c>
      <c r="E205" s="5">
        <f t="shared" si="1"/>
        <v>-1.2079230663439159E-3</v>
      </c>
      <c r="F205" s="24">
        <v>390.11318969726563</v>
      </c>
      <c r="G205" s="5">
        <f t="shared" si="2"/>
        <v>-6.3436433090701171E-3</v>
      </c>
      <c r="H205" s="36">
        <v>86.385803222656193</v>
      </c>
      <c r="I205" s="5">
        <f t="shared" si="3"/>
        <v>-6.3695444536263635E-3</v>
      </c>
      <c r="J205" s="35"/>
      <c r="K205" s="5" t="e">
        <f t="shared" si="4"/>
        <v>#DIV/0!</v>
      </c>
      <c r="L205" s="36">
        <v>135.42500305175699</v>
      </c>
      <c r="M205" s="5">
        <f t="shared" si="5"/>
        <v>-1.0036212149066184E-2</v>
      </c>
      <c r="N205" s="24">
        <v>92.656997680664063</v>
      </c>
      <c r="O205" s="5">
        <f t="shared" si="6"/>
        <v>-9.225933063523685E-3</v>
      </c>
      <c r="P205" s="36">
        <v>17.267999649047798</v>
      </c>
      <c r="Q205" s="5">
        <f t="shared" si="7"/>
        <v>-4.5069135984433977E-3</v>
      </c>
      <c r="R205" s="24">
        <v>47.622001647949219</v>
      </c>
      <c r="S205" s="5">
        <f t="shared" si="8"/>
        <v>-7.4477119237119829E-3</v>
      </c>
      <c r="T205" s="62">
        <v>135.4250031</v>
      </c>
      <c r="U205" s="5">
        <f>LN(T205/T204)</f>
        <v>-1.0036212039851162E-2</v>
      </c>
      <c r="V205" s="59">
        <v>43.974998470000003</v>
      </c>
      <c r="W205" s="5">
        <f t="shared" ref="V205:W205" si="212">LN(V205/V204)</f>
        <v>-1.5367381326508906E-2</v>
      </c>
      <c r="X205" s="5"/>
    </row>
    <row r="206" spans="1:24" ht="13.8" thickBot="1">
      <c r="A206" s="13">
        <v>45743</v>
      </c>
      <c r="B206" s="35">
        <v>719.347900390625</v>
      </c>
      <c r="C206" s="5">
        <f t="shared" si="0"/>
        <v>3.3444359743922607E-3</v>
      </c>
      <c r="D206" s="24">
        <v>106.53749847412109</v>
      </c>
      <c r="E206" s="5">
        <f t="shared" si="1"/>
        <v>6.7612360291463888E-3</v>
      </c>
      <c r="F206" s="24">
        <v>391.92498779296875</v>
      </c>
      <c r="G206" s="5">
        <f t="shared" si="2"/>
        <v>4.6335368001455433E-3</v>
      </c>
      <c r="H206" s="36">
        <v>86.447097778320298</v>
      </c>
      <c r="I206" s="5">
        <f t="shared" si="3"/>
        <v>7.0929270849330107E-4</v>
      </c>
      <c r="J206" s="35"/>
      <c r="K206" s="5" t="e">
        <f t="shared" si="4"/>
        <v>#DIV/0!</v>
      </c>
      <c r="L206" s="36">
        <v>136.66900634765599</v>
      </c>
      <c r="M206" s="5">
        <f t="shared" si="5"/>
        <v>9.1439864220726336E-3</v>
      </c>
      <c r="N206" s="24">
        <v>93.388397216796875</v>
      </c>
      <c r="O206" s="5">
        <f t="shared" si="6"/>
        <v>7.862632714120096E-3</v>
      </c>
      <c r="P206" s="36">
        <v>17.3589992523193</v>
      </c>
      <c r="Q206" s="5">
        <f t="shared" si="7"/>
        <v>5.2560034453820875E-3</v>
      </c>
      <c r="R206" s="24">
        <v>47.96099853515625</v>
      </c>
      <c r="S206" s="5">
        <f t="shared" si="8"/>
        <v>7.0932761668892931E-3</v>
      </c>
      <c r="T206" s="62">
        <v>136.66900630000001</v>
      </c>
      <c r="U206" s="5">
        <f>LN(T206/T205)</f>
        <v>9.1439857171422452E-3</v>
      </c>
      <c r="V206" s="59">
        <v>44.36000061</v>
      </c>
      <c r="W206" s="5">
        <f t="shared" ref="V206:W206" si="213">LN(V206/V205)</f>
        <v>8.716920402167783E-3</v>
      </c>
      <c r="X206" s="5"/>
    </row>
    <row r="207" spans="1:24" ht="13.8" thickBot="1">
      <c r="A207" s="13">
        <v>45744</v>
      </c>
      <c r="B207" s="35">
        <v>719.58160400390602</v>
      </c>
      <c r="C207" s="5">
        <f t="shared" si="0"/>
        <v>3.248298330421395E-4</v>
      </c>
      <c r="D207" s="24">
        <v>105.79869842529297</v>
      </c>
      <c r="E207" s="5">
        <f t="shared" si="1"/>
        <v>-6.9588043958344146E-3</v>
      </c>
      <c r="F207" s="24">
        <v>390.4193115234375</v>
      </c>
      <c r="G207" s="5">
        <f t="shared" si="2"/>
        <v>-3.8491445003021553E-3</v>
      </c>
      <c r="H207" s="36">
        <v>85.837097167968693</v>
      </c>
      <c r="I207" s="5">
        <f t="shared" si="3"/>
        <v>-7.0813594899155393E-3</v>
      </c>
      <c r="J207" s="35"/>
      <c r="K207" s="5" t="e">
        <f t="shared" si="4"/>
        <v>#DIV/0!</v>
      </c>
      <c r="L207" s="36">
        <v>136.35200500488199</v>
      </c>
      <c r="M207" s="5">
        <f t="shared" si="5"/>
        <v>-2.3221764775989253E-3</v>
      </c>
      <c r="N207" s="24">
        <v>92.873497009277344</v>
      </c>
      <c r="O207" s="5">
        <f t="shared" si="6"/>
        <v>-5.5287907519729158E-3</v>
      </c>
      <c r="P207" s="36">
        <v>17.280000686645501</v>
      </c>
      <c r="Q207" s="5">
        <f t="shared" si="7"/>
        <v>-4.561257702427159E-3</v>
      </c>
      <c r="R207" s="24">
        <v>47.819000244140625</v>
      </c>
      <c r="S207" s="5">
        <f t="shared" si="8"/>
        <v>-2.96509494383514E-3</v>
      </c>
      <c r="T207" s="62">
        <v>136.35200499999999</v>
      </c>
      <c r="U207" s="5">
        <f>LN(T207/T206)</f>
        <v>-2.3221761647068849E-3</v>
      </c>
      <c r="V207" s="59">
        <v>44.181999210000001</v>
      </c>
      <c r="W207" s="5">
        <f t="shared" ref="V207:W207" si="214">LN(V207/V206)</f>
        <v>-4.0207277938852206E-3</v>
      </c>
      <c r="X207" s="5"/>
    </row>
    <row r="208" spans="1:24" ht="13.8" thickBot="1">
      <c r="A208" s="12">
        <v>45748</v>
      </c>
      <c r="B208" s="35">
        <v>716.01019287109295</v>
      </c>
      <c r="C208" s="5">
        <f t="shared" si="0"/>
        <v>-4.9755348399032331E-3</v>
      </c>
      <c r="D208" s="24">
        <v>104.34269714355469</v>
      </c>
      <c r="E208" s="5">
        <f t="shared" si="1"/>
        <v>-1.3857570305520981E-2</v>
      </c>
      <c r="F208" s="24">
        <v>388.44329833984375</v>
      </c>
      <c r="G208" s="5">
        <f t="shared" si="2"/>
        <v>-5.0741103712071229E-3</v>
      </c>
      <c r="H208" s="36">
        <v>84.964302062988196</v>
      </c>
      <c r="I208" s="5">
        <f t="shared" si="3"/>
        <v>-1.0220088428622574E-2</v>
      </c>
      <c r="J208" s="35"/>
      <c r="K208" s="5" t="e">
        <f t="shared" si="4"/>
        <v>#DIV/0!</v>
      </c>
      <c r="L208" s="36">
        <v>134.38600158691401</v>
      </c>
      <c r="M208" s="5">
        <f t="shared" si="5"/>
        <v>-1.4523546217816574E-2</v>
      </c>
      <c r="N208" s="24">
        <v>91.66290283203125</v>
      </c>
      <c r="O208" s="5">
        <f t="shared" si="6"/>
        <v>-1.3120571823874275E-2</v>
      </c>
      <c r="P208" s="36">
        <v>17.0489997863769</v>
      </c>
      <c r="Q208" s="5">
        <f t="shared" si="7"/>
        <v>-1.3458264659193173E-2</v>
      </c>
      <c r="R208" s="24">
        <v>47.208000183105469</v>
      </c>
      <c r="S208" s="5">
        <f t="shared" si="8"/>
        <v>-1.2859681531071797E-2</v>
      </c>
      <c r="T208" s="62">
        <v>134.38600159999999</v>
      </c>
      <c r="U208" s="5">
        <f>LN(T208/T207)</f>
        <v>-1.4523546084636187E-2</v>
      </c>
      <c r="V208" s="59">
        <v>44.130001069999999</v>
      </c>
      <c r="W208" s="5">
        <f t="shared" ref="V208:W208" si="215">LN(V208/V207)</f>
        <v>-1.1776009114083479E-3</v>
      </c>
      <c r="X208" s="5"/>
    </row>
    <row r="209" spans="1:24" ht="13.8" thickBot="1">
      <c r="A209" s="12">
        <v>45749</v>
      </c>
      <c r="B209" s="35">
        <v>718.78338623046795</v>
      </c>
      <c r="C209" s="5">
        <f t="shared" si="0"/>
        <v>3.8656387275825084E-3</v>
      </c>
      <c r="D209" s="24">
        <v>106.09839630126953</v>
      </c>
      <c r="E209" s="5">
        <f t="shared" si="1"/>
        <v>1.6686283707205964E-2</v>
      </c>
      <c r="F209" s="24">
        <v>390.68170166015625</v>
      </c>
      <c r="G209" s="5">
        <f t="shared" si="2"/>
        <v>5.7459572697767282E-3</v>
      </c>
      <c r="H209" s="36">
        <v>85.115898132324205</v>
      </c>
      <c r="I209" s="5">
        <f t="shared" si="3"/>
        <v>1.7826426510230496E-3</v>
      </c>
      <c r="J209" s="35"/>
      <c r="K209" s="5" t="e">
        <f t="shared" si="4"/>
        <v>#DIV/0!</v>
      </c>
      <c r="L209" s="36">
        <v>135.64300537109301</v>
      </c>
      <c r="M209" s="5">
        <f t="shared" si="5"/>
        <v>9.310206174348707E-3</v>
      </c>
      <c r="N209" s="24">
        <v>92.416496276855469</v>
      </c>
      <c r="O209" s="5">
        <f t="shared" si="6"/>
        <v>8.1877457063799248E-3</v>
      </c>
      <c r="P209" s="36">
        <v>17.139999389648398</v>
      </c>
      <c r="Q209" s="5">
        <f t="shared" si="7"/>
        <v>5.3233391067097425E-3</v>
      </c>
      <c r="R209" s="24">
        <v>47.580001831054688</v>
      </c>
      <c r="S209" s="5">
        <f t="shared" si="8"/>
        <v>7.8491697249525056E-3</v>
      </c>
      <c r="T209" s="62">
        <v>135.64300539999999</v>
      </c>
      <c r="U209" s="5">
        <f>LN(T209/T208)</f>
        <v>9.3102062900833841E-3</v>
      </c>
      <c r="V209" s="59">
        <v>44.61000061</v>
      </c>
      <c r="W209" s="5">
        <f t="shared" ref="V209:W209" si="216">LN(V209/V208)</f>
        <v>1.0818215286237578E-2</v>
      </c>
      <c r="X209" s="5"/>
    </row>
    <row r="210" spans="1:24" ht="13.8" thickBot="1">
      <c r="A210" s="12">
        <v>45750</v>
      </c>
      <c r="B210" s="35">
        <v>716.97619628906205</v>
      </c>
      <c r="C210" s="5">
        <f t="shared" si="0"/>
        <v>-2.5174004308260258E-3</v>
      </c>
      <c r="D210" s="24">
        <v>104.20179748535156</v>
      </c>
      <c r="E210" s="5">
        <f t="shared" si="1"/>
        <v>-1.8037551022060505E-2</v>
      </c>
      <c r="F210" s="24">
        <v>389.6470947265625</v>
      </c>
      <c r="G210" s="5">
        <f t="shared" si="2"/>
        <v>-2.6517220551955942E-3</v>
      </c>
      <c r="H210" s="36">
        <v>84.584899902343693</v>
      </c>
      <c r="I210" s="5">
        <f t="shared" si="3"/>
        <v>-6.2580726679768378E-3</v>
      </c>
      <c r="J210" s="35"/>
      <c r="K210" s="5" t="e">
        <f t="shared" si="4"/>
        <v>#DIV/0!</v>
      </c>
      <c r="L210" s="36">
        <v>135.04400634765599</v>
      </c>
      <c r="M210" s="5">
        <f t="shared" si="5"/>
        <v>-4.425775713241242E-3</v>
      </c>
      <c r="N210" s="24">
        <v>92.224296569824219</v>
      </c>
      <c r="O210" s="5">
        <f t="shared" si="6"/>
        <v>-2.0818777203844441E-3</v>
      </c>
      <c r="P210" s="36">
        <v>17.135999679565401</v>
      </c>
      <c r="Q210" s="5">
        <f t="shared" si="7"/>
        <v>-2.3338255395997817E-4</v>
      </c>
      <c r="R210" s="24">
        <v>47.553001403808594</v>
      </c>
      <c r="S210" s="5">
        <f t="shared" si="8"/>
        <v>-5.6763535372517809E-4</v>
      </c>
      <c r="T210" s="62">
        <v>135.04400630000001</v>
      </c>
      <c r="U210" s="5">
        <f>LN(T210/T209)</f>
        <v>-4.4257762792442867E-3</v>
      </c>
      <c r="V210" s="59">
        <v>45.027999880000003</v>
      </c>
      <c r="W210" s="5">
        <f t="shared" ref="V210:W210" si="217">LN(V210/V209)</f>
        <v>9.3264530133117928E-3</v>
      </c>
      <c r="X210" s="5"/>
    </row>
    <row r="211" spans="1:24" ht="13.8" thickBot="1">
      <c r="A211" s="12">
        <v>45751</v>
      </c>
      <c r="B211" s="35">
        <v>707.26300048828102</v>
      </c>
      <c r="C211" s="5">
        <f t="shared" si="0"/>
        <v>-1.364004925305104E-2</v>
      </c>
      <c r="D211" s="24">
        <v>101.60269927978516</v>
      </c>
      <c r="E211" s="5">
        <f t="shared" si="1"/>
        <v>-2.5259277003860721E-2</v>
      </c>
      <c r="F211" s="24">
        <v>382.4534912109375</v>
      </c>
      <c r="G211" s="5">
        <f t="shared" si="2"/>
        <v>-1.8634389882981495E-2</v>
      </c>
      <c r="H211" s="36">
        <v>83.617103576660099</v>
      </c>
      <c r="I211" s="5">
        <f t="shared" si="3"/>
        <v>-1.1507675126408481E-2</v>
      </c>
      <c r="J211" s="35"/>
      <c r="K211" s="5" t="e">
        <f t="shared" si="4"/>
        <v>#DIV/0!</v>
      </c>
      <c r="L211" s="36">
        <v>131.53999328613199</v>
      </c>
      <c r="M211" s="5">
        <f t="shared" si="5"/>
        <v>-2.6289761433692906E-2</v>
      </c>
      <c r="N211" s="24">
        <v>90.433296203613281</v>
      </c>
      <c r="O211" s="5">
        <f t="shared" si="6"/>
        <v>-1.9611095706174437E-2</v>
      </c>
      <c r="P211" s="36">
        <v>16.8519992828369</v>
      </c>
      <c r="Q211" s="5">
        <f t="shared" si="7"/>
        <v>-1.6712193445682571E-2</v>
      </c>
      <c r="R211" s="24">
        <v>46.305999755859375</v>
      </c>
      <c r="S211" s="5">
        <f t="shared" si="8"/>
        <v>-2.6573370948116626E-2</v>
      </c>
      <c r="T211" s="62">
        <v>131.53999329999999</v>
      </c>
      <c r="U211" s="5">
        <f>LN(T211/T210)</f>
        <v>-2.6289760975372667E-2</v>
      </c>
      <c r="V211" s="59">
        <v>43.673000340000002</v>
      </c>
      <c r="W211" s="5">
        <f t="shared" ref="V211:W211" si="218">LN(V211/V210)</f>
        <v>-3.0554445858456167E-2</v>
      </c>
      <c r="X211" s="5"/>
    </row>
    <row r="212" spans="1:24" ht="13.8" thickBot="1">
      <c r="A212" s="12">
        <v>45754</v>
      </c>
      <c r="B212" s="35">
        <v>696.16387939453102</v>
      </c>
      <c r="C212" s="5">
        <f t="shared" si="0"/>
        <v>-1.5817500237992364E-2</v>
      </c>
      <c r="D212" s="24">
        <v>98.874099731445313</v>
      </c>
      <c r="E212" s="5">
        <f t="shared" si="1"/>
        <v>-2.7222781577646578E-2</v>
      </c>
      <c r="F212" s="24">
        <v>371.96240234375</v>
      </c>
      <c r="G212" s="5">
        <f t="shared" si="2"/>
        <v>-2.7814274071419658E-2</v>
      </c>
      <c r="H212" s="36">
        <v>82.059402465820298</v>
      </c>
      <c r="I212" s="5">
        <f t="shared" si="3"/>
        <v>-1.8804682089506176E-2</v>
      </c>
      <c r="J212" s="35"/>
      <c r="K212" s="5" t="e">
        <f t="shared" si="4"/>
        <v>#DIV/0!</v>
      </c>
      <c r="L212" s="36">
        <v>126.853996276855</v>
      </c>
      <c r="M212" s="5">
        <f t="shared" si="5"/>
        <v>-3.6274147327360208E-2</v>
      </c>
      <c r="N212" s="24">
        <v>87.780197143554688</v>
      </c>
      <c r="O212" s="5">
        <f t="shared" si="6"/>
        <v>-2.9776590281153769E-2</v>
      </c>
      <c r="P212" s="36">
        <v>16.3159999847412</v>
      </c>
      <c r="Q212" s="5">
        <f t="shared" si="7"/>
        <v>-3.2323081040104812E-2</v>
      </c>
      <c r="R212" s="24">
        <v>44.88800048828125</v>
      </c>
      <c r="S212" s="5">
        <f t="shared" si="8"/>
        <v>-3.1101027730235379E-2</v>
      </c>
      <c r="T212" s="62">
        <v>126.85399630000001</v>
      </c>
      <c r="U212" s="5">
        <f>LN(T212/T211)</f>
        <v>-3.6274147250334315E-2</v>
      </c>
      <c r="V212" s="59">
        <v>42.012001040000001</v>
      </c>
      <c r="W212" s="5">
        <f t="shared" ref="V212:W212" si="219">LN(V212/V211)</f>
        <v>-3.8774753453732408E-2</v>
      </c>
      <c r="X212" s="5"/>
    </row>
    <row r="213" spans="1:24" ht="13.8" thickBot="1">
      <c r="A213" s="12">
        <v>45755</v>
      </c>
      <c r="B213" s="35">
        <v>702.47259521484295</v>
      </c>
      <c r="C213" s="5">
        <f t="shared" si="0"/>
        <v>9.0212985581345582E-3</v>
      </c>
      <c r="D213" s="24">
        <v>99.809097290039063</v>
      </c>
      <c r="E213" s="5">
        <f t="shared" si="1"/>
        <v>9.4120134456064306E-3</v>
      </c>
      <c r="F213" s="24">
        <v>377.09600830078125</v>
      </c>
      <c r="G213" s="5">
        <f t="shared" si="2"/>
        <v>1.3707038757538358E-2</v>
      </c>
      <c r="H213" s="36">
        <v>82.620796203613196</v>
      </c>
      <c r="I213" s="5">
        <f t="shared" si="3"/>
        <v>6.8180135443185949E-3</v>
      </c>
      <c r="J213" s="35"/>
      <c r="K213" s="5" t="e">
        <f t="shared" si="4"/>
        <v>#DIV/0!</v>
      </c>
      <c r="L213" s="36">
        <v>129.54100036621</v>
      </c>
      <c r="M213" s="5">
        <f t="shared" si="5"/>
        <v>2.0960646669900052E-2</v>
      </c>
      <c r="N213" s="24">
        <v>89.240898132324219</v>
      </c>
      <c r="O213" s="5">
        <f t="shared" si="6"/>
        <v>1.6503503608668355E-2</v>
      </c>
      <c r="P213" s="36">
        <v>16.590000152587798</v>
      </c>
      <c r="Q213" s="5">
        <f t="shared" si="7"/>
        <v>1.6653892879822493E-2</v>
      </c>
      <c r="R213" s="24">
        <v>45.557998657226563</v>
      </c>
      <c r="S213" s="5">
        <f t="shared" si="8"/>
        <v>1.4815700658779395E-2</v>
      </c>
      <c r="T213" s="62">
        <v>129.5410004</v>
      </c>
      <c r="U213" s="5">
        <f>LN(T213/T212)</f>
        <v>2.0960646748290235E-2</v>
      </c>
      <c r="V213" s="59">
        <v>42.853000639999998</v>
      </c>
      <c r="W213" s="5">
        <f t="shared" ref="V213:W213" si="220">LN(V213/V212)</f>
        <v>1.9820352681113977E-2</v>
      </c>
      <c r="X213" s="5"/>
    </row>
    <row r="214" spans="1:24" ht="13.8" thickBot="1">
      <c r="A214" s="12">
        <v>45756</v>
      </c>
      <c r="B214" s="35">
        <v>702.81689453125</v>
      </c>
      <c r="C214" s="5">
        <f t="shared" si="0"/>
        <v>4.9000483645289669E-4</v>
      </c>
      <c r="D214" s="24">
        <v>99.115097045898438</v>
      </c>
      <c r="E214" s="5">
        <f t="shared" si="1"/>
        <v>-6.9775631079180252E-3</v>
      </c>
      <c r="F214" s="24">
        <v>376.472900390625</v>
      </c>
      <c r="G214" s="5">
        <f t="shared" si="2"/>
        <v>-1.6537520191738399E-3</v>
      </c>
      <c r="H214" s="36">
        <v>83.590896606445298</v>
      </c>
      <c r="I214" s="5">
        <f t="shared" si="3"/>
        <v>1.1673203036351762E-2</v>
      </c>
      <c r="J214" s="35"/>
      <c r="K214" s="5" t="e">
        <f t="shared" si="4"/>
        <v>#DIV/0!</v>
      </c>
      <c r="L214" s="36">
        <v>128.49499511718699</v>
      </c>
      <c r="M214" s="5">
        <f t="shared" si="5"/>
        <v>-8.1074811028582147E-3</v>
      </c>
      <c r="N214" s="24">
        <v>88.640998840332031</v>
      </c>
      <c r="O214" s="5">
        <f t="shared" si="6"/>
        <v>-6.7449423075718329E-3</v>
      </c>
      <c r="P214" s="36">
        <v>16.5030002593994</v>
      </c>
      <c r="Q214" s="5">
        <f t="shared" si="7"/>
        <v>-5.2579151201814075E-3</v>
      </c>
      <c r="R214" s="24">
        <v>45.233001708984375</v>
      </c>
      <c r="S214" s="5">
        <f t="shared" si="8"/>
        <v>-7.1592632546107491E-3</v>
      </c>
      <c r="T214" s="62">
        <v>128.49499510000001</v>
      </c>
      <c r="U214" s="5">
        <f>LN(T214/T213)</f>
        <v>-8.1074814974582844E-3</v>
      </c>
      <c r="V214" s="59">
        <v>42.2859993</v>
      </c>
      <c r="W214" s="5">
        <f t="shared" ref="V214:W214" si="221">LN(V214/V213)</f>
        <v>-1.3319623747739914E-2</v>
      </c>
      <c r="X214" s="5"/>
    </row>
    <row r="215" spans="1:24" ht="13.8" thickBot="1">
      <c r="A215" s="13">
        <v>45758</v>
      </c>
      <c r="B215" s="35">
        <v>711.29107666015602</v>
      </c>
      <c r="C215" s="5">
        <f t="shared" si="0"/>
        <v>1.198534163332011E-2</v>
      </c>
      <c r="D215" s="24">
        <v>100.56009674072266</v>
      </c>
      <c r="E215" s="5">
        <f t="shared" si="1"/>
        <v>1.4473755035515522E-2</v>
      </c>
      <c r="F215" s="24">
        <v>381.90289306640625</v>
      </c>
      <c r="G215" s="5">
        <f t="shared" si="2"/>
        <v>1.4320302722863146E-2</v>
      </c>
      <c r="H215" s="36">
        <v>84.398696899414006</v>
      </c>
      <c r="I215" s="5">
        <f t="shared" si="3"/>
        <v>9.6173400082553134E-3</v>
      </c>
      <c r="J215" s="35"/>
      <c r="K215" s="5" t="e">
        <f t="shared" si="4"/>
        <v>#DIV/0!</v>
      </c>
      <c r="L215" s="36">
        <v>131.37899780273401</v>
      </c>
      <c r="M215" s="5">
        <f t="shared" si="5"/>
        <v>2.2196304129741329E-2</v>
      </c>
      <c r="N215" s="24">
        <v>90.069297790527344</v>
      </c>
      <c r="O215" s="5">
        <f t="shared" si="6"/>
        <v>1.5984858060511642E-2</v>
      </c>
      <c r="P215" s="36">
        <v>16.790000915527301</v>
      </c>
      <c r="Q215" s="5">
        <f t="shared" si="7"/>
        <v>1.7241327337829439E-2</v>
      </c>
      <c r="R215" s="24">
        <v>46.015998840332031</v>
      </c>
      <c r="S215" s="5">
        <f t="shared" si="8"/>
        <v>1.7162190166565967E-2</v>
      </c>
      <c r="T215" s="62">
        <v>131.37899780000001</v>
      </c>
      <c r="U215" s="5">
        <f>LN(T215/T214)</f>
        <v>2.2196304242687277E-2</v>
      </c>
      <c r="V215" s="59">
        <v>43.541000369999999</v>
      </c>
      <c r="W215" s="5">
        <f t="shared" ref="V215:W215" si="222">LN(V215/V214)</f>
        <v>2.9246985977969462E-2</v>
      </c>
      <c r="X215" s="5"/>
    </row>
    <row r="216" spans="1:24" ht="13.8" thickBot="1">
      <c r="A216" s="13">
        <v>45762</v>
      </c>
      <c r="B216" s="35">
        <v>720.32672119140602</v>
      </c>
      <c r="C216" s="5">
        <f t="shared" si="0"/>
        <v>1.2623151969439502E-2</v>
      </c>
      <c r="D216" s="24">
        <v>102.40899658203125</v>
      </c>
      <c r="E216" s="5">
        <f t="shared" si="1"/>
        <v>1.8219039691140294E-2</v>
      </c>
      <c r="F216" s="24">
        <v>389.25729370117188</v>
      </c>
      <c r="G216" s="5">
        <f t="shared" si="2"/>
        <v>1.9074178712577949E-2</v>
      </c>
      <c r="H216" s="36">
        <v>85.409103393554602</v>
      </c>
      <c r="I216" s="5">
        <f t="shared" si="3"/>
        <v>1.1900730325361012E-2</v>
      </c>
      <c r="J216" s="35"/>
      <c r="K216" s="5" t="e">
        <f t="shared" si="4"/>
        <v>#DIV/0!</v>
      </c>
      <c r="L216" s="36">
        <v>135.225006103515</v>
      </c>
      <c r="M216" s="5">
        <f t="shared" si="5"/>
        <v>2.8853843691363529E-2</v>
      </c>
      <c r="N216" s="24">
        <v>92.326797485351563</v>
      </c>
      <c r="O216" s="5">
        <f t="shared" si="6"/>
        <v>2.4755080155076686E-2</v>
      </c>
      <c r="P216" s="36">
        <v>17.197999954223601</v>
      </c>
      <c r="Q216" s="5">
        <f t="shared" si="7"/>
        <v>2.4009569709398798E-2</v>
      </c>
      <c r="R216" s="24">
        <v>47.254001617431641</v>
      </c>
      <c r="S216" s="5">
        <f t="shared" si="8"/>
        <v>2.6548203772569293E-2</v>
      </c>
      <c r="T216" s="62">
        <v>135.2250061</v>
      </c>
      <c r="U216" s="5">
        <f>LN(T216/T215)</f>
        <v>2.885384368617977E-2</v>
      </c>
      <c r="V216" s="59">
        <v>44.77999878</v>
      </c>
      <c r="W216" s="5">
        <f t="shared" ref="V216:W216" si="223">LN(V216/V215)</f>
        <v>2.8058552499598738E-2</v>
      </c>
      <c r="X216" s="5"/>
    </row>
    <row r="217" spans="1:24" ht="13.8" thickBot="1">
      <c r="A217" s="13">
        <v>45763</v>
      </c>
      <c r="B217" s="35">
        <v>723.88897705078102</v>
      </c>
      <c r="C217" s="5">
        <f t="shared" si="0"/>
        <v>4.9331454961197702E-3</v>
      </c>
      <c r="D217" s="24">
        <v>102.92530059814453</v>
      </c>
      <c r="E217" s="5">
        <f t="shared" si="1"/>
        <v>5.0289222143246604E-3</v>
      </c>
      <c r="F217" s="24">
        <v>391.58840942382813</v>
      </c>
      <c r="G217" s="5">
        <f t="shared" si="2"/>
        <v>5.9707638492039472E-3</v>
      </c>
      <c r="H217" s="36">
        <v>85.245597839355398</v>
      </c>
      <c r="I217" s="5">
        <f t="shared" si="3"/>
        <v>-1.9162156453826388E-3</v>
      </c>
      <c r="J217" s="35"/>
      <c r="K217" s="5" t="e">
        <f t="shared" si="4"/>
        <v>#DIV/0!</v>
      </c>
      <c r="L217" s="36">
        <v>136.09899902343699</v>
      </c>
      <c r="M217" s="5">
        <f t="shared" si="5"/>
        <v>6.4424520229802188E-3</v>
      </c>
      <c r="N217" s="24">
        <v>92.898300170898438</v>
      </c>
      <c r="O217" s="5">
        <f t="shared" si="6"/>
        <v>6.1709185888633054E-3</v>
      </c>
      <c r="P217" s="36">
        <v>17.277000427246001</v>
      </c>
      <c r="Q217" s="5">
        <f t="shared" si="7"/>
        <v>4.5830665948456287E-3</v>
      </c>
      <c r="R217" s="24">
        <v>47.666999816894531</v>
      </c>
      <c r="S217" s="5">
        <f t="shared" si="8"/>
        <v>8.7019900632500421E-3</v>
      </c>
      <c r="T217" s="62">
        <v>136.09899899999999</v>
      </c>
      <c r="U217" s="5">
        <f>LN(T217/T216)</f>
        <v>6.4424518767682692E-3</v>
      </c>
      <c r="V217" s="59">
        <v>45.337001800000003</v>
      </c>
      <c r="W217" s="5">
        <f t="shared" ref="V217:W217" si="224">LN(V217/V216)</f>
        <v>1.2361931926449816E-2</v>
      </c>
      <c r="X217" s="5"/>
    </row>
    <row r="218" spans="1:24" ht="13.8" thickBot="1">
      <c r="A218" s="13">
        <v>45764</v>
      </c>
      <c r="B218" s="35">
        <v>728.59490966796795</v>
      </c>
      <c r="C218" s="5">
        <f t="shared" si="0"/>
        <v>6.4798640818178269E-3</v>
      </c>
      <c r="D218" s="24">
        <v>103.86100006103516</v>
      </c>
      <c r="E218" s="5">
        <f t="shared" si="1"/>
        <v>9.0499790964237506E-3</v>
      </c>
      <c r="F218" s="24">
        <v>395.70639038085938</v>
      </c>
      <c r="G218" s="5">
        <f t="shared" si="2"/>
        <v>1.0461185600963541E-2</v>
      </c>
      <c r="H218" s="36">
        <v>85.985099792480398</v>
      </c>
      <c r="I218" s="5">
        <f t="shared" si="3"/>
        <v>8.6375464332996612E-3</v>
      </c>
      <c r="J218" s="35"/>
      <c r="K218" s="5" t="e">
        <f t="shared" si="4"/>
        <v>#DIV/0!</v>
      </c>
      <c r="L218" s="36">
        <v>136.61199951171801</v>
      </c>
      <c r="M218" s="5">
        <f t="shared" si="5"/>
        <v>3.7622325182139048E-3</v>
      </c>
      <c r="N218" s="24">
        <v>94.105499267578125</v>
      </c>
      <c r="O218" s="5">
        <f t="shared" si="6"/>
        <v>1.291113731390117E-2</v>
      </c>
      <c r="P218" s="36">
        <v>17.5590000152587</v>
      </c>
      <c r="Q218" s="5">
        <f t="shared" si="7"/>
        <v>1.6190477924367272E-2</v>
      </c>
      <c r="R218" s="24">
        <v>47.977001190185547</v>
      </c>
      <c r="S218" s="5">
        <f t="shared" si="8"/>
        <v>6.4824234786173629E-3</v>
      </c>
      <c r="T218" s="62">
        <v>136.6119995</v>
      </c>
      <c r="U218" s="5">
        <f>LN(T218/T217)</f>
        <v>3.7622326046436155E-3</v>
      </c>
      <c r="V218" s="59">
        <v>45.591999049999998</v>
      </c>
      <c r="W218" s="5">
        <f t="shared" ref="V218:W218" si="225">LN(V218/V217)</f>
        <v>5.6087258429564028E-3</v>
      </c>
      <c r="X218" s="5"/>
    </row>
    <row r="219" spans="1:24" ht="13.8" thickBot="1">
      <c r="A219" s="13">
        <v>45768</v>
      </c>
      <c r="B219" s="35">
        <v>733.93170166015602</v>
      </c>
      <c r="C219" s="5">
        <f t="shared" si="0"/>
        <v>7.2980766820205161E-3</v>
      </c>
      <c r="D219" s="24">
        <v>105.57929992675781</v>
      </c>
      <c r="E219" s="5">
        <f t="shared" si="1"/>
        <v>1.6408861332872338E-2</v>
      </c>
      <c r="F219" s="24">
        <v>400.28179931640625</v>
      </c>
      <c r="G219" s="5">
        <f t="shared" si="2"/>
        <v>1.1496299535673332E-2</v>
      </c>
      <c r="H219" s="36">
        <v>86.602897644042898</v>
      </c>
      <c r="I219" s="5">
        <f t="shared" si="3"/>
        <v>7.1592520858919477E-3</v>
      </c>
      <c r="J219" s="35"/>
      <c r="K219" s="5" t="e">
        <f t="shared" si="4"/>
        <v>#DIV/0!</v>
      </c>
      <c r="L219" s="36">
        <v>138.94400024414</v>
      </c>
      <c r="M219" s="5">
        <f t="shared" si="5"/>
        <v>1.6926188578258144E-2</v>
      </c>
      <c r="N219" s="24">
        <v>95.38690185546875</v>
      </c>
      <c r="O219" s="5">
        <f t="shared" si="6"/>
        <v>1.3524786356254146E-2</v>
      </c>
      <c r="P219" s="36">
        <v>17.771999359130799</v>
      </c>
      <c r="Q219" s="5">
        <f t="shared" si="7"/>
        <v>1.2057509166859673E-2</v>
      </c>
      <c r="R219" s="24">
        <v>48.708999633789063</v>
      </c>
      <c r="S219" s="5">
        <f t="shared" si="8"/>
        <v>1.5142056212395592E-2</v>
      </c>
      <c r="T219" s="62">
        <v>138.9440002</v>
      </c>
      <c r="U219" s="5">
        <f>LN(T219/T218)</f>
        <v>1.6926188346352178E-2</v>
      </c>
      <c r="V219" s="59">
        <v>46.265998840000002</v>
      </c>
      <c r="W219" s="5">
        <f t="shared" ref="V219:W219" si="226">LN(V219/V218)</f>
        <v>1.4675083310761693E-2</v>
      </c>
      <c r="X219" s="5"/>
    </row>
    <row r="220" spans="1:24" ht="13.8" thickBot="1">
      <c r="A220" s="13">
        <v>45769</v>
      </c>
      <c r="B220" s="35">
        <v>734.5927734375</v>
      </c>
      <c r="C220" s="5">
        <f t="shared" si="0"/>
        <v>9.0032114984566977E-4</v>
      </c>
      <c r="D220" s="24">
        <v>106.38690185546875</v>
      </c>
      <c r="E220" s="5">
        <f t="shared" si="1"/>
        <v>7.6201378314238533E-3</v>
      </c>
      <c r="F220" s="24">
        <v>401.6094970703125</v>
      </c>
      <c r="G220" s="5">
        <f t="shared" si="2"/>
        <v>3.3114188247887217E-3</v>
      </c>
      <c r="H220" s="36">
        <v>87.120101928710895</v>
      </c>
      <c r="I220" s="5">
        <f t="shared" si="3"/>
        <v>5.9543735031452822E-3</v>
      </c>
      <c r="J220" s="35"/>
      <c r="K220" s="5" t="e">
        <f t="shared" si="4"/>
        <v>#DIV/0!</v>
      </c>
      <c r="L220" s="36">
        <v>140.11199951171801</v>
      </c>
      <c r="M220" s="5">
        <f t="shared" si="5"/>
        <v>8.3711232819907461E-3</v>
      </c>
      <c r="N220" s="24">
        <v>95.620399475097656</v>
      </c>
      <c r="O220" s="5">
        <f t="shared" si="6"/>
        <v>2.4449090093928579E-3</v>
      </c>
      <c r="P220" s="36">
        <v>17.771999359130799</v>
      </c>
      <c r="Q220" s="5">
        <f t="shared" si="7"/>
        <v>0</v>
      </c>
      <c r="R220" s="24">
        <v>48.998001098632813</v>
      </c>
      <c r="S220" s="5">
        <f t="shared" si="8"/>
        <v>5.9156929490738848E-3</v>
      </c>
      <c r="T220" s="62">
        <v>140.1119995</v>
      </c>
      <c r="U220" s="5">
        <f>LN(T220/T219)</f>
        <v>8.3711235160393686E-3</v>
      </c>
      <c r="V220" s="59">
        <v>46.618000029999997</v>
      </c>
      <c r="W220" s="5">
        <f t="shared" ref="V220:W220" si="227">LN(V220/V219)</f>
        <v>7.579408281535212E-3</v>
      </c>
      <c r="X220" s="5"/>
    </row>
    <row r="221" spans="1:24" ht="13.8" thickBot="1">
      <c r="A221" s="13">
        <v>45770</v>
      </c>
      <c r="B221" s="35">
        <v>737.21771240234295</v>
      </c>
      <c r="C221" s="5">
        <f t="shared" si="0"/>
        <v>3.5669561716358779E-3</v>
      </c>
      <c r="D221" s="24">
        <v>108.04100036621094</v>
      </c>
      <c r="E221" s="5">
        <f t="shared" si="1"/>
        <v>1.5428321634679795E-2</v>
      </c>
      <c r="F221" s="24">
        <v>403.24578857421875</v>
      </c>
      <c r="G221" s="5">
        <f t="shared" si="2"/>
        <v>4.0660570601119116E-3</v>
      </c>
      <c r="H221" s="36">
        <v>87.751701354980398</v>
      </c>
      <c r="I221" s="5">
        <f t="shared" si="3"/>
        <v>7.2236022141304226E-3</v>
      </c>
      <c r="J221" s="35"/>
      <c r="K221" s="5" t="e">
        <f t="shared" si="4"/>
        <v>#DIV/0!</v>
      </c>
      <c r="L221" s="36">
        <v>140.96299743652301</v>
      </c>
      <c r="M221" s="5">
        <f t="shared" si="5"/>
        <v>6.0553271143802476E-3</v>
      </c>
      <c r="N221" s="24">
        <v>96.170799255371094</v>
      </c>
      <c r="O221" s="5">
        <f t="shared" si="6"/>
        <v>5.7395886244549464E-3</v>
      </c>
      <c r="P221" s="36">
        <v>17.931999206542901</v>
      </c>
      <c r="Q221" s="5">
        <f t="shared" si="7"/>
        <v>8.9626330320334222E-3</v>
      </c>
      <c r="R221" s="24">
        <v>49.4010009765625</v>
      </c>
      <c r="S221" s="5">
        <f t="shared" si="8"/>
        <v>8.1911832989630222E-3</v>
      </c>
      <c r="T221" s="62">
        <v>140.96299740000001</v>
      </c>
      <c r="U221" s="5">
        <f>LN(T221/T220)</f>
        <v>6.0553269389171651E-3</v>
      </c>
      <c r="V221" s="59">
        <v>46.803001399999999</v>
      </c>
      <c r="W221" s="5">
        <f t="shared" ref="V221:W221" si="228">LN(V221/V220)</f>
        <v>3.96060005782802E-3</v>
      </c>
      <c r="X221" s="5"/>
    </row>
    <row r="222" spans="1:24" ht="13.8" thickBot="1">
      <c r="A222" s="13">
        <v>45771</v>
      </c>
      <c r="B222" s="35">
        <v>736.79681396484295</v>
      </c>
      <c r="C222" s="5">
        <f t="shared" si="0"/>
        <v>-5.7109131750121534E-4</v>
      </c>
      <c r="D222" s="24">
        <v>107.18599700927734</v>
      </c>
      <c r="E222" s="5">
        <f t="shared" si="1"/>
        <v>-7.9451729112417404E-3</v>
      </c>
      <c r="F222" s="24">
        <v>403.1962890625</v>
      </c>
      <c r="G222" s="5">
        <f t="shared" si="2"/>
        <v>-1.2276024070064257E-4</v>
      </c>
      <c r="H222" s="36">
        <v>87.863197326660099</v>
      </c>
      <c r="I222" s="5">
        <f t="shared" si="3"/>
        <v>1.2697782192452084E-3</v>
      </c>
      <c r="J222" s="35"/>
      <c r="K222" s="5" t="e">
        <f t="shared" si="4"/>
        <v>#DIV/0!</v>
      </c>
      <c r="L222" s="36">
        <v>140.86700439453099</v>
      </c>
      <c r="M222" s="5">
        <f t="shared" si="5"/>
        <v>-6.8121239811575818E-4</v>
      </c>
      <c r="N222" s="24">
        <v>96.059700012207031</v>
      </c>
      <c r="O222" s="5">
        <f t="shared" si="6"/>
        <v>-1.155896238706169E-3</v>
      </c>
      <c r="P222" s="36">
        <v>17.892999649047798</v>
      </c>
      <c r="Q222" s="5">
        <f t="shared" si="7"/>
        <v>-2.1772267492965905E-3</v>
      </c>
      <c r="R222" s="24">
        <v>49.430000305175781</v>
      </c>
      <c r="S222" s="5">
        <f t="shared" si="8"/>
        <v>5.868468207232085E-4</v>
      </c>
      <c r="T222" s="62">
        <v>140.86700440000001</v>
      </c>
      <c r="U222" s="5">
        <f>LN(T222/T221)</f>
        <v>-6.8121210019536302E-4</v>
      </c>
      <c r="V222" s="59">
        <v>46.82799911</v>
      </c>
      <c r="W222" s="5">
        <f t="shared" ref="V222:W222" si="229">LN(V222/V221)</f>
        <v>5.3396226586875086E-4</v>
      </c>
      <c r="X222" s="5"/>
    </row>
    <row r="223" spans="1:24" ht="13.8" thickBot="1">
      <c r="A223" s="13">
        <v>45772</v>
      </c>
      <c r="B223" s="35">
        <v>731.152099609375</v>
      </c>
      <c r="C223" s="5">
        <f t="shared" si="0"/>
        <v>-7.6906520726441486E-3</v>
      </c>
      <c r="D223" s="24">
        <v>106.36219787597656</v>
      </c>
      <c r="E223" s="5">
        <f t="shared" si="1"/>
        <v>-7.7153845320445469E-3</v>
      </c>
      <c r="F223" s="24">
        <v>398.12789916992188</v>
      </c>
      <c r="G223" s="5">
        <f t="shared" si="2"/>
        <v>-1.2650204641394554E-2</v>
      </c>
      <c r="H223" s="36">
        <v>87.293403625488196</v>
      </c>
      <c r="I223" s="5">
        <f t="shared" si="3"/>
        <v>-6.5061288927365651E-3</v>
      </c>
      <c r="J223" s="35"/>
      <c r="K223" s="5" t="e">
        <f t="shared" si="4"/>
        <v>#DIV/0!</v>
      </c>
      <c r="L223" s="36">
        <v>138.11500549316401</v>
      </c>
      <c r="M223" s="5">
        <f t="shared" si="5"/>
        <v>-1.9729502777704279E-2</v>
      </c>
      <c r="N223" s="24">
        <v>94.8843994140625</v>
      </c>
      <c r="O223" s="5">
        <f t="shared" si="6"/>
        <v>-1.2310570944281837E-2</v>
      </c>
      <c r="P223" s="36">
        <v>17.701000213623001</v>
      </c>
      <c r="Q223" s="5">
        <f t="shared" si="7"/>
        <v>-1.0788408068352469E-2</v>
      </c>
      <c r="R223" s="24">
        <v>48.678001403808594</v>
      </c>
      <c r="S223" s="5">
        <f t="shared" si="8"/>
        <v>-1.5330322013117171E-2</v>
      </c>
      <c r="T223" s="62">
        <v>138.1150055</v>
      </c>
      <c r="U223" s="5">
        <f>LN(T223/T222)</f>
        <v>-1.9729502767033402E-2</v>
      </c>
      <c r="V223" s="59">
        <v>45.810001370000002</v>
      </c>
      <c r="W223" s="5">
        <f t="shared" ref="V223:W223" si="230">LN(V223/V222)</f>
        <v>-2.197885780691838E-2</v>
      </c>
      <c r="X223" s="5"/>
    </row>
    <row r="224" spans="1:24" ht="13.8" thickBot="1">
      <c r="A224" s="13">
        <v>45775</v>
      </c>
      <c r="B224" s="35">
        <v>734.72320556640602</v>
      </c>
      <c r="C224" s="5">
        <f t="shared" si="0"/>
        <v>4.872328511345554E-3</v>
      </c>
      <c r="D224" s="24">
        <v>107.4136962890625</v>
      </c>
      <c r="E224" s="5">
        <f t="shared" si="1"/>
        <v>9.8374692539212865E-3</v>
      </c>
      <c r="F224" s="24">
        <v>402.5791015625</v>
      </c>
      <c r="G224" s="5">
        <f t="shared" si="2"/>
        <v>1.1118294811733785E-2</v>
      </c>
      <c r="H224" s="36">
        <v>87.811302185058594</v>
      </c>
      <c r="I224" s="5">
        <f t="shared" si="3"/>
        <v>5.9153186925620252E-3</v>
      </c>
      <c r="J224" s="35"/>
      <c r="K224" s="5" t="e">
        <f t="shared" si="4"/>
        <v>#DIV/0!</v>
      </c>
      <c r="L224" s="36">
        <v>139.61300659179599</v>
      </c>
      <c r="M224" s="5">
        <f t="shared" si="5"/>
        <v>1.0787645183027113E-2</v>
      </c>
      <c r="N224" s="24">
        <v>96.0281982421875</v>
      </c>
      <c r="O224" s="5">
        <f t="shared" si="6"/>
        <v>1.1982577660080113E-2</v>
      </c>
      <c r="P224" s="36">
        <v>17.9270000457763</v>
      </c>
      <c r="Q224" s="5">
        <f t="shared" si="7"/>
        <v>1.2686811598751532E-2</v>
      </c>
      <c r="R224" s="24">
        <v>49.116001129150391</v>
      </c>
      <c r="S224" s="5">
        <f t="shared" si="8"/>
        <v>8.9576588080788177E-3</v>
      </c>
      <c r="T224" s="62">
        <v>139.61300660000001</v>
      </c>
      <c r="U224" s="5">
        <f>LN(T224/T223)</f>
        <v>1.0787645192294658E-2</v>
      </c>
      <c r="V224" s="59">
        <v>46.011001589999999</v>
      </c>
      <c r="W224" s="5">
        <f t="shared" ref="V224:W224" si="231">LN(V224/V223)</f>
        <v>4.378095088921348E-3</v>
      </c>
      <c r="X224" s="5"/>
    </row>
    <row r="225" spans="1:24" ht="13.8" thickBot="1">
      <c r="A225" s="13">
        <v>45776</v>
      </c>
      <c r="B225" s="35">
        <v>735.56970214843705</v>
      </c>
      <c r="C225" s="5">
        <f t="shared" si="0"/>
        <v>1.1514667194794498E-3</v>
      </c>
      <c r="D225" s="24">
        <v>108.48069763183594</v>
      </c>
      <c r="E225" s="5">
        <f t="shared" si="1"/>
        <v>9.8845552304020774E-3</v>
      </c>
      <c r="F225" s="24">
        <v>402.880615234375</v>
      </c>
      <c r="G225" s="5">
        <f t="shared" si="2"/>
        <v>7.4867477459348946E-4</v>
      </c>
      <c r="H225" s="36">
        <v>87.519599914550696</v>
      </c>
      <c r="I225" s="5">
        <f t="shared" si="3"/>
        <v>-3.3274515348637843E-3</v>
      </c>
      <c r="J225" s="35"/>
      <c r="K225" s="5" t="e">
        <f t="shared" si="4"/>
        <v>#DIV/0!</v>
      </c>
      <c r="L225" s="36">
        <v>139.98399353027301</v>
      </c>
      <c r="M225" s="5">
        <f t="shared" si="5"/>
        <v>2.6537277297746685E-3</v>
      </c>
      <c r="N225" s="24">
        <v>96.092903137207031</v>
      </c>
      <c r="O225" s="5">
        <f t="shared" si="6"/>
        <v>6.7358449437807404E-4</v>
      </c>
      <c r="P225" s="36">
        <v>17.922000885009702</v>
      </c>
      <c r="Q225" s="5">
        <f t="shared" si="7"/>
        <v>-2.7890098296773905E-4</v>
      </c>
      <c r="R225" s="24">
        <v>49.21099853515625</v>
      </c>
      <c r="S225" s="5">
        <f t="shared" si="8"/>
        <v>1.9322756900496038E-3</v>
      </c>
      <c r="T225" s="62">
        <v>139.9839935</v>
      </c>
      <c r="U225" s="5">
        <f>LN(T225/T224)</f>
        <v>2.6537274547516099E-3</v>
      </c>
      <c r="V225" s="59">
        <v>45.993000029999997</v>
      </c>
      <c r="W225" s="5">
        <f t="shared" ref="V225:W225" si="232">LN(V225/V224)</f>
        <v>-3.9132124500561045E-4</v>
      </c>
      <c r="X225" s="5"/>
    </row>
    <row r="226" spans="1:24" ht="13.8" thickBot="1">
      <c r="A226" s="13">
        <v>45777</v>
      </c>
      <c r="B226" s="35">
        <v>733.40557861328102</v>
      </c>
      <c r="C226" s="5">
        <f t="shared" si="0"/>
        <v>-2.9464418212542718E-3</v>
      </c>
      <c r="D226" s="24">
        <v>108.15920257568359</v>
      </c>
      <c r="E226" s="5">
        <f t="shared" si="1"/>
        <v>-2.9680155119312787E-3</v>
      </c>
      <c r="F226" s="24">
        <v>402.41268920898438</v>
      </c>
      <c r="G226" s="5">
        <f t="shared" si="2"/>
        <v>-1.1621258378067547E-3</v>
      </c>
      <c r="H226" s="36">
        <v>87.411903381347599</v>
      </c>
      <c r="I226" s="5">
        <f t="shared" si="3"/>
        <v>-1.2312996204860399E-3</v>
      </c>
      <c r="J226" s="35"/>
      <c r="K226" s="5" t="e">
        <f t="shared" si="4"/>
        <v>#DIV/0!</v>
      </c>
      <c r="L226" s="36">
        <v>139.49899291992099</v>
      </c>
      <c r="M226" s="5">
        <f t="shared" si="5"/>
        <v>-3.470702122964236E-3</v>
      </c>
      <c r="N226" s="24">
        <v>95.814697265625</v>
      </c>
      <c r="O226" s="5">
        <f t="shared" si="6"/>
        <v>-2.899375177324537E-3</v>
      </c>
      <c r="P226" s="36">
        <v>17.922000885009702</v>
      </c>
      <c r="Q226" s="5">
        <f t="shared" si="7"/>
        <v>0</v>
      </c>
      <c r="R226" s="24">
        <v>48.976001739501953</v>
      </c>
      <c r="S226" s="5">
        <f t="shared" si="8"/>
        <v>-4.7867282572848641E-3</v>
      </c>
      <c r="T226" s="62">
        <v>139.49899289999999</v>
      </c>
      <c r="U226" s="5">
        <f>LN(T226/T225)</f>
        <v>-3.4707020495076206E-3</v>
      </c>
      <c r="V226" s="59">
        <v>45.307998660000003</v>
      </c>
      <c r="W226" s="5">
        <f t="shared" ref="V226:W226" si="233">LN(V226/V225)</f>
        <v>-1.5005623885584142E-2</v>
      </c>
      <c r="X226" s="5"/>
    </row>
    <row r="227" spans="1:24" ht="13.8" thickBot="1">
      <c r="A227" s="25">
        <v>45779</v>
      </c>
      <c r="B227" s="35">
        <v>732.90460205078102</v>
      </c>
      <c r="C227" s="5">
        <f t="shared" si="0"/>
        <v>-6.8331597038509258E-4</v>
      </c>
      <c r="D227" s="24">
        <v>107.95020294189453</v>
      </c>
      <c r="E227" s="5">
        <f t="shared" si="1"/>
        <v>-1.9342027103964236E-3</v>
      </c>
      <c r="F227" s="24">
        <v>402.080810546875</v>
      </c>
      <c r="G227" s="5">
        <f t="shared" si="2"/>
        <v>-8.2506243005489057E-4</v>
      </c>
      <c r="H227" s="36">
        <v>87.984703063964801</v>
      </c>
      <c r="I227" s="5">
        <f t="shared" si="3"/>
        <v>6.5315028671607649E-3</v>
      </c>
      <c r="J227" s="35"/>
      <c r="K227" s="5" t="e">
        <f t="shared" si="4"/>
        <v>#DIV/0!</v>
      </c>
      <c r="L227" s="36">
        <v>139.25199890136699</v>
      </c>
      <c r="M227" s="5">
        <f t="shared" si="5"/>
        <v>-1.7721485515140901E-3</v>
      </c>
      <c r="N227" s="24">
        <v>95.93890380859375</v>
      </c>
      <c r="O227" s="5">
        <f t="shared" si="6"/>
        <v>1.295480863399162E-3</v>
      </c>
      <c r="P227" s="36">
        <v>17.934999465942301</v>
      </c>
      <c r="Q227" s="5">
        <f t="shared" si="7"/>
        <v>7.250233636264911E-4</v>
      </c>
      <c r="R227" s="24">
        <v>48.859001159667969</v>
      </c>
      <c r="S227" s="5">
        <f t="shared" si="8"/>
        <v>-2.3917950047285482E-3</v>
      </c>
      <c r="T227" s="62">
        <v>139.25199889999999</v>
      </c>
      <c r="U227" s="5">
        <f>LN(T227/T226)</f>
        <v>-1.7721484185269274E-3</v>
      </c>
      <c r="V227" s="59">
        <v>45.13999939</v>
      </c>
      <c r="W227" s="5">
        <f t="shared" ref="V227:W227" si="234">LN(V227/V226)</f>
        <v>-3.7148298872398677E-3</v>
      </c>
      <c r="X227" s="5"/>
    </row>
    <row r="228" spans="1:24" ht="13.8" thickBot="1">
      <c r="A228" s="25">
        <v>45782</v>
      </c>
      <c r="B228" s="35">
        <v>735.43719482421795</v>
      </c>
      <c r="C228" s="5">
        <f t="shared" si="0"/>
        <v>3.4495991195758221E-3</v>
      </c>
      <c r="D228" s="24">
        <v>109.89309692382813</v>
      </c>
      <c r="E228" s="5">
        <f t="shared" si="1"/>
        <v>1.7838010175726608E-2</v>
      </c>
      <c r="F228" s="24">
        <v>404.13198852539063</v>
      </c>
      <c r="G228" s="5">
        <f t="shared" si="2"/>
        <v>5.0884391978617948E-3</v>
      </c>
      <c r="H228" s="36">
        <v>88.061500549316406</v>
      </c>
      <c r="I228" s="5">
        <f t="shared" si="3"/>
        <v>8.7246971132463956E-4</v>
      </c>
      <c r="J228" s="35"/>
      <c r="K228" s="5" t="e">
        <f t="shared" si="4"/>
        <v>#DIV/0!</v>
      </c>
      <c r="L228" s="36">
        <v>140.90499877929599</v>
      </c>
      <c r="M228" s="5">
        <f t="shared" si="5"/>
        <v>1.1800662300289226E-2</v>
      </c>
      <c r="N228" s="24">
        <v>96.555198669433594</v>
      </c>
      <c r="O228" s="5">
        <f t="shared" si="6"/>
        <v>6.4032815414313557E-3</v>
      </c>
      <c r="P228" s="36">
        <v>18.0820007324218</v>
      </c>
      <c r="Q228" s="5">
        <f t="shared" si="7"/>
        <v>8.1629276139046376E-3</v>
      </c>
      <c r="R228" s="24">
        <v>49.491001129150391</v>
      </c>
      <c r="S228" s="5">
        <f t="shared" si="8"/>
        <v>1.2852234961400233E-2</v>
      </c>
      <c r="T228" s="62">
        <v>140.90499879999999</v>
      </c>
      <c r="U228" s="5">
        <f>LN(T228/T227)</f>
        <v>1.1800662457041828E-2</v>
      </c>
      <c r="V228" s="59">
        <v>45.667999270000003</v>
      </c>
      <c r="W228" s="5">
        <f t="shared" ref="V228:W228" si="235">LN(V228/V227)</f>
        <v>1.1629059953269821E-2</v>
      </c>
      <c r="X228" s="5"/>
    </row>
    <row r="229" spans="1:24" ht="13.8" thickBot="1">
      <c r="A229" s="25">
        <v>45783</v>
      </c>
      <c r="B229" s="35">
        <v>735.06561279296795</v>
      </c>
      <c r="C229" s="5">
        <f t="shared" si="0"/>
        <v>-5.0538093124881129E-4</v>
      </c>
      <c r="D229" s="24">
        <v>108.51029968261719</v>
      </c>
      <c r="E229" s="5">
        <f t="shared" si="1"/>
        <v>-1.266295067121429E-2</v>
      </c>
      <c r="F229" s="24">
        <v>400.81729125976563</v>
      </c>
      <c r="G229" s="5">
        <f t="shared" si="2"/>
        <v>-8.2358381699452442E-3</v>
      </c>
      <c r="H229" s="36">
        <v>87.785003662109304</v>
      </c>
      <c r="I229" s="5">
        <f t="shared" si="3"/>
        <v>-3.1447553229980189E-3</v>
      </c>
      <c r="J229" s="35"/>
      <c r="K229" s="5" t="e">
        <f t="shared" si="4"/>
        <v>#DIV/0!</v>
      </c>
      <c r="L229" s="36">
        <v>138.91499328613199</v>
      </c>
      <c r="M229" s="5">
        <f t="shared" si="5"/>
        <v>-1.4223708812523517E-2</v>
      </c>
      <c r="N229" s="24">
        <v>95.564796447753906</v>
      </c>
      <c r="O229" s="5">
        <f t="shared" si="6"/>
        <v>-1.0310337501575954E-2</v>
      </c>
      <c r="P229" s="36">
        <v>17.94700050354</v>
      </c>
      <c r="Q229" s="5">
        <f t="shared" si="7"/>
        <v>-7.4940107165525635E-3</v>
      </c>
      <c r="R229" s="24">
        <v>48.741001129150391</v>
      </c>
      <c r="S229" s="5">
        <f t="shared" si="8"/>
        <v>-1.5270269495105127E-2</v>
      </c>
      <c r="T229" s="62">
        <v>138.91499329999999</v>
      </c>
      <c r="U229" s="5">
        <f>LN(T229/T228)</f>
        <v>-1.4223708859628523E-2</v>
      </c>
      <c r="V229" s="59">
        <v>44.562999730000001</v>
      </c>
      <c r="W229" s="5">
        <f t="shared" ref="V229:W229" si="236">LN(V229/V228)</f>
        <v>-2.4493905580061766E-2</v>
      </c>
      <c r="X229" s="5"/>
    </row>
    <row r="230" spans="1:24" ht="13.8" thickBot="1">
      <c r="A230" s="25">
        <v>45784</v>
      </c>
      <c r="B230" s="35">
        <v>736.00762939453102</v>
      </c>
      <c r="C230" s="5">
        <f t="shared" si="0"/>
        <v>1.2807203656613161E-3</v>
      </c>
      <c r="D230" s="24">
        <v>109.70570373535156</v>
      </c>
      <c r="E230" s="5">
        <f t="shared" si="1"/>
        <v>1.0956263445233757E-2</v>
      </c>
      <c r="F230" s="24">
        <v>402.69290161132813</v>
      </c>
      <c r="G230" s="5">
        <f t="shared" si="2"/>
        <v>4.6685500067965187E-3</v>
      </c>
      <c r="H230" s="36">
        <v>88.044601440429602</v>
      </c>
      <c r="I230" s="5">
        <f t="shared" si="3"/>
        <v>2.9528356933231415E-3</v>
      </c>
      <c r="J230" s="35"/>
      <c r="K230" s="5" t="e">
        <f t="shared" si="4"/>
        <v>#DIV/0!</v>
      </c>
      <c r="L230" s="36">
        <v>140.60299682617099</v>
      </c>
      <c r="M230" s="5">
        <f t="shared" si="5"/>
        <v>1.2078106742971743E-2</v>
      </c>
      <c r="N230" s="24">
        <v>96.020797729492188</v>
      </c>
      <c r="O230" s="5">
        <f t="shared" si="6"/>
        <v>4.7602967727800637E-3</v>
      </c>
      <c r="P230" s="36">
        <v>17.9340000152587</v>
      </c>
      <c r="Q230" s="5">
        <f t="shared" si="7"/>
        <v>-7.2464472351483418E-4</v>
      </c>
      <c r="R230" s="24">
        <v>49.215000152587891</v>
      </c>
      <c r="S230" s="5">
        <f t="shared" si="8"/>
        <v>9.6778699995503994E-3</v>
      </c>
      <c r="T230" s="62">
        <v>140.6029968</v>
      </c>
      <c r="U230" s="5">
        <f>LN(T230/T229)</f>
        <v>1.2078106457007015E-2</v>
      </c>
      <c r="V230" s="59">
        <v>45.064998629999998</v>
      </c>
      <c r="W230" s="5">
        <f t="shared" ref="V230:W230" si="237">LN(V230/V229)</f>
        <v>1.1201949358755939E-2</v>
      </c>
      <c r="X230" s="5"/>
    </row>
    <row r="231" spans="1:24" ht="13.8" thickBot="1">
      <c r="A231" s="25">
        <v>45785</v>
      </c>
      <c r="B231" s="35">
        <v>732.64880371093705</v>
      </c>
      <c r="C231" s="5">
        <f t="shared" si="0"/>
        <v>-4.5740194423897563E-3</v>
      </c>
      <c r="D231" s="24">
        <v>109.05449676513672</v>
      </c>
      <c r="E231" s="5">
        <f t="shared" si="1"/>
        <v>-5.9536322627830734E-3</v>
      </c>
      <c r="F231" s="24">
        <v>399.66531372070313</v>
      </c>
      <c r="G231" s="5">
        <f t="shared" si="2"/>
        <v>-7.5467595447729673E-3</v>
      </c>
      <c r="H231" s="36">
        <v>87.831001281738196</v>
      </c>
      <c r="I231" s="5">
        <f t="shared" si="3"/>
        <v>-2.4289925425185922E-3</v>
      </c>
      <c r="J231" s="35"/>
      <c r="K231" s="5" t="e">
        <f t="shared" si="4"/>
        <v>#DIV/0!</v>
      </c>
      <c r="L231" s="36">
        <v>138.72099304199199</v>
      </c>
      <c r="M231" s="5">
        <f t="shared" si="5"/>
        <v>-1.3475622088731529E-2</v>
      </c>
      <c r="N231" s="24">
        <v>95.148696899414063</v>
      </c>
      <c r="O231" s="5">
        <f t="shared" si="6"/>
        <v>-9.1239125955272001E-3</v>
      </c>
      <c r="P231" s="36">
        <v>17.8159999847412</v>
      </c>
      <c r="Q231" s="5">
        <f t="shared" si="7"/>
        <v>-6.6014242820805974E-3</v>
      </c>
      <c r="R231" s="24">
        <v>48.609001159667969</v>
      </c>
      <c r="S231" s="5">
        <f t="shared" si="8"/>
        <v>-1.2389735377573216E-2</v>
      </c>
      <c r="T231" s="62">
        <v>138.72099299999999</v>
      </c>
      <c r="U231" s="5">
        <f>LN(T231/T230)</f>
        <v>-1.3475622205305791E-2</v>
      </c>
      <c r="V231" s="59">
        <v>44.664001460000001</v>
      </c>
      <c r="W231" s="5">
        <f t="shared" ref="V231:W231" si="238">LN(V231/V230)</f>
        <v>-8.9380209112624575E-3</v>
      </c>
      <c r="X231" s="5"/>
    </row>
    <row r="232" spans="1:24" ht="13.8" thickBot="1">
      <c r="A232" s="25">
        <v>45786</v>
      </c>
      <c r="B232" s="35">
        <v>730.10241699218705</v>
      </c>
      <c r="C232" s="5">
        <f t="shared" si="0"/>
        <v>-3.4816437066682144E-3</v>
      </c>
      <c r="D232" s="24">
        <v>108.79029846191406</v>
      </c>
      <c r="E232" s="5">
        <f t="shared" si="1"/>
        <v>-2.4255657104739941E-3</v>
      </c>
      <c r="F232" s="24">
        <v>396.73040771484375</v>
      </c>
      <c r="G232" s="5">
        <f t="shared" si="2"/>
        <v>-7.3705049217500035E-3</v>
      </c>
      <c r="H232" s="36">
        <v>86.864601135253906</v>
      </c>
      <c r="I232" s="5">
        <f t="shared" si="3"/>
        <v>-1.1063930530881021E-2</v>
      </c>
      <c r="J232" s="35"/>
      <c r="K232" s="5" t="e">
        <f t="shared" si="4"/>
        <v>#DIV/0!</v>
      </c>
      <c r="L232" s="36">
        <v>138.95799255371</v>
      </c>
      <c r="M232" s="5">
        <f t="shared" si="5"/>
        <v>1.7070039978591164E-3</v>
      </c>
      <c r="N232" s="24">
        <v>94.348197937011719</v>
      </c>
      <c r="O232" s="5">
        <f t="shared" si="6"/>
        <v>-8.4487265586884238E-3</v>
      </c>
      <c r="P232" s="36">
        <v>17.620000839233398</v>
      </c>
      <c r="Q232" s="5">
        <f t="shared" si="7"/>
        <v>-1.1062260960976792E-2</v>
      </c>
      <c r="R232" s="24">
        <v>48.488998413085938</v>
      </c>
      <c r="S232" s="5">
        <f t="shared" si="8"/>
        <v>-2.4717874355555283E-3</v>
      </c>
      <c r="T232" s="62">
        <v>138.95799260000001</v>
      </c>
      <c r="U232" s="5">
        <f>LN(T232/T231)</f>
        <v>1.7070046336897875E-3</v>
      </c>
      <c r="V232" s="59">
        <v>44.418998719999998</v>
      </c>
      <c r="W232" s="5">
        <f t="shared" ref="V232:W232" si="239">LN(V232/V231)</f>
        <v>-5.5005636820114959E-3</v>
      </c>
      <c r="X232" s="5"/>
    </row>
    <row r="233" spans="1:24" ht="13.8" thickBot="1">
      <c r="A233" s="6">
        <v>45789</v>
      </c>
      <c r="B233" s="35">
        <v>740.877197265625</v>
      </c>
      <c r="C233" s="5">
        <f t="shared" si="0"/>
        <v>1.4650064323382801E-2</v>
      </c>
      <c r="D233" s="24">
        <v>112.61019897460938</v>
      </c>
      <c r="E233" s="5">
        <f t="shared" si="1"/>
        <v>3.4510126745390397E-2</v>
      </c>
      <c r="F233" s="24">
        <v>409.385498046875</v>
      </c>
      <c r="G233" s="5">
        <f t="shared" si="2"/>
        <v>3.1400273898654192E-2</v>
      </c>
      <c r="H233" s="36">
        <v>89.536697387695298</v>
      </c>
      <c r="I233" s="5">
        <f t="shared" si="3"/>
        <v>3.0297970363107482E-2</v>
      </c>
      <c r="J233" s="35"/>
      <c r="K233" s="5" t="e">
        <f t="shared" si="4"/>
        <v>#DIV/0!</v>
      </c>
      <c r="L233" s="36">
        <v>143.33399963378901</v>
      </c>
      <c r="M233" s="5">
        <f t="shared" si="5"/>
        <v>3.1005893004847133E-2</v>
      </c>
      <c r="N233" s="24">
        <v>97.909896850585938</v>
      </c>
      <c r="O233" s="5">
        <f t="shared" si="6"/>
        <v>3.705546398741718E-2</v>
      </c>
      <c r="P233" s="36">
        <v>18.291999816894499</v>
      </c>
      <c r="Q233" s="5">
        <f t="shared" si="7"/>
        <v>3.7429127648043965E-2</v>
      </c>
      <c r="R233" s="24">
        <v>49.971000671386719</v>
      </c>
      <c r="S233" s="5">
        <f t="shared" si="8"/>
        <v>3.0105915230126876E-2</v>
      </c>
      <c r="T233" s="62">
        <v>143.3339996</v>
      </c>
      <c r="U233" s="5">
        <f>LN(T233/T232)</f>
        <v>3.1005892435988537E-2</v>
      </c>
      <c r="V233" s="59">
        <v>46.164001460000001</v>
      </c>
      <c r="W233" s="5">
        <f t="shared" ref="V233:W233" si="240">LN(V233/V232)</f>
        <v>3.8533028169967364E-2</v>
      </c>
      <c r="X233" s="5"/>
    </row>
    <row r="234" spans="1:24" ht="13.8" thickBot="1">
      <c r="A234" s="6">
        <v>45790</v>
      </c>
      <c r="B234" s="35">
        <v>738.912109375</v>
      </c>
      <c r="C234" s="5">
        <f t="shared" si="0"/>
        <v>-2.6559038329605224E-3</v>
      </c>
      <c r="D234" s="24">
        <v>112.58950042724609</v>
      </c>
      <c r="E234" s="5">
        <f t="shared" si="1"/>
        <v>-1.8382393472591161E-4</v>
      </c>
      <c r="F234" s="24">
        <v>406.091796875</v>
      </c>
      <c r="G234" s="5">
        <f t="shared" si="2"/>
        <v>-8.0780154225152632E-3</v>
      </c>
      <c r="H234" s="36">
        <v>88.874000549316406</v>
      </c>
      <c r="I234" s="5">
        <f t="shared" si="3"/>
        <v>-7.4289254381410532E-3</v>
      </c>
      <c r="J234" s="35"/>
      <c r="K234" s="5" t="e">
        <f t="shared" si="4"/>
        <v>#DIV/0!</v>
      </c>
      <c r="L234" s="36">
        <v>143.60299682617099</v>
      </c>
      <c r="M234" s="5">
        <f t="shared" si="5"/>
        <v>1.8749570428689695E-3</v>
      </c>
      <c r="N234" s="24">
        <v>97.054000854492188</v>
      </c>
      <c r="O234" s="5">
        <f t="shared" si="6"/>
        <v>-8.7801024147977583E-3</v>
      </c>
      <c r="P234" s="36">
        <v>18.0550003051757</v>
      </c>
      <c r="Q234" s="5">
        <f t="shared" si="7"/>
        <v>-1.3041124153687893E-2</v>
      </c>
      <c r="R234" s="24">
        <v>50.105998992919922</v>
      </c>
      <c r="S234" s="5">
        <f t="shared" si="8"/>
        <v>2.697890701548068E-3</v>
      </c>
      <c r="T234" s="62">
        <v>143.6029968</v>
      </c>
      <c r="U234" s="5">
        <f>LN(T234/T233)</f>
        <v>1.8749570963597141E-3</v>
      </c>
      <c r="V234" s="59">
        <v>46.499000549999998</v>
      </c>
      <c r="W234" s="5">
        <f t="shared" ref="V234:W234" si="241">LN(V234/V233)</f>
        <v>7.2305136294004901E-3</v>
      </c>
      <c r="X234" s="5"/>
    </row>
    <row r="235" spans="1:24" ht="13.8" thickBot="1">
      <c r="A235" s="6">
        <v>45791</v>
      </c>
      <c r="B235" s="35">
        <v>740.65539550781205</v>
      </c>
      <c r="C235" s="5">
        <f t="shared" si="0"/>
        <v>2.3564817877731125E-3</v>
      </c>
      <c r="D235" s="24">
        <v>113.11430358886719</v>
      </c>
      <c r="E235" s="5">
        <f t="shared" si="1"/>
        <v>4.6503789308496466E-3</v>
      </c>
      <c r="F235" s="24">
        <v>408.57659912109375</v>
      </c>
      <c r="G235" s="5">
        <f t="shared" si="2"/>
        <v>6.1001751478302483E-3</v>
      </c>
      <c r="H235" s="36">
        <v>89.217597961425696</v>
      </c>
      <c r="I235" s="5">
        <f t="shared" si="3"/>
        <v>3.8586642077360904E-3</v>
      </c>
      <c r="J235" s="35"/>
      <c r="K235" s="5" t="e">
        <f t="shared" si="4"/>
        <v>#DIV/0!</v>
      </c>
      <c r="L235" s="36">
        <v>145.13299560546801</v>
      </c>
      <c r="M235" s="5">
        <f t="shared" si="5"/>
        <v>1.0598007452331666E-2</v>
      </c>
      <c r="N235" s="24">
        <v>97.647300720214844</v>
      </c>
      <c r="O235" s="5">
        <f t="shared" si="6"/>
        <v>6.0944811084424275E-3</v>
      </c>
      <c r="P235" s="36">
        <v>18.146999359130799</v>
      </c>
      <c r="Q235" s="5">
        <f t="shared" si="7"/>
        <v>5.0825508454714141E-3</v>
      </c>
      <c r="R235" s="24">
        <v>50.756000518798828</v>
      </c>
      <c r="S235" s="5">
        <f t="shared" si="8"/>
        <v>1.2889106455941124E-2</v>
      </c>
      <c r="T235" s="62">
        <v>145.13299559999999</v>
      </c>
      <c r="U235" s="5">
        <f>LN(T235/T234)</f>
        <v>1.0598007596901162E-2</v>
      </c>
      <c r="V235" s="59">
        <v>47.152999880000003</v>
      </c>
      <c r="W235" s="5">
        <f t="shared" ref="V235:W235" si="242">LN(V235/V234)</f>
        <v>1.3966812419755359E-2</v>
      </c>
      <c r="X235" s="5"/>
    </row>
    <row r="236" spans="1:24" ht="13.8" thickBot="1">
      <c r="A236" s="6">
        <v>45792</v>
      </c>
      <c r="B236" s="35">
        <v>745.14862060546795</v>
      </c>
      <c r="C236" s="5">
        <f t="shared" si="0"/>
        <v>6.0482254000566059E-3</v>
      </c>
      <c r="D236" s="24">
        <v>113.24160003662109</v>
      </c>
      <c r="E236" s="5">
        <f t="shared" si="1"/>
        <v>1.1247461111884309E-3</v>
      </c>
      <c r="F236" s="24">
        <v>412.44140625</v>
      </c>
      <c r="G236" s="5">
        <f t="shared" si="2"/>
        <v>9.4147403607822231E-3</v>
      </c>
      <c r="H236" s="36">
        <v>89.996002197265597</v>
      </c>
      <c r="I236" s="5">
        <f t="shared" si="3"/>
        <v>8.6869426226867975E-3</v>
      </c>
      <c r="J236" s="35"/>
      <c r="K236" s="5" t="e">
        <f t="shared" si="4"/>
        <v>#DIV/0!</v>
      </c>
      <c r="L236" s="36">
        <v>146.697998046875</v>
      </c>
      <c r="M236" s="5">
        <f t="shared" si="5"/>
        <v>1.0725505365193582E-2</v>
      </c>
      <c r="N236" s="24">
        <v>98.945297241210938</v>
      </c>
      <c r="O236" s="5">
        <f t="shared" si="6"/>
        <v>1.3205129755259499E-2</v>
      </c>
      <c r="P236" s="36">
        <v>18.429000854492099</v>
      </c>
      <c r="Q236" s="5">
        <f t="shared" si="7"/>
        <v>1.5420334739157847E-2</v>
      </c>
      <c r="R236" s="24">
        <v>51.034000396728516</v>
      </c>
      <c r="S236" s="5">
        <f t="shared" si="8"/>
        <v>5.4622372851975652E-3</v>
      </c>
      <c r="T236" s="62">
        <v>146.69799800000001</v>
      </c>
      <c r="U236" s="5">
        <f>LN(T236/T235)</f>
        <v>1.0725505083335484E-2</v>
      </c>
      <c r="V236" s="59">
        <v>47.5929985</v>
      </c>
      <c r="W236" s="5">
        <f t="shared" ref="V236:W236" si="243">LN(V236/V235)</f>
        <v>9.2880288487062895E-3</v>
      </c>
      <c r="X236" s="5"/>
    </row>
    <row r="237" spans="1:24" ht="13.8" thickBot="1">
      <c r="A237" s="6">
        <v>45793</v>
      </c>
      <c r="B237" s="35">
        <v>746.12322998046795</v>
      </c>
      <c r="C237" s="5">
        <f t="shared" si="0"/>
        <v>1.3070849736414609E-3</v>
      </c>
      <c r="D237" s="24">
        <v>113.70670318603516</v>
      </c>
      <c r="E237" s="5">
        <f t="shared" si="1"/>
        <v>4.0987642907988238E-3</v>
      </c>
      <c r="F237" s="24">
        <v>413.50421142578125</v>
      </c>
      <c r="G237" s="5">
        <f t="shared" si="2"/>
        <v>2.5735490076586867E-3</v>
      </c>
      <c r="H237" s="36">
        <v>90.289596557617102</v>
      </c>
      <c r="I237" s="5">
        <f t="shared" si="3"/>
        <v>3.2569947008179801E-3</v>
      </c>
      <c r="J237" s="35"/>
      <c r="K237" s="5" t="e">
        <f t="shared" si="4"/>
        <v>#DIV/0!</v>
      </c>
      <c r="L237" s="36">
        <v>147.697998046875</v>
      </c>
      <c r="M237" s="5">
        <f t="shared" si="5"/>
        <v>6.7935967835538805E-3</v>
      </c>
      <c r="N237" s="24">
        <v>99.222503662109375</v>
      </c>
      <c r="O237" s="5">
        <f t="shared" si="6"/>
        <v>2.7976956947096281E-3</v>
      </c>
      <c r="P237" s="36">
        <v>18.429000854492099</v>
      </c>
      <c r="Q237" s="5">
        <f t="shared" si="7"/>
        <v>0</v>
      </c>
      <c r="R237" s="24">
        <v>51.404998779296875</v>
      </c>
      <c r="S237" s="5">
        <f t="shared" si="8"/>
        <v>7.2433352066093668E-3</v>
      </c>
      <c r="T237" s="62">
        <v>147.69799800000001</v>
      </c>
      <c r="U237" s="5">
        <f>LN(T237/T236)</f>
        <v>6.7935967857171691E-3</v>
      </c>
      <c r="V237" s="59">
        <v>48.062999730000001</v>
      </c>
      <c r="W237" s="5">
        <f t="shared" ref="V237:W237" si="244">LN(V237/V236)</f>
        <v>9.8269846326645323E-3</v>
      </c>
      <c r="X237" s="5"/>
    </row>
    <row r="238" spans="1:24" ht="13.8" thickBot="1">
      <c r="A238" s="6">
        <v>45796</v>
      </c>
      <c r="B238" s="35">
        <v>746.29327392578102</v>
      </c>
      <c r="C238" s="5">
        <f t="shared" si="0"/>
        <v>2.2787733263972748E-4</v>
      </c>
      <c r="D238" s="24">
        <v>113.61789703369141</v>
      </c>
      <c r="E238" s="5">
        <f t="shared" si="1"/>
        <v>-7.8131585209504555E-4</v>
      </c>
      <c r="F238" s="24">
        <v>414.05050659179688</v>
      </c>
      <c r="G238" s="5">
        <f t="shared" si="2"/>
        <v>1.3202637444397606E-3</v>
      </c>
      <c r="H238" s="36">
        <v>90.698097229003906</v>
      </c>
      <c r="I238" s="5">
        <f t="shared" si="3"/>
        <v>4.5141341548914585E-3</v>
      </c>
      <c r="J238" s="35"/>
      <c r="K238" s="5" t="e">
        <f t="shared" si="4"/>
        <v>#DIV/0!</v>
      </c>
      <c r="L238" s="36">
        <v>148.01899719238199</v>
      </c>
      <c r="M238" s="5">
        <f t="shared" si="5"/>
        <v>2.1709896742656224E-3</v>
      </c>
      <c r="N238" s="24">
        <v>99.132499694824219</v>
      </c>
      <c r="O238" s="5">
        <f t="shared" si="6"/>
        <v>-9.075039392900401E-4</v>
      </c>
      <c r="P238" s="36">
        <v>18.4409999847412</v>
      </c>
      <c r="Q238" s="5">
        <f t="shared" si="7"/>
        <v>6.508885489343708E-4</v>
      </c>
      <c r="R238" s="24">
        <v>51.529998779296875</v>
      </c>
      <c r="S238" s="5">
        <f t="shared" si="8"/>
        <v>2.4287184030552258E-3</v>
      </c>
      <c r="T238" s="62">
        <v>148.0189972</v>
      </c>
      <c r="U238" s="5">
        <f>LN(T238/T237)</f>
        <v>2.1709900431025535E-3</v>
      </c>
      <c r="V238" s="59">
        <v>48.522998809999997</v>
      </c>
      <c r="W238" s="5">
        <f t="shared" ref="V238:W238" si="245">LN(V238/V237)</f>
        <v>9.5252430980547493E-3</v>
      </c>
      <c r="X238" s="5"/>
    </row>
    <row r="239" spans="1:24" ht="13.8" thickBot="1">
      <c r="A239" s="6">
        <v>45797</v>
      </c>
      <c r="B239" s="35">
        <v>742.55712890625</v>
      </c>
      <c r="C239" s="5">
        <f t="shared" si="0"/>
        <v>-5.0188425308980997E-3</v>
      </c>
      <c r="D239" s="24">
        <v>112.51229858398438</v>
      </c>
      <c r="E239" s="5">
        <f t="shared" si="1"/>
        <v>-9.7785017729879152E-3</v>
      </c>
      <c r="F239" s="24">
        <v>410.918212890625</v>
      </c>
      <c r="G239" s="5">
        <f t="shared" si="2"/>
        <v>-7.5937636887939228E-3</v>
      </c>
      <c r="H239" s="36">
        <v>89.683502197265597</v>
      </c>
      <c r="I239" s="5">
        <f t="shared" si="3"/>
        <v>-1.1249548012546649E-2</v>
      </c>
      <c r="J239" s="35"/>
      <c r="K239" s="5" t="e">
        <f t="shared" si="4"/>
        <v>#DIV/0!</v>
      </c>
      <c r="L239" s="36">
        <v>146.04400634765599</v>
      </c>
      <c r="M239" s="5">
        <f t="shared" si="5"/>
        <v>-1.3432635302166632E-2</v>
      </c>
      <c r="N239" s="24">
        <v>97.911300659179688</v>
      </c>
      <c r="O239" s="5">
        <f t="shared" si="6"/>
        <v>-1.2395362547199496E-2</v>
      </c>
      <c r="P239" s="36">
        <v>18.228000640869102</v>
      </c>
      <c r="Q239" s="5">
        <f t="shared" si="7"/>
        <v>-1.1617537205409792E-2</v>
      </c>
      <c r="R239" s="24">
        <v>51.043998718261719</v>
      </c>
      <c r="S239" s="5">
        <f t="shared" si="8"/>
        <v>-9.4761578896884417E-3</v>
      </c>
      <c r="T239" s="62">
        <v>146.04400630000001</v>
      </c>
      <c r="U239" s="5">
        <f>LN(T239/T238)</f>
        <v>-1.3432635679945553E-2</v>
      </c>
      <c r="V239" s="59">
        <v>48.132999419999997</v>
      </c>
      <c r="W239" s="5">
        <f t="shared" ref="V239:W239" si="246">LN(V239/V238)</f>
        <v>-8.0698873041792976E-3</v>
      </c>
      <c r="X239" s="5"/>
    </row>
    <row r="240" spans="1:24" ht="13.8" thickBot="1">
      <c r="A240" s="6">
        <v>45798</v>
      </c>
      <c r="B240" s="35">
        <v>746.02258300781205</v>
      </c>
      <c r="C240" s="5">
        <f t="shared" si="0"/>
        <v>4.6560628690991389E-3</v>
      </c>
      <c r="D240" s="24">
        <v>112.75800323486328</v>
      </c>
      <c r="E240" s="5">
        <f t="shared" si="1"/>
        <v>2.1814215751409945E-3</v>
      </c>
      <c r="F240" s="24">
        <v>412.34130859375</v>
      </c>
      <c r="G240" s="5">
        <f t="shared" si="2"/>
        <v>3.457226022751466E-3</v>
      </c>
      <c r="H240" s="36">
        <v>89.865699768066406</v>
      </c>
      <c r="I240" s="5">
        <f t="shared" si="3"/>
        <v>2.029500898293006E-3</v>
      </c>
      <c r="J240" s="35"/>
      <c r="K240" s="5" t="e">
        <f t="shared" si="4"/>
        <v>#DIV/0!</v>
      </c>
      <c r="L240" s="36">
        <v>147.00799560546801</v>
      </c>
      <c r="M240" s="5">
        <f t="shared" si="5"/>
        <v>6.5789875409130944E-3</v>
      </c>
      <c r="N240" s="24">
        <v>98.603797912597656</v>
      </c>
      <c r="O240" s="5">
        <f t="shared" si="6"/>
        <v>7.0478057401230461E-3</v>
      </c>
      <c r="P240" s="36">
        <v>18.327999114990199</v>
      </c>
      <c r="Q240" s="5">
        <f t="shared" si="7"/>
        <v>5.4709883037505477E-3</v>
      </c>
      <c r="R240" s="24">
        <v>51.442001342773438</v>
      </c>
      <c r="S240" s="5">
        <f t="shared" si="8"/>
        <v>7.7670047637772976E-3</v>
      </c>
      <c r="T240" s="62">
        <v>147.00799559999999</v>
      </c>
      <c r="U240" s="5">
        <f>LN(T240/T239)</f>
        <v>6.5789878300301528E-3</v>
      </c>
      <c r="V240" s="59">
        <v>48.280998230000002</v>
      </c>
      <c r="W240" s="5">
        <f t="shared" ref="V240:W240" si="247">LN(V240/V239)</f>
        <v>3.0700713558657138E-3</v>
      </c>
      <c r="X240" s="5"/>
    </row>
    <row r="241" spans="1:24" ht="13.8" thickBot="1">
      <c r="A241" s="6">
        <v>45799</v>
      </c>
      <c r="B241" s="35">
        <v>743.05401611328102</v>
      </c>
      <c r="C241" s="5">
        <f t="shared" si="0"/>
        <v>-3.9871297808878308E-3</v>
      </c>
      <c r="D241" s="24">
        <v>112.38999938964844</v>
      </c>
      <c r="E241" s="5">
        <f t="shared" si="1"/>
        <v>-3.2689978915477614E-3</v>
      </c>
      <c r="F241" s="24">
        <v>409.83889770507813</v>
      </c>
      <c r="G241" s="5">
        <f t="shared" si="2"/>
        <v>-6.0872752632947598E-3</v>
      </c>
      <c r="H241" s="36">
        <v>89.483497619628906</v>
      </c>
      <c r="I241" s="5">
        <f t="shared" si="3"/>
        <v>-4.2621069129995673E-3</v>
      </c>
      <c r="J241" s="35"/>
      <c r="K241" s="5" t="e">
        <f t="shared" si="4"/>
        <v>#DIV/0!</v>
      </c>
      <c r="L241" s="36">
        <v>147.02299499511699</v>
      </c>
      <c r="M241" s="5">
        <f t="shared" si="5"/>
        <v>1.0202590979501104E-4</v>
      </c>
      <c r="N241" s="24">
        <v>97.910102844238281</v>
      </c>
      <c r="O241" s="5">
        <f t="shared" si="6"/>
        <v>-7.0600394890390017E-3</v>
      </c>
      <c r="P241" s="36">
        <v>18.122999191284102</v>
      </c>
      <c r="Q241" s="5">
        <f t="shared" si="7"/>
        <v>-1.1248091662903463E-2</v>
      </c>
      <c r="R241" s="24">
        <v>51.355998992919922</v>
      </c>
      <c r="S241" s="5">
        <f t="shared" si="8"/>
        <v>-1.6732304059949646E-3</v>
      </c>
      <c r="T241" s="62">
        <v>147.02299500000001</v>
      </c>
      <c r="U241" s="5">
        <f>LN(T241/T240)</f>
        <v>1.0202598020305643E-4</v>
      </c>
      <c r="V241" s="59">
        <v>48.27999878</v>
      </c>
      <c r="W241" s="5">
        <f t="shared" ref="V241:W241" si="248">LN(V241/V240)</f>
        <v>-2.0700904733470279E-5</v>
      </c>
      <c r="X241" s="5"/>
    </row>
    <row r="242" spans="1:24" ht="13.8" thickBot="1">
      <c r="A242" s="6">
        <v>45800</v>
      </c>
      <c r="B242" s="35">
        <v>746.19830322265602</v>
      </c>
      <c r="C242" s="5">
        <f t="shared" si="0"/>
        <v>4.2226448005175084E-3</v>
      </c>
      <c r="D242" s="24">
        <v>112.74230194091797</v>
      </c>
      <c r="E242" s="5">
        <f t="shared" si="1"/>
        <v>3.1297404838165148E-3</v>
      </c>
      <c r="F242" s="24">
        <v>412.06689453125</v>
      </c>
      <c r="G242" s="5">
        <f t="shared" si="2"/>
        <v>5.4215514832679571E-3</v>
      </c>
      <c r="H242" s="36">
        <v>90.063796997070298</v>
      </c>
      <c r="I242" s="5">
        <f t="shared" si="3"/>
        <v>6.4640505921165423E-3</v>
      </c>
      <c r="J242" s="35"/>
      <c r="K242" s="5" t="e">
        <f t="shared" si="4"/>
        <v>#DIV/0!</v>
      </c>
      <c r="L242" s="36">
        <v>147.71699523925699</v>
      </c>
      <c r="M242" s="5">
        <f t="shared" si="5"/>
        <v>4.7092457739290605E-3</v>
      </c>
      <c r="N242" s="24">
        <v>98.861099243164063</v>
      </c>
      <c r="O242" s="5">
        <f t="shared" si="6"/>
        <v>9.6660872463264803E-3</v>
      </c>
      <c r="P242" s="36">
        <v>18.3619995117187</v>
      </c>
      <c r="Q242" s="5">
        <f t="shared" si="7"/>
        <v>1.3101479928581815E-2</v>
      </c>
      <c r="R242" s="24">
        <v>51.674999237060547</v>
      </c>
      <c r="S242" s="5">
        <f t="shared" si="8"/>
        <v>6.192335684590264E-3</v>
      </c>
      <c r="T242" s="62">
        <v>147.71699520000001</v>
      </c>
      <c r="U242" s="5">
        <f>LN(T242/T241)</f>
        <v>4.7092454749583651E-3</v>
      </c>
      <c r="V242" s="59">
        <v>48.611999509999997</v>
      </c>
      <c r="W242" s="5">
        <f t="shared" ref="V242:W242" si="249">LN(V242/V241)</f>
        <v>6.8530329686701972E-3</v>
      </c>
      <c r="X242" s="5"/>
    </row>
    <row r="243" spans="1:24" ht="13.8" thickBot="1">
      <c r="A243" s="6">
        <v>45803</v>
      </c>
      <c r="B243" s="35">
        <v>748.3125</v>
      </c>
      <c r="C243" s="5">
        <f t="shared" si="0"/>
        <v>2.8292845834291354E-3</v>
      </c>
      <c r="D243" s="24">
        <v>113.41739654541016</v>
      </c>
      <c r="E243" s="5">
        <f t="shared" si="1"/>
        <v>5.9700876340908517E-3</v>
      </c>
      <c r="F243" s="24">
        <v>413.51480102539063</v>
      </c>
      <c r="G243" s="5">
        <f t="shared" si="2"/>
        <v>3.5076067854607502E-3</v>
      </c>
      <c r="H243" s="36">
        <v>90.348899841308594</v>
      </c>
      <c r="I243" s="5">
        <f t="shared" si="3"/>
        <v>3.1605655983532916E-3</v>
      </c>
      <c r="J243" s="35"/>
      <c r="K243" s="5" t="e">
        <f t="shared" si="4"/>
        <v>#DIV/0!</v>
      </c>
      <c r="L243" s="36">
        <v>148.60400390625</v>
      </c>
      <c r="M243" s="5">
        <f t="shared" si="5"/>
        <v>5.9868272508784084E-3</v>
      </c>
      <c r="N243" s="24">
        <v>99.653602600097656</v>
      </c>
      <c r="O243" s="5">
        <f t="shared" si="6"/>
        <v>7.9843715327583761E-3</v>
      </c>
      <c r="P243" s="36">
        <v>18.448999404907202</v>
      </c>
      <c r="Q243" s="5">
        <f t="shared" si="7"/>
        <v>4.7268510899647429E-3</v>
      </c>
      <c r="R243" s="24">
        <v>51.770999908447266</v>
      </c>
      <c r="S243" s="5">
        <f t="shared" si="8"/>
        <v>1.8560543614910224E-3</v>
      </c>
      <c r="T243" s="62">
        <v>148.60400390000001</v>
      </c>
      <c r="U243" s="5">
        <f>LN(T243/T242)</f>
        <v>5.9868274745784548E-3</v>
      </c>
      <c r="V243" s="59">
        <v>48.94900131</v>
      </c>
      <c r="W243" s="5">
        <f t="shared" ref="V243:W243" si="250">LN(V243/V242)</f>
        <v>6.9085625924617594E-3</v>
      </c>
      <c r="X243" s="5"/>
    </row>
    <row r="244" spans="1:24" ht="13.8" thickBot="1">
      <c r="A244" s="6">
        <v>45804</v>
      </c>
      <c r="B244" s="35">
        <v>746.44207763671795</v>
      </c>
      <c r="C244" s="5">
        <f t="shared" si="0"/>
        <v>-2.5026494215303562E-3</v>
      </c>
      <c r="D244" s="24">
        <v>113.53780364990234</v>
      </c>
      <c r="E244" s="5">
        <f t="shared" si="1"/>
        <v>1.0610650532381981E-3</v>
      </c>
      <c r="F244" s="24">
        <v>412.27529907226563</v>
      </c>
      <c r="G244" s="5">
        <f t="shared" si="2"/>
        <v>-3.001980488341E-3</v>
      </c>
      <c r="H244" s="36">
        <v>90.133499145507798</v>
      </c>
      <c r="I244" s="5">
        <f t="shared" si="3"/>
        <v>-2.3869452010897661E-3</v>
      </c>
      <c r="J244" s="35"/>
      <c r="K244" s="5" t="e">
        <f t="shared" si="4"/>
        <v>#DIV/0!</v>
      </c>
      <c r="L244" s="36">
        <v>148.81399536132801</v>
      </c>
      <c r="M244" s="5">
        <f t="shared" si="5"/>
        <v>1.4120967156594374E-3</v>
      </c>
      <c r="N244" s="24">
        <v>99.24310302734375</v>
      </c>
      <c r="O244" s="5">
        <f t="shared" si="6"/>
        <v>-4.127772295845664E-3</v>
      </c>
      <c r="P244" s="36">
        <v>18.312999725341701</v>
      </c>
      <c r="Q244" s="5">
        <f t="shared" si="7"/>
        <v>-7.398961058711768E-3</v>
      </c>
      <c r="R244" s="24">
        <v>51.828998565673828</v>
      </c>
      <c r="S244" s="5">
        <f t="shared" si="8"/>
        <v>1.1196653308874242E-3</v>
      </c>
      <c r="T244" s="62">
        <v>148.81399540000001</v>
      </c>
      <c r="U244" s="5">
        <f>LN(T244/T243)</f>
        <v>1.4120970175855966E-3</v>
      </c>
      <c r="V244" s="59">
        <v>48.936000819999997</v>
      </c>
      <c r="W244" s="5">
        <f t="shared" ref="V244:W244" si="251">LN(V244/V243)</f>
        <v>-2.6562782435611966E-4</v>
      </c>
      <c r="X244" s="5"/>
    </row>
    <row r="245" spans="1:24" ht="13.8" thickBot="1">
      <c r="A245" s="6">
        <v>45805</v>
      </c>
      <c r="B245" s="35">
        <v>746.24639892578102</v>
      </c>
      <c r="C245" s="5">
        <f t="shared" si="0"/>
        <v>-2.6218292045570961E-4</v>
      </c>
      <c r="D245" s="24">
        <v>113.88200378417969</v>
      </c>
      <c r="E245" s="5">
        <f t="shared" si="1"/>
        <v>3.0270045602389193E-3</v>
      </c>
      <c r="F245" s="24">
        <v>411.61819458007813</v>
      </c>
      <c r="G245" s="5">
        <f t="shared" si="2"/>
        <v>-1.5951203318843312E-3</v>
      </c>
      <c r="H245" s="36">
        <v>89.844902038574205</v>
      </c>
      <c r="I245" s="5">
        <f t="shared" si="3"/>
        <v>-3.2070220913888608E-3</v>
      </c>
      <c r="J245" s="35"/>
      <c r="K245" s="5" t="e">
        <f t="shared" si="4"/>
        <v>#DIV/0!</v>
      </c>
      <c r="L245" s="36">
        <v>149.48500061035099</v>
      </c>
      <c r="M245" s="5">
        <f t="shared" si="5"/>
        <v>4.4988846080220623E-3</v>
      </c>
      <c r="N245" s="24">
        <v>99.111801147460938</v>
      </c>
      <c r="O245" s="5">
        <f t="shared" si="6"/>
        <v>-1.3239087745994327E-3</v>
      </c>
      <c r="P245" s="36">
        <v>18.2430000305175</v>
      </c>
      <c r="Q245" s="5">
        <f t="shared" si="7"/>
        <v>-3.8297286818997408E-3</v>
      </c>
      <c r="R245" s="24">
        <v>51.887001037597656</v>
      </c>
      <c r="S245" s="5">
        <f t="shared" si="8"/>
        <v>1.1184866017300542E-3</v>
      </c>
      <c r="T245" s="62">
        <v>149.48500060000001</v>
      </c>
      <c r="U245" s="5">
        <f>LN(T245/T244)</f>
        <v>4.4988842789095975E-3</v>
      </c>
      <c r="V245" s="59">
        <v>49.210998539999999</v>
      </c>
      <c r="W245" s="5">
        <f t="shared" ref="V245:W245" si="252">LN(V245/V244)</f>
        <v>5.6038073793616798E-3</v>
      </c>
      <c r="X245" s="5"/>
    </row>
    <row r="246" spans="1:24" ht="13.8" thickBot="1">
      <c r="A246" s="6">
        <v>45806</v>
      </c>
      <c r="B246" s="35">
        <v>747.39691162109295</v>
      </c>
      <c r="C246" s="5">
        <f t="shared" si="0"/>
        <v>1.5405457443940734E-3</v>
      </c>
      <c r="D246" s="24">
        <v>114.55110168457031</v>
      </c>
      <c r="E246" s="5">
        <f t="shared" si="1"/>
        <v>5.8581685218762744E-3</v>
      </c>
      <c r="F246" s="24">
        <v>412.568115234375</v>
      </c>
      <c r="G246" s="5">
        <f t="shared" si="2"/>
        <v>2.305112481499753E-3</v>
      </c>
      <c r="H246" s="36">
        <v>89.9176025390625</v>
      </c>
      <c r="I246" s="5">
        <f t="shared" si="3"/>
        <v>8.0885059565389639E-4</v>
      </c>
      <c r="J246" s="35"/>
      <c r="K246" s="5" t="e">
        <f t="shared" si="4"/>
        <v>#DIV/0!</v>
      </c>
      <c r="L246" s="36">
        <v>149.91799926757801</v>
      </c>
      <c r="M246" s="5">
        <f t="shared" si="5"/>
        <v>2.8924156356363345E-3</v>
      </c>
      <c r="N246" s="24">
        <v>99.434097290039063</v>
      </c>
      <c r="O246" s="5">
        <f t="shared" si="6"/>
        <v>3.2465684580085413E-3</v>
      </c>
      <c r="P246" s="36">
        <v>18.368999481201101</v>
      </c>
      <c r="Q246" s="5">
        <f t="shared" si="7"/>
        <v>6.8829864418350831E-3</v>
      </c>
      <c r="R246" s="24">
        <v>51.965000152587891</v>
      </c>
      <c r="S246" s="5">
        <f t="shared" si="8"/>
        <v>1.5021208789923494E-3</v>
      </c>
      <c r="T246" s="62">
        <v>149.91799929999999</v>
      </c>
      <c r="U246" s="5">
        <f>LN(T246/T245)</f>
        <v>2.8924159211453941E-3</v>
      </c>
      <c r="V246" s="59">
        <v>49.400001529999997</v>
      </c>
      <c r="W246" s="5">
        <f t="shared" ref="V246:W246" si="253">LN(V246/V245)</f>
        <v>3.8333090893310036E-3</v>
      </c>
      <c r="X246" s="5"/>
    </row>
    <row r="247" spans="1:24" ht="13.8" thickBot="1">
      <c r="A247" s="6">
        <v>45807</v>
      </c>
      <c r="B247" s="35">
        <v>745.385498046875</v>
      </c>
      <c r="C247" s="5">
        <f t="shared" si="0"/>
        <v>-2.6948532866821842E-3</v>
      </c>
      <c r="D247" s="24">
        <v>114.06700134277344</v>
      </c>
      <c r="E247" s="5">
        <f t="shared" si="1"/>
        <v>-4.2350195275902159E-3</v>
      </c>
      <c r="F247" s="24">
        <v>411.89950561523438</v>
      </c>
      <c r="G247" s="5">
        <f t="shared" si="2"/>
        <v>-1.6219187965759525E-3</v>
      </c>
      <c r="H247" s="36">
        <v>89.784103393554602</v>
      </c>
      <c r="J247" s="35"/>
      <c r="K247" s="5" t="e">
        <f t="shared" si="4"/>
        <v>#DIV/0!</v>
      </c>
      <c r="L247" s="36">
        <v>149.47200012207</v>
      </c>
      <c r="M247" s="5">
        <f t="shared" si="5"/>
        <v>-2.9793879310322357E-3</v>
      </c>
      <c r="N247" s="24">
        <v>99.161102294921875</v>
      </c>
      <c r="O247" s="5">
        <f t="shared" si="6"/>
        <v>-2.7492624961644777E-3</v>
      </c>
      <c r="P247" s="36">
        <v>18.304000854492099</v>
      </c>
      <c r="Q247" s="5">
        <f t="shared" si="7"/>
        <v>-3.5447710400111467E-3</v>
      </c>
      <c r="R247" s="24">
        <v>51.819999694824219</v>
      </c>
      <c r="S247" s="5">
        <f t="shared" si="8"/>
        <v>-2.7942487319305132E-3</v>
      </c>
      <c r="T247" s="62">
        <v>149.4720001</v>
      </c>
      <c r="U247" s="5">
        <f>LN(T247/T246)</f>
        <v>-2.9793882949500812E-3</v>
      </c>
      <c r="V247" s="59">
        <v>49.617000580000003</v>
      </c>
      <c r="W247" s="5">
        <f t="shared" ref="V247:W247" si="254">LN(V247/V246)</f>
        <v>4.3830734677716291E-3</v>
      </c>
      <c r="X247" s="5"/>
    </row>
    <row r="248" spans="1:24" ht="13.8" thickBot="1">
      <c r="A248" s="43"/>
      <c r="B248" s="44"/>
      <c r="D248" s="23"/>
      <c r="F248" s="23"/>
      <c r="H248" s="45"/>
      <c r="J248" s="46"/>
      <c r="L248" s="45"/>
      <c r="N248" s="23"/>
      <c r="P248" s="45"/>
      <c r="R248" s="23"/>
      <c r="T248" s="60"/>
      <c r="V248" s="60"/>
    </row>
    <row r="249" spans="1:24" ht="13.8" thickBot="1">
      <c r="A249" s="23"/>
      <c r="B249" s="44"/>
      <c r="C249" s="5">
        <f>AVERAGE(C2:C247)</f>
        <v>5.1189225683554568E-4</v>
      </c>
      <c r="E249" s="5">
        <f>AVERAGE(E2:E247)</f>
        <v>7.7504928883912578E-4</v>
      </c>
      <c r="F249" s="23"/>
      <c r="G249" s="5">
        <f>AVERAGE(G2:G247)</f>
        <v>3.1657206979256793E-4</v>
      </c>
      <c r="H249" s="45"/>
      <c r="I249" s="5">
        <f>AVERAGE(I2:I247)</f>
        <v>5.9484883365569724E-4</v>
      </c>
      <c r="J249" s="46"/>
      <c r="K249" s="5" t="e">
        <f>AVERAGE(K2:K247)</f>
        <v>#DIV/0!</v>
      </c>
      <c r="L249" s="45"/>
      <c r="M249" s="5">
        <f>AVERAGE(M2:M247)</f>
        <v>4.9388592330903264E-4</v>
      </c>
      <c r="N249" s="23"/>
      <c r="O249" s="5">
        <f>AVERAGE(O2:O247)</f>
        <v>4.2076443101206671E-4</v>
      </c>
      <c r="P249" s="45"/>
      <c r="Q249" s="5">
        <f>AVERAGE(Q2:Q247)</f>
        <v>4.2573441438114077E-4</v>
      </c>
      <c r="R249" s="23"/>
      <c r="S249" s="5">
        <f>AVERAGE(S2:S247)</f>
        <v>4.6694154588098957E-4</v>
      </c>
      <c r="T249" s="60"/>
      <c r="U249" s="5">
        <f>AVERAGE(U2:U247)</f>
        <v>4.9388592147235524E-4</v>
      </c>
      <c r="V249" s="60"/>
      <c r="W249" s="5">
        <f t="shared" ref="V249:W249" si="255">AVERAGE(W2:W247)</f>
        <v>8.4151941500081918E-4</v>
      </c>
      <c r="X249" s="5"/>
    </row>
    <row r="250" spans="1:24" ht="13.8" thickBot="1">
      <c r="A250" s="23"/>
      <c r="B250" s="23"/>
      <c r="D250" s="23"/>
      <c r="F250" s="23"/>
      <c r="H250" s="45"/>
      <c r="J250" s="23"/>
      <c r="L250" s="45"/>
      <c r="N250" s="23"/>
      <c r="P250" s="45"/>
      <c r="R250" s="23"/>
      <c r="T250" s="60"/>
      <c r="V250" s="60"/>
    </row>
    <row r="251" spans="1:24" ht="13.8" thickBot="1">
      <c r="A251" s="23"/>
      <c r="B251" s="23"/>
      <c r="C251" s="5">
        <f>((1+C249)^252)-1</f>
        <v>0.13764899029097766</v>
      </c>
      <c r="D251" s="23"/>
      <c r="E251" s="5">
        <f>((1+E249)^252)-1</f>
        <v>0.21559877155901619</v>
      </c>
      <c r="F251" s="23"/>
      <c r="G251" s="5">
        <f>((1+G249)^252)-1</f>
        <v>8.3030940431733757E-2</v>
      </c>
      <c r="H251" s="45"/>
      <c r="I251" s="5">
        <f>((1+I249)^252)-1</f>
        <v>0.16166850642599195</v>
      </c>
      <c r="J251" s="23"/>
      <c r="K251" s="5" t="e">
        <f>((1+K249)^252)-1</f>
        <v>#DIV/0!</v>
      </c>
      <c r="L251" s="45"/>
      <c r="M251" s="5">
        <f>((1+M249)^252)-1</f>
        <v>0.13250107596398686</v>
      </c>
      <c r="N251" s="23"/>
      <c r="O251" s="5">
        <f>((1+O249)^252)-1</f>
        <v>0.11183336778926889</v>
      </c>
      <c r="P251" s="45"/>
      <c r="Q251" s="5">
        <f>((1+Q249)^252)-1</f>
        <v>0.11322615022168336</v>
      </c>
      <c r="R251" s="23"/>
      <c r="S251" s="5">
        <f>((1+S249)^252)-1</f>
        <v>0.12484112760319999</v>
      </c>
      <c r="T251" s="60"/>
      <c r="U251" s="5">
        <f>((1+U249)^252)-1</f>
        <v>0.13250107544002288</v>
      </c>
      <c r="V251" s="60"/>
      <c r="W251" s="5">
        <f t="shared" ref="V251:W251" si="256">((1+W249)^252)-1</f>
        <v>0.23611539346440469</v>
      </c>
      <c r="X251" s="5"/>
    </row>
    <row r="252" spans="1:24" ht="13.8" thickBot="1">
      <c r="A252" s="23"/>
      <c r="B252" s="23"/>
      <c r="D252" s="23"/>
      <c r="F252" s="23"/>
      <c r="H252" s="45"/>
      <c r="J252" s="23"/>
      <c r="L252" s="45"/>
      <c r="N252" s="23"/>
      <c r="P252" s="45"/>
      <c r="R252" s="23"/>
      <c r="T252" s="60"/>
      <c r="V252" s="60"/>
    </row>
    <row r="253" spans="1:24" ht="13.8" thickBot="1">
      <c r="A253" s="23"/>
      <c r="B253" s="23"/>
      <c r="C253" s="5">
        <f>VARP(C3:C247)</f>
        <v>2.6304771104653489E-5</v>
      </c>
      <c r="E253" s="5">
        <f>VARP(E3:E247)</f>
        <v>1.6255758532583857E-4</v>
      </c>
      <c r="F253" s="23"/>
      <c r="G253" s="5">
        <f>VARP(G3:G247)</f>
        <v>8.7847618833875678E-5</v>
      </c>
      <c r="I253" s="5">
        <f>VARP(I3:I247)</f>
        <v>5.4411410878546821E-5</v>
      </c>
      <c r="K253" s="5" t="e">
        <f>VARP(K3:K247)</f>
        <v>#DIV/0!</v>
      </c>
      <c r="M253" s="5">
        <f>VARP(M3:M247)</f>
        <v>1.5724089760269308E-4</v>
      </c>
      <c r="O253" s="5">
        <f>VARP(O3:O247)</f>
        <v>1.0371555843680969E-4</v>
      </c>
      <c r="Q253" s="5">
        <f>VARP(Q3:Q247)</f>
        <v>9.7845542984718016E-5</v>
      </c>
      <c r="S253" s="5">
        <f>VARP(S3:S247)</f>
        <v>1.3082178647298506E-4</v>
      </c>
      <c r="T253" s="60"/>
      <c r="U253" s="5">
        <f>VARP(U3:U247)</f>
        <v>1.5724089648078043E-4</v>
      </c>
      <c r="V253" s="60"/>
      <c r="W253" s="5">
        <f t="shared" ref="V253:W253" si="257">VARP(W3:W247)</f>
        <v>1.867890166094421E-4</v>
      </c>
      <c r="X253" s="5"/>
    </row>
    <row r="254" spans="1:24" ht="13.8" thickBot="1">
      <c r="A254" s="23"/>
      <c r="B254" s="23"/>
      <c r="C254" s="5">
        <f>SQRT(C253)</f>
        <v>5.1288177102187483E-3</v>
      </c>
      <c r="E254" s="5">
        <f>SQRT(E253)</f>
        <v>1.2749807266223226E-2</v>
      </c>
      <c r="F254" s="23"/>
      <c r="G254" s="5">
        <f>SQRT(G253)</f>
        <v>9.3727060571574348E-3</v>
      </c>
      <c r="I254" s="5">
        <f>SQRT(I253)</f>
        <v>7.3764090774947411E-3</v>
      </c>
      <c r="K254" s="5" t="e">
        <f>SQRT(K253)</f>
        <v>#DIV/0!</v>
      </c>
      <c r="M254" s="5">
        <f>SQRT(M253)</f>
        <v>1.2539573262383894E-2</v>
      </c>
      <c r="O254" s="5">
        <f>SQRT(O253)</f>
        <v>1.0184083583553783E-2</v>
      </c>
      <c r="Q254" s="5">
        <f>SQRT(Q253)</f>
        <v>9.891690602961559E-3</v>
      </c>
      <c r="S254" s="5">
        <f>SQRT(S253)</f>
        <v>1.1437735198586521E-2</v>
      </c>
      <c r="T254" s="60"/>
      <c r="U254" s="5">
        <f>SQRT(U253)</f>
        <v>1.2539573217649013E-2</v>
      </c>
      <c r="V254" s="60"/>
      <c r="W254" s="5">
        <f t="shared" ref="V254:W254" si="258">SQRT(W253)</f>
        <v>1.3667077837249705E-2</v>
      </c>
      <c r="X254" s="5"/>
    </row>
    <row r="255" spans="1:24" ht="13.8" thickBot="1">
      <c r="A255" s="23"/>
      <c r="B255" s="23"/>
      <c r="C255" s="5">
        <f>SQRT(252)*C254</f>
        <v>8.1417457086135278E-2</v>
      </c>
      <c r="E255" s="5">
        <f>SQRT(252)*E254</f>
        <v>0.20239691574258567</v>
      </c>
      <c r="F255" s="23"/>
      <c r="G255" s="5">
        <f>SQRT(252)*G254</f>
        <v>0.1487870960336839</v>
      </c>
      <c r="I255" s="5">
        <f>SQRT(252)*I254</f>
        <v>0.11709686392638276</v>
      </c>
      <c r="K255" s="5" t="e">
        <f>SQRT(252)*K254</f>
        <v>#DIV/0!</v>
      </c>
      <c r="M255" s="5">
        <f>SQRT(252)*M254</f>
        <v>0.19905955439485604</v>
      </c>
      <c r="O255" s="5">
        <f>SQRT(252)*O254</f>
        <v>0.1616673149590728</v>
      </c>
      <c r="Q255" s="5">
        <f>SQRT(252)*Q254</f>
        <v>0.15702572028858502</v>
      </c>
      <c r="S255" s="5">
        <f>SQRT(252)*S254</f>
        <v>0.18156841738361942</v>
      </c>
      <c r="T255" s="60"/>
      <c r="U255" s="5">
        <f>SQRT(252)*U254</f>
        <v>0.19905955368471184</v>
      </c>
      <c r="V255" s="60"/>
      <c r="W255" s="5">
        <f t="shared" ref="V255:W255" si="259">SQRT(252)*W254</f>
        <v>0.2169581346379513</v>
      </c>
      <c r="X255" s="5"/>
    </row>
    <row r="256" spans="1:24" ht="13.8" thickBot="1">
      <c r="A256" s="23"/>
      <c r="B256" s="23"/>
      <c r="C256" s="47">
        <f>(C251-AC13)/C255</f>
        <v>1.0151261565875178</v>
      </c>
      <c r="E256" s="47">
        <f>(E251-AC13)/E255</f>
        <v>0.79348428294861184</v>
      </c>
      <c r="F256" s="23"/>
      <c r="G256" s="5">
        <f>(G251-AC13)/G255</f>
        <v>0.18839631378643101</v>
      </c>
      <c r="I256" s="47">
        <f>(I251-AC13)/I255</f>
        <v>0.91094246975779836</v>
      </c>
      <c r="K256" s="5" t="e">
        <f>(K251-AC13)/K255</f>
        <v>#DIV/0!</v>
      </c>
      <c r="M256" s="22">
        <f>(M251-AC13)/M255</f>
        <v>0.38933612706805898</v>
      </c>
      <c r="O256" s="5">
        <f>(O251-AC13)/O255</f>
        <v>0.3515451951661141</v>
      </c>
      <c r="Q256" s="5">
        <f>(Q251-AC13)/Q255</f>
        <v>0.37080645205558793</v>
      </c>
      <c r="S256" s="5">
        <f>(S251-AC13)/S255</f>
        <v>0.38465460353514574</v>
      </c>
      <c r="T256" s="60"/>
      <c r="U256" s="47">
        <f>(U251-AC13)/U255</f>
        <v>0.38933612582481697</v>
      </c>
      <c r="V256" s="60"/>
      <c r="W256" s="47">
        <f t="shared" ref="V256:W256" si="260">(W251-AE13)/W255</f>
        <v>1.0882993341476781</v>
      </c>
      <c r="X256" s="47"/>
    </row>
    <row r="257" spans="1:22" ht="13.8" thickBot="1">
      <c r="A257" s="23"/>
      <c r="B257" s="23"/>
      <c r="D257" s="23"/>
      <c r="F257" s="23"/>
      <c r="H257" s="45"/>
      <c r="J257" s="23"/>
      <c r="L257" s="45"/>
      <c r="N257" s="23"/>
      <c r="P257" s="45"/>
      <c r="R257" s="23"/>
      <c r="T257" s="60"/>
      <c r="V257" s="60"/>
    </row>
    <row r="258" spans="1:22" ht="13.8" thickBot="1">
      <c r="A258" s="23"/>
      <c r="B258" s="23"/>
      <c r="D258" s="23"/>
      <c r="F258" s="23"/>
      <c r="H258" s="45"/>
      <c r="J258" s="23"/>
      <c r="L258" s="45"/>
      <c r="N258" s="23"/>
      <c r="P258" s="45"/>
      <c r="R258" s="23"/>
      <c r="T258" s="60"/>
      <c r="V258" s="60"/>
    </row>
    <row r="259" spans="1:22" ht="13.8" thickBot="1">
      <c r="A259" s="23"/>
      <c r="B259" s="23"/>
      <c r="D259" s="23"/>
      <c r="F259" s="23"/>
      <c r="H259" s="45"/>
      <c r="J259" s="23"/>
      <c r="L259" s="45"/>
      <c r="N259" s="23"/>
      <c r="P259" s="45"/>
      <c r="R259" s="23"/>
      <c r="T259" s="60"/>
      <c r="V259" s="60"/>
    </row>
    <row r="260" spans="1:22" ht="13.8" thickBot="1">
      <c r="A260" s="23"/>
      <c r="B260" s="23"/>
      <c r="D260" s="23"/>
      <c r="F260" s="23"/>
      <c r="H260" s="45"/>
      <c r="J260" s="23"/>
      <c r="L260" s="45"/>
      <c r="N260" s="23"/>
      <c r="P260" s="45"/>
      <c r="R260" s="23"/>
      <c r="T260" s="60"/>
      <c r="V260" s="60"/>
    </row>
    <row r="261" spans="1:22" ht="13.8" thickBot="1">
      <c r="A261" s="23"/>
      <c r="B261" s="23"/>
      <c r="D261" s="23"/>
      <c r="F261" s="23"/>
      <c r="H261" s="45"/>
      <c r="J261" s="23"/>
      <c r="L261" s="45"/>
      <c r="N261" s="23"/>
      <c r="P261" s="45"/>
      <c r="R261" s="23"/>
      <c r="T261" s="60"/>
      <c r="V261" s="60"/>
    </row>
    <row r="262" spans="1:22" ht="13.8" thickBot="1">
      <c r="A262" s="23"/>
      <c r="B262" s="23"/>
      <c r="D262" s="23"/>
      <c r="F262" s="23"/>
      <c r="H262" s="45"/>
      <c r="J262" s="23"/>
      <c r="L262" s="45"/>
      <c r="N262" s="23"/>
      <c r="P262" s="45"/>
      <c r="R262" s="23"/>
      <c r="T262" s="60"/>
      <c r="V262" s="60"/>
    </row>
    <row r="263" spans="1:22" ht="13.8" thickBot="1">
      <c r="A263" s="23"/>
      <c r="B263" s="23"/>
      <c r="D263" s="23"/>
      <c r="F263" s="23"/>
      <c r="H263" s="45"/>
      <c r="J263" s="23"/>
      <c r="L263" s="45"/>
      <c r="N263" s="23"/>
      <c r="P263" s="45"/>
      <c r="R263" s="23"/>
      <c r="T263" s="60"/>
      <c r="V263" s="60"/>
    </row>
    <row r="264" spans="1:22" ht="13.8" thickBot="1">
      <c r="A264" s="23"/>
      <c r="B264" s="23"/>
      <c r="D264" s="23"/>
      <c r="F264" s="23"/>
      <c r="H264" s="45"/>
      <c r="J264" s="23"/>
      <c r="L264" s="45"/>
      <c r="N264" s="23"/>
      <c r="P264" s="45"/>
      <c r="R264" s="23"/>
      <c r="T264" s="60"/>
      <c r="V264" s="60"/>
    </row>
    <row r="265" spans="1:22" ht="13.8" thickBot="1">
      <c r="A265" s="23"/>
      <c r="B265" s="23"/>
      <c r="D265" s="23"/>
      <c r="F265" s="23"/>
      <c r="H265" s="45"/>
      <c r="J265" s="23"/>
      <c r="L265" s="45"/>
      <c r="N265" s="23"/>
      <c r="P265" s="45"/>
      <c r="R265" s="23"/>
      <c r="T265" s="60"/>
      <c r="V265" s="60"/>
    </row>
    <row r="266" spans="1:22" ht="13.8" thickBot="1">
      <c r="A266" s="23"/>
      <c r="B266" s="23"/>
      <c r="D266" s="23"/>
      <c r="F266" s="23"/>
      <c r="H266" s="45"/>
      <c r="J266" s="23"/>
      <c r="L266" s="45"/>
      <c r="N266" s="23"/>
      <c r="P266" s="45"/>
      <c r="R266" s="23"/>
      <c r="T266" s="60"/>
      <c r="V266" s="60"/>
    </row>
    <row r="267" spans="1:22" ht="13.8" thickBot="1">
      <c r="A267" s="23"/>
      <c r="B267" s="23"/>
      <c r="D267" s="23"/>
      <c r="F267" s="23"/>
      <c r="H267" s="45"/>
      <c r="J267" s="23"/>
      <c r="L267" s="45"/>
      <c r="N267" s="23"/>
      <c r="P267" s="45"/>
      <c r="R267" s="23"/>
      <c r="T267" s="60"/>
      <c r="V267" s="60"/>
    </row>
    <row r="268" spans="1:22" ht="13.8" thickBot="1">
      <c r="A268" s="23"/>
      <c r="B268" s="23"/>
      <c r="D268" s="23"/>
      <c r="F268" s="23"/>
      <c r="H268" s="45"/>
      <c r="J268" s="23"/>
      <c r="L268" s="45"/>
      <c r="N268" s="23"/>
      <c r="P268" s="45"/>
      <c r="R268" s="23"/>
      <c r="T268" s="60"/>
      <c r="V268" s="60"/>
    </row>
    <row r="269" spans="1:22" ht="13.8" thickBot="1">
      <c r="A269" s="23"/>
      <c r="B269" s="23"/>
      <c r="D269" s="23"/>
      <c r="F269" s="23"/>
      <c r="H269" s="45"/>
      <c r="J269" s="23"/>
      <c r="L269" s="45"/>
      <c r="N269" s="23"/>
      <c r="P269" s="45"/>
      <c r="R269" s="23"/>
      <c r="T269" s="60"/>
      <c r="V269" s="60"/>
    </row>
    <row r="270" spans="1:22" ht="13.8" thickBot="1">
      <c r="A270" s="23"/>
      <c r="B270" s="23"/>
      <c r="D270" s="23"/>
      <c r="F270" s="23"/>
      <c r="H270" s="45"/>
      <c r="J270" s="23"/>
      <c r="L270" s="45"/>
      <c r="N270" s="23"/>
      <c r="P270" s="45"/>
      <c r="R270" s="23"/>
      <c r="T270" s="60"/>
      <c r="V270" s="60"/>
    </row>
    <row r="271" spans="1:22" ht="13.8" thickBot="1">
      <c r="A271" s="23"/>
      <c r="B271" s="23"/>
      <c r="D271" s="23"/>
      <c r="F271" s="23"/>
      <c r="H271" s="45"/>
      <c r="J271" s="23"/>
      <c r="L271" s="45"/>
      <c r="N271" s="23"/>
      <c r="P271" s="45"/>
      <c r="R271" s="23"/>
      <c r="T271" s="60"/>
      <c r="V271" s="60"/>
    </row>
    <row r="272" spans="1:22" ht="13.8" thickBot="1">
      <c r="A272" s="23"/>
      <c r="B272" s="23"/>
      <c r="D272" s="23"/>
      <c r="F272" s="23"/>
      <c r="H272" s="45"/>
      <c r="J272" s="23"/>
      <c r="L272" s="45"/>
      <c r="N272" s="23"/>
      <c r="P272" s="45"/>
      <c r="R272" s="23"/>
      <c r="T272" s="60"/>
      <c r="V272" s="60"/>
    </row>
    <row r="273" spans="1:22" ht="13.8" thickBot="1">
      <c r="A273" s="23"/>
      <c r="B273" s="23"/>
      <c r="D273" s="23"/>
      <c r="F273" s="23"/>
      <c r="H273" s="45"/>
      <c r="J273" s="23"/>
      <c r="L273" s="45"/>
      <c r="N273" s="23"/>
      <c r="P273" s="45"/>
      <c r="R273" s="23"/>
      <c r="T273" s="60"/>
      <c r="V273" s="60"/>
    </row>
    <row r="274" spans="1:22" ht="13.8" thickBot="1">
      <c r="A274" s="23"/>
      <c r="B274" s="23"/>
      <c r="D274" s="23"/>
      <c r="F274" s="23"/>
      <c r="H274" s="45"/>
      <c r="J274" s="23"/>
      <c r="L274" s="45"/>
      <c r="N274" s="23"/>
      <c r="P274" s="45"/>
      <c r="R274" s="23"/>
      <c r="T274" s="60"/>
      <c r="V274" s="60"/>
    </row>
    <row r="275" spans="1:22" ht="13.8" thickBot="1">
      <c r="A275" s="23"/>
      <c r="B275" s="23"/>
      <c r="D275" s="23"/>
      <c r="F275" s="23"/>
      <c r="H275" s="45"/>
      <c r="J275" s="23"/>
      <c r="L275" s="45"/>
      <c r="N275" s="23"/>
      <c r="P275" s="45"/>
      <c r="R275" s="23"/>
      <c r="T275" s="60"/>
      <c r="V275" s="60"/>
    </row>
    <row r="276" spans="1:22" ht="13.8" thickBot="1">
      <c r="A276" s="23"/>
      <c r="B276" s="23"/>
      <c r="D276" s="23"/>
      <c r="F276" s="23"/>
      <c r="H276" s="45"/>
      <c r="J276" s="23"/>
      <c r="L276" s="45"/>
      <c r="N276" s="23"/>
      <c r="P276" s="45"/>
      <c r="R276" s="23"/>
      <c r="T276" s="60"/>
      <c r="V276" s="60"/>
    </row>
    <row r="277" spans="1:22" ht="13.8" thickBot="1">
      <c r="A277" s="23"/>
      <c r="B277" s="23"/>
      <c r="D277" s="23"/>
      <c r="F277" s="23"/>
      <c r="H277" s="45"/>
      <c r="J277" s="23"/>
      <c r="L277" s="45"/>
      <c r="N277" s="23"/>
      <c r="P277" s="45"/>
      <c r="R277" s="23"/>
      <c r="T277" s="60"/>
      <c r="V277" s="60"/>
    </row>
    <row r="278" spans="1:22" ht="13.8" thickBot="1">
      <c r="A278" s="23"/>
      <c r="B278" s="23"/>
      <c r="D278" s="23"/>
      <c r="F278" s="23"/>
      <c r="H278" s="45"/>
      <c r="J278" s="23"/>
      <c r="L278" s="45"/>
      <c r="N278" s="23"/>
      <c r="P278" s="45"/>
      <c r="R278" s="23"/>
      <c r="T278" s="60"/>
      <c r="V278" s="60"/>
    </row>
    <row r="279" spans="1:22" ht="13.8" thickBot="1">
      <c r="A279" s="23"/>
      <c r="B279" s="23"/>
      <c r="D279" s="23"/>
      <c r="F279" s="23"/>
      <c r="H279" s="45"/>
      <c r="J279" s="23"/>
      <c r="L279" s="45"/>
      <c r="N279" s="23"/>
      <c r="P279" s="45"/>
      <c r="R279" s="23"/>
      <c r="T279" s="60"/>
      <c r="V279" s="60"/>
    </row>
    <row r="280" spans="1:22" ht="13.8" thickBot="1">
      <c r="A280" s="23"/>
      <c r="B280" s="23"/>
      <c r="D280" s="23"/>
      <c r="F280" s="23"/>
      <c r="H280" s="45"/>
      <c r="J280" s="23"/>
      <c r="L280" s="45"/>
      <c r="N280" s="23"/>
      <c r="P280" s="45"/>
      <c r="R280" s="23"/>
      <c r="T280" s="60"/>
      <c r="V280" s="60"/>
    </row>
    <row r="281" spans="1:22" ht="13.8" thickBot="1">
      <c r="A281" s="23"/>
      <c r="B281" s="23"/>
      <c r="D281" s="23"/>
      <c r="F281" s="23"/>
      <c r="H281" s="45"/>
      <c r="J281" s="23"/>
      <c r="L281" s="45"/>
      <c r="N281" s="23"/>
      <c r="P281" s="45"/>
      <c r="R281" s="23"/>
      <c r="T281" s="60"/>
      <c r="V281" s="60"/>
    </row>
    <row r="282" spans="1:22" ht="13.8" thickBot="1">
      <c r="A282" s="23"/>
      <c r="B282" s="23"/>
      <c r="D282" s="23"/>
      <c r="F282" s="23"/>
      <c r="H282" s="45"/>
      <c r="J282" s="23"/>
      <c r="L282" s="45"/>
      <c r="N282" s="23"/>
      <c r="P282" s="45"/>
      <c r="R282" s="23"/>
      <c r="T282" s="60"/>
      <c r="V282" s="60"/>
    </row>
    <row r="283" spans="1:22" ht="13.8" thickBot="1">
      <c r="A283" s="23"/>
      <c r="B283" s="23"/>
      <c r="D283" s="23"/>
      <c r="F283" s="23"/>
      <c r="H283" s="45"/>
      <c r="J283" s="23"/>
      <c r="L283" s="45"/>
      <c r="N283" s="23"/>
      <c r="P283" s="45"/>
      <c r="R283" s="23"/>
      <c r="T283" s="60"/>
      <c r="V283" s="60"/>
    </row>
    <row r="284" spans="1:22" ht="13.8" thickBot="1">
      <c r="A284" s="23"/>
      <c r="B284" s="23"/>
      <c r="D284" s="23"/>
      <c r="F284" s="23"/>
      <c r="H284" s="45"/>
      <c r="J284" s="23"/>
      <c r="L284" s="45"/>
      <c r="N284" s="23"/>
      <c r="P284" s="45"/>
      <c r="R284" s="23"/>
      <c r="T284" s="60"/>
      <c r="V284" s="60"/>
    </row>
    <row r="285" spans="1:22" ht="13.8" thickBot="1">
      <c r="A285" s="23"/>
      <c r="B285" s="23"/>
      <c r="D285" s="23"/>
      <c r="F285" s="23"/>
      <c r="H285" s="45"/>
      <c r="J285" s="23"/>
      <c r="L285" s="45"/>
      <c r="N285" s="23"/>
      <c r="P285" s="45"/>
      <c r="R285" s="23"/>
      <c r="T285" s="60"/>
      <c r="V285" s="60"/>
    </row>
    <row r="286" spans="1:22" ht="13.8" thickBot="1">
      <c r="A286" s="23"/>
      <c r="B286" s="23"/>
      <c r="D286" s="23"/>
      <c r="F286" s="23"/>
      <c r="H286" s="45"/>
      <c r="J286" s="23"/>
      <c r="L286" s="45"/>
      <c r="N286" s="23"/>
      <c r="P286" s="45"/>
      <c r="R286" s="23"/>
      <c r="T286" s="60"/>
      <c r="V286" s="60"/>
    </row>
    <row r="287" spans="1:22" ht="13.8" thickBot="1">
      <c r="A287" s="23"/>
      <c r="B287" s="23"/>
      <c r="D287" s="23"/>
      <c r="F287" s="23"/>
      <c r="H287" s="45"/>
      <c r="J287" s="23"/>
      <c r="L287" s="45"/>
      <c r="N287" s="23"/>
      <c r="P287" s="45"/>
      <c r="R287" s="23"/>
      <c r="T287" s="60"/>
      <c r="V287" s="60"/>
    </row>
    <row r="288" spans="1:22" ht="13.8" thickBot="1">
      <c r="A288" s="23"/>
      <c r="B288" s="23"/>
      <c r="D288" s="23"/>
      <c r="F288" s="23"/>
      <c r="H288" s="45"/>
      <c r="J288" s="23"/>
      <c r="L288" s="45"/>
      <c r="N288" s="23"/>
      <c r="P288" s="45"/>
      <c r="R288" s="23"/>
      <c r="T288" s="60"/>
      <c r="V288" s="60"/>
    </row>
    <row r="289" spans="1:22" ht="13.8" thickBot="1">
      <c r="A289" s="23"/>
      <c r="B289" s="23"/>
      <c r="D289" s="23"/>
      <c r="F289" s="23"/>
      <c r="H289" s="45"/>
      <c r="J289" s="23"/>
      <c r="L289" s="45"/>
      <c r="N289" s="23"/>
      <c r="P289" s="45"/>
      <c r="R289" s="23"/>
      <c r="T289" s="60"/>
      <c r="V289" s="60"/>
    </row>
    <row r="290" spans="1:22" ht="13.8" thickBot="1">
      <c r="A290" s="23"/>
      <c r="B290" s="23"/>
      <c r="D290" s="23"/>
      <c r="F290" s="23"/>
      <c r="H290" s="45"/>
      <c r="J290" s="23"/>
      <c r="L290" s="45"/>
      <c r="N290" s="23"/>
      <c r="P290" s="45"/>
      <c r="R290" s="23"/>
      <c r="T290" s="60"/>
      <c r="V290" s="60"/>
    </row>
    <row r="291" spans="1:22" ht="13.8" thickBot="1">
      <c r="A291" s="23"/>
      <c r="B291" s="23"/>
      <c r="D291" s="23"/>
      <c r="F291" s="23"/>
      <c r="H291" s="45"/>
      <c r="J291" s="23"/>
      <c r="L291" s="45"/>
      <c r="N291" s="23"/>
      <c r="P291" s="45"/>
      <c r="R291" s="23"/>
      <c r="T291" s="60"/>
      <c r="V291" s="60"/>
    </row>
    <row r="292" spans="1:22" ht="13.8" thickBot="1">
      <c r="A292" s="23"/>
      <c r="B292" s="23"/>
      <c r="D292" s="23"/>
      <c r="F292" s="23"/>
      <c r="H292" s="45"/>
      <c r="J292" s="23"/>
      <c r="L292" s="45"/>
      <c r="N292" s="23"/>
      <c r="P292" s="45"/>
      <c r="R292" s="23"/>
      <c r="T292" s="60"/>
      <c r="V292" s="60"/>
    </row>
    <row r="293" spans="1:22" ht="13.8" thickBot="1">
      <c r="A293" s="23"/>
      <c r="B293" s="23"/>
      <c r="D293" s="23"/>
      <c r="F293" s="23"/>
      <c r="H293" s="45"/>
      <c r="J293" s="23"/>
      <c r="L293" s="45"/>
      <c r="N293" s="23"/>
      <c r="P293" s="45"/>
      <c r="R293" s="23"/>
      <c r="T293" s="60"/>
      <c r="V293" s="60"/>
    </row>
    <row r="294" spans="1:22" ht="13.8" thickBot="1">
      <c r="A294" s="23"/>
      <c r="B294" s="23"/>
      <c r="D294" s="23"/>
      <c r="F294" s="23"/>
      <c r="H294" s="45"/>
      <c r="J294" s="23"/>
      <c r="L294" s="45"/>
      <c r="N294" s="23"/>
      <c r="P294" s="45"/>
      <c r="R294" s="23"/>
      <c r="T294" s="60"/>
      <c r="V294" s="60"/>
    </row>
    <row r="295" spans="1:22" ht="13.8" thickBot="1">
      <c r="A295" s="23"/>
      <c r="B295" s="23"/>
      <c r="D295" s="23"/>
      <c r="F295" s="23"/>
      <c r="H295" s="45"/>
      <c r="J295" s="23"/>
      <c r="L295" s="45"/>
      <c r="N295" s="23"/>
      <c r="P295" s="45"/>
      <c r="R295" s="23"/>
      <c r="T295" s="60"/>
      <c r="V295" s="60"/>
    </row>
    <row r="296" spans="1:22" ht="13.8" thickBot="1">
      <c r="A296" s="23"/>
      <c r="B296" s="23"/>
      <c r="D296" s="23"/>
      <c r="F296" s="23"/>
      <c r="H296" s="45"/>
      <c r="J296" s="23"/>
      <c r="L296" s="45"/>
      <c r="N296" s="23"/>
      <c r="P296" s="45"/>
      <c r="R296" s="23"/>
      <c r="T296" s="60"/>
      <c r="V296" s="60"/>
    </row>
    <row r="297" spans="1:22" ht="13.8" thickBot="1">
      <c r="A297" s="23"/>
      <c r="B297" s="23"/>
      <c r="D297" s="23"/>
      <c r="F297" s="23"/>
      <c r="H297" s="45"/>
      <c r="J297" s="23"/>
      <c r="L297" s="45"/>
      <c r="N297" s="23"/>
      <c r="P297" s="45"/>
      <c r="R297" s="23"/>
      <c r="T297" s="60"/>
      <c r="V297" s="60"/>
    </row>
    <row r="298" spans="1:22" ht="13.8" thickBot="1">
      <c r="A298" s="23"/>
      <c r="B298" s="23"/>
      <c r="D298" s="23"/>
      <c r="F298" s="23"/>
      <c r="H298" s="45"/>
      <c r="J298" s="23"/>
      <c r="L298" s="45"/>
      <c r="N298" s="23"/>
      <c r="P298" s="45"/>
      <c r="R298" s="23"/>
      <c r="T298" s="60"/>
      <c r="V298" s="60"/>
    </row>
    <row r="299" spans="1:22" ht="13.8" thickBot="1">
      <c r="A299" s="23"/>
      <c r="B299" s="23"/>
      <c r="D299" s="23"/>
      <c r="F299" s="23"/>
      <c r="H299" s="45"/>
      <c r="J299" s="23"/>
      <c r="L299" s="45"/>
      <c r="N299" s="23"/>
      <c r="P299" s="45"/>
      <c r="R299" s="23"/>
      <c r="T299" s="60"/>
      <c r="V299" s="60"/>
    </row>
    <row r="300" spans="1:22" ht="13.8" thickBot="1">
      <c r="A300" s="23"/>
      <c r="B300" s="23"/>
      <c r="D300" s="23"/>
      <c r="F300" s="23"/>
      <c r="H300" s="45"/>
      <c r="J300" s="23"/>
      <c r="L300" s="45"/>
      <c r="N300" s="23"/>
      <c r="P300" s="45"/>
      <c r="R300" s="23"/>
      <c r="T300" s="60"/>
      <c r="V300" s="60"/>
    </row>
    <row r="301" spans="1:22" ht="13.8" thickBot="1">
      <c r="A301" s="23"/>
      <c r="B301" s="23"/>
      <c r="D301" s="23"/>
      <c r="F301" s="23"/>
      <c r="H301" s="45"/>
      <c r="J301" s="23"/>
      <c r="L301" s="45"/>
      <c r="N301" s="23"/>
      <c r="P301" s="45"/>
      <c r="R301" s="23"/>
      <c r="T301" s="60"/>
      <c r="V301" s="60"/>
    </row>
    <row r="302" spans="1:22" ht="13.8" thickBot="1">
      <c r="A302" s="23"/>
      <c r="B302" s="23"/>
      <c r="D302" s="23"/>
      <c r="F302" s="23"/>
      <c r="H302" s="45"/>
      <c r="J302" s="23"/>
      <c r="L302" s="45"/>
      <c r="N302" s="23"/>
      <c r="P302" s="45"/>
      <c r="R302" s="23"/>
      <c r="T302" s="60"/>
      <c r="V302" s="60"/>
    </row>
    <row r="303" spans="1:22" ht="13.8" thickBot="1">
      <c r="A303" s="23"/>
      <c r="B303" s="23"/>
      <c r="D303" s="23"/>
      <c r="F303" s="23"/>
      <c r="H303" s="45"/>
      <c r="J303" s="23"/>
      <c r="L303" s="45"/>
      <c r="N303" s="23"/>
      <c r="P303" s="45"/>
      <c r="R303" s="23"/>
      <c r="T303" s="60"/>
      <c r="V303" s="60"/>
    </row>
    <row r="304" spans="1:22" ht="13.8" thickBot="1">
      <c r="A304" s="23"/>
      <c r="B304" s="23"/>
      <c r="D304" s="23"/>
      <c r="F304" s="23"/>
      <c r="H304" s="45"/>
      <c r="J304" s="23"/>
      <c r="L304" s="45"/>
      <c r="N304" s="23"/>
      <c r="P304" s="45"/>
      <c r="R304" s="23"/>
      <c r="T304" s="60"/>
      <c r="V304" s="60"/>
    </row>
    <row r="305" spans="1:22" ht="13.8" thickBot="1">
      <c r="A305" s="23"/>
      <c r="B305" s="23"/>
      <c r="D305" s="23"/>
      <c r="F305" s="23"/>
      <c r="H305" s="45"/>
      <c r="J305" s="23"/>
      <c r="L305" s="45"/>
      <c r="N305" s="23"/>
      <c r="P305" s="45"/>
      <c r="R305" s="23"/>
      <c r="T305" s="60"/>
      <c r="V305" s="60"/>
    </row>
    <row r="306" spans="1:22" ht="13.8" thickBot="1">
      <c r="A306" s="23"/>
      <c r="B306" s="23"/>
      <c r="D306" s="23"/>
      <c r="F306" s="23"/>
      <c r="H306" s="45"/>
      <c r="J306" s="23"/>
      <c r="L306" s="45"/>
      <c r="N306" s="23"/>
      <c r="P306" s="45"/>
      <c r="R306" s="23"/>
      <c r="T306" s="60"/>
      <c r="V306" s="60"/>
    </row>
    <row r="307" spans="1:22" ht="13.8" thickBot="1">
      <c r="A307" s="23"/>
      <c r="B307" s="23"/>
      <c r="D307" s="23"/>
      <c r="F307" s="23"/>
      <c r="H307" s="45"/>
      <c r="J307" s="23"/>
      <c r="L307" s="45"/>
      <c r="N307" s="23"/>
      <c r="P307" s="45"/>
      <c r="R307" s="23"/>
      <c r="T307" s="60"/>
      <c r="V307" s="60"/>
    </row>
    <row r="308" spans="1:22" ht="13.8" thickBot="1">
      <c r="A308" s="23"/>
      <c r="B308" s="23"/>
      <c r="D308" s="23"/>
      <c r="F308" s="23"/>
      <c r="H308" s="45"/>
      <c r="J308" s="23"/>
      <c r="L308" s="45"/>
      <c r="N308" s="23"/>
      <c r="P308" s="45"/>
      <c r="R308" s="23"/>
      <c r="T308" s="60"/>
      <c r="V308" s="60"/>
    </row>
    <row r="309" spans="1:22" ht="13.8" thickBot="1">
      <c r="A309" s="23"/>
      <c r="B309" s="23"/>
      <c r="D309" s="23"/>
      <c r="F309" s="23"/>
      <c r="H309" s="45"/>
      <c r="J309" s="23"/>
      <c r="L309" s="45"/>
      <c r="N309" s="23"/>
      <c r="P309" s="45"/>
      <c r="R309" s="23"/>
      <c r="T309" s="60"/>
      <c r="V309" s="60"/>
    </row>
    <row r="310" spans="1:22" ht="13.8" thickBot="1">
      <c r="A310" s="23"/>
      <c r="B310" s="23"/>
      <c r="D310" s="23"/>
      <c r="F310" s="23"/>
      <c r="H310" s="45"/>
      <c r="J310" s="23"/>
      <c r="L310" s="45"/>
      <c r="N310" s="23"/>
      <c r="P310" s="45"/>
      <c r="R310" s="23"/>
      <c r="T310" s="60"/>
      <c r="V310" s="60"/>
    </row>
    <row r="311" spans="1:22" ht="13.8" thickBot="1">
      <c r="A311" s="23"/>
      <c r="B311" s="23"/>
      <c r="D311" s="23"/>
      <c r="F311" s="23"/>
      <c r="H311" s="45"/>
      <c r="J311" s="23"/>
      <c r="L311" s="45"/>
      <c r="N311" s="23"/>
      <c r="P311" s="45"/>
      <c r="R311" s="23"/>
      <c r="T311" s="60"/>
      <c r="V311" s="60"/>
    </row>
    <row r="312" spans="1:22" ht="13.8" thickBot="1">
      <c r="A312" s="23"/>
      <c r="B312" s="23"/>
      <c r="D312" s="23"/>
      <c r="F312" s="23"/>
      <c r="H312" s="45"/>
      <c r="J312" s="23"/>
      <c r="L312" s="45"/>
      <c r="N312" s="23"/>
      <c r="P312" s="45"/>
      <c r="R312" s="23"/>
      <c r="T312" s="60"/>
      <c r="V312" s="60"/>
    </row>
    <row r="313" spans="1:22" ht="13.8" thickBot="1">
      <c r="A313" s="23"/>
      <c r="B313" s="23"/>
      <c r="D313" s="23"/>
      <c r="F313" s="23"/>
      <c r="H313" s="45"/>
      <c r="J313" s="23"/>
      <c r="L313" s="45"/>
      <c r="N313" s="23"/>
      <c r="P313" s="45"/>
      <c r="R313" s="23"/>
      <c r="T313" s="60"/>
      <c r="V313" s="60"/>
    </row>
    <row r="314" spans="1:22" ht="13.8" thickBot="1">
      <c r="A314" s="23"/>
      <c r="B314" s="23"/>
      <c r="D314" s="23"/>
      <c r="F314" s="23"/>
      <c r="H314" s="45"/>
      <c r="J314" s="23"/>
      <c r="L314" s="45"/>
      <c r="N314" s="23"/>
      <c r="P314" s="45"/>
      <c r="R314" s="23"/>
      <c r="T314" s="60"/>
      <c r="V314" s="60"/>
    </row>
    <row r="315" spans="1:22" ht="13.8" thickBot="1">
      <c r="A315" s="23"/>
      <c r="B315" s="23"/>
      <c r="D315" s="23"/>
      <c r="F315" s="23"/>
      <c r="H315" s="45"/>
      <c r="J315" s="23"/>
      <c r="L315" s="45"/>
      <c r="N315" s="23"/>
      <c r="P315" s="45"/>
      <c r="R315" s="23"/>
      <c r="T315" s="60"/>
      <c r="V315" s="60"/>
    </row>
    <row r="316" spans="1:22" ht="13.8" thickBot="1">
      <c r="A316" s="23"/>
      <c r="B316" s="23"/>
      <c r="D316" s="23"/>
      <c r="F316" s="23"/>
      <c r="H316" s="45"/>
      <c r="J316" s="23"/>
      <c r="L316" s="45"/>
      <c r="N316" s="23"/>
      <c r="P316" s="45"/>
      <c r="R316" s="23"/>
      <c r="T316" s="60"/>
      <c r="V316" s="60"/>
    </row>
    <row r="317" spans="1:22" ht="13.8" thickBot="1">
      <c r="A317" s="23"/>
      <c r="B317" s="23"/>
      <c r="D317" s="23"/>
      <c r="F317" s="23"/>
      <c r="H317" s="45"/>
      <c r="J317" s="23"/>
      <c r="L317" s="45"/>
      <c r="N317" s="23"/>
      <c r="P317" s="45"/>
      <c r="R317" s="23"/>
      <c r="T317" s="60"/>
      <c r="V317" s="60"/>
    </row>
    <row r="318" spans="1:22" ht="13.8" thickBot="1">
      <c r="A318" s="23"/>
      <c r="B318" s="23"/>
      <c r="D318" s="23"/>
      <c r="F318" s="23"/>
      <c r="H318" s="45"/>
      <c r="J318" s="23"/>
      <c r="L318" s="45"/>
      <c r="N318" s="23"/>
      <c r="P318" s="45"/>
      <c r="R318" s="23"/>
      <c r="T318" s="60"/>
      <c r="V318" s="60"/>
    </row>
    <row r="319" spans="1:22" ht="13.8" thickBot="1">
      <c r="A319" s="23"/>
      <c r="B319" s="23"/>
      <c r="D319" s="23"/>
      <c r="F319" s="23"/>
      <c r="H319" s="45"/>
      <c r="J319" s="23"/>
      <c r="L319" s="45"/>
      <c r="N319" s="23"/>
      <c r="P319" s="45"/>
      <c r="R319" s="23"/>
      <c r="T319" s="60"/>
      <c r="V319" s="60"/>
    </row>
    <row r="320" spans="1:22" ht="13.8" thickBot="1">
      <c r="A320" s="23"/>
      <c r="B320" s="23"/>
      <c r="D320" s="23"/>
      <c r="F320" s="23"/>
      <c r="H320" s="45"/>
      <c r="J320" s="23"/>
      <c r="L320" s="45"/>
      <c r="N320" s="23"/>
      <c r="P320" s="45"/>
      <c r="R320" s="23"/>
      <c r="T320" s="60"/>
      <c r="V320" s="60"/>
    </row>
    <row r="321" spans="1:22" ht="13.8" thickBot="1">
      <c r="A321" s="23"/>
      <c r="B321" s="23"/>
      <c r="D321" s="23"/>
      <c r="F321" s="23"/>
      <c r="H321" s="45"/>
      <c r="J321" s="23"/>
      <c r="L321" s="45"/>
      <c r="N321" s="23"/>
      <c r="P321" s="45"/>
      <c r="R321" s="23"/>
      <c r="T321" s="60"/>
      <c r="V321" s="60"/>
    </row>
    <row r="322" spans="1:22" ht="13.8" thickBot="1">
      <c r="A322" s="23"/>
      <c r="B322" s="23"/>
      <c r="D322" s="23"/>
      <c r="F322" s="23"/>
      <c r="H322" s="45"/>
      <c r="J322" s="23"/>
      <c r="L322" s="45"/>
      <c r="N322" s="23"/>
      <c r="P322" s="45"/>
      <c r="R322" s="23"/>
      <c r="T322" s="60"/>
      <c r="V322" s="60"/>
    </row>
    <row r="323" spans="1:22" ht="13.8" thickBot="1">
      <c r="A323" s="23"/>
      <c r="B323" s="23"/>
      <c r="D323" s="23"/>
      <c r="F323" s="23"/>
      <c r="H323" s="45"/>
      <c r="J323" s="23"/>
      <c r="L323" s="45"/>
      <c r="N323" s="23"/>
      <c r="P323" s="45"/>
      <c r="R323" s="23"/>
      <c r="T323" s="60"/>
      <c r="V323" s="60"/>
    </row>
    <row r="324" spans="1:22" ht="13.8" thickBot="1">
      <c r="A324" s="23"/>
      <c r="B324" s="23"/>
      <c r="D324" s="23"/>
      <c r="F324" s="23"/>
      <c r="H324" s="45"/>
      <c r="J324" s="23"/>
      <c r="L324" s="45"/>
      <c r="N324" s="23"/>
      <c r="P324" s="45"/>
      <c r="R324" s="23"/>
      <c r="T324" s="60"/>
      <c r="V324" s="60"/>
    </row>
    <row r="325" spans="1:22" ht="13.8" thickBot="1">
      <c r="A325" s="23"/>
      <c r="B325" s="23"/>
      <c r="D325" s="23"/>
      <c r="F325" s="23"/>
      <c r="H325" s="45"/>
      <c r="J325" s="23"/>
      <c r="L325" s="45"/>
      <c r="N325" s="23"/>
      <c r="P325" s="45"/>
      <c r="R325" s="23"/>
      <c r="T325" s="60"/>
      <c r="V325" s="60"/>
    </row>
    <row r="326" spans="1:22" ht="13.8" thickBot="1">
      <c r="A326" s="23"/>
      <c r="B326" s="23"/>
      <c r="D326" s="23"/>
      <c r="F326" s="23"/>
      <c r="H326" s="45"/>
      <c r="J326" s="23"/>
      <c r="L326" s="45"/>
      <c r="N326" s="23"/>
      <c r="P326" s="45"/>
      <c r="R326" s="23"/>
      <c r="T326" s="60"/>
      <c r="V326" s="60"/>
    </row>
    <row r="327" spans="1:22" ht="13.8" thickBot="1">
      <c r="A327" s="23"/>
      <c r="B327" s="23"/>
      <c r="D327" s="23"/>
      <c r="F327" s="23"/>
      <c r="H327" s="45"/>
      <c r="J327" s="23"/>
      <c r="L327" s="45"/>
      <c r="N327" s="23"/>
      <c r="P327" s="45"/>
      <c r="R327" s="23"/>
      <c r="T327" s="60"/>
      <c r="V327" s="60"/>
    </row>
    <row r="328" spans="1:22" ht="13.8" thickBot="1">
      <c r="A328" s="23"/>
      <c r="B328" s="23"/>
      <c r="D328" s="23"/>
      <c r="F328" s="23"/>
      <c r="H328" s="45"/>
      <c r="J328" s="23"/>
      <c r="L328" s="45"/>
      <c r="N328" s="23"/>
      <c r="P328" s="45"/>
      <c r="R328" s="23"/>
      <c r="T328" s="60"/>
      <c r="V328" s="60"/>
    </row>
    <row r="329" spans="1:22" ht="13.8" thickBot="1">
      <c r="A329" s="23"/>
      <c r="B329" s="23"/>
      <c r="D329" s="23"/>
      <c r="F329" s="23"/>
      <c r="H329" s="45"/>
      <c r="J329" s="23"/>
      <c r="L329" s="45"/>
      <c r="N329" s="23"/>
      <c r="P329" s="45"/>
      <c r="R329" s="23"/>
      <c r="T329" s="60"/>
      <c r="V329" s="60"/>
    </row>
    <row r="330" spans="1:22" ht="13.8" thickBot="1">
      <c r="A330" s="23"/>
      <c r="B330" s="23"/>
      <c r="D330" s="23"/>
      <c r="F330" s="23"/>
      <c r="H330" s="45"/>
      <c r="J330" s="23"/>
      <c r="L330" s="45"/>
      <c r="N330" s="23"/>
      <c r="P330" s="45"/>
      <c r="R330" s="23"/>
      <c r="T330" s="60"/>
      <c r="V330" s="60"/>
    </row>
    <row r="331" spans="1:22" ht="13.8" thickBot="1">
      <c r="A331" s="23"/>
      <c r="B331" s="23"/>
      <c r="D331" s="23"/>
      <c r="F331" s="23"/>
      <c r="H331" s="45"/>
      <c r="J331" s="23"/>
      <c r="L331" s="45"/>
      <c r="N331" s="23"/>
      <c r="P331" s="45"/>
      <c r="R331" s="23"/>
      <c r="T331" s="60"/>
      <c r="V331" s="60"/>
    </row>
    <row r="332" spans="1:22" ht="13.8" thickBot="1">
      <c r="A332" s="23"/>
      <c r="B332" s="23"/>
      <c r="D332" s="23"/>
      <c r="F332" s="23"/>
      <c r="H332" s="45"/>
      <c r="J332" s="23"/>
      <c r="L332" s="45"/>
      <c r="N332" s="23"/>
      <c r="P332" s="45"/>
      <c r="R332" s="23"/>
      <c r="T332" s="60"/>
      <c r="V332" s="60"/>
    </row>
    <row r="333" spans="1:22" ht="13.8" thickBot="1">
      <c r="A333" s="23"/>
      <c r="B333" s="23"/>
      <c r="D333" s="23"/>
      <c r="F333" s="23"/>
      <c r="H333" s="45"/>
      <c r="J333" s="23"/>
      <c r="L333" s="45"/>
      <c r="N333" s="23"/>
      <c r="P333" s="45"/>
      <c r="R333" s="23"/>
      <c r="T333" s="60"/>
      <c r="V333" s="60"/>
    </row>
    <row r="334" spans="1:22" ht="13.8" thickBot="1">
      <c r="A334" s="23"/>
      <c r="B334" s="23"/>
      <c r="D334" s="23"/>
      <c r="F334" s="23"/>
      <c r="H334" s="45"/>
      <c r="J334" s="23"/>
      <c r="L334" s="45"/>
      <c r="N334" s="23"/>
      <c r="P334" s="45"/>
      <c r="R334" s="23"/>
      <c r="T334" s="60"/>
      <c r="V334" s="60"/>
    </row>
    <row r="335" spans="1:22" ht="13.8" thickBot="1">
      <c r="A335" s="23"/>
      <c r="B335" s="23"/>
      <c r="D335" s="23"/>
      <c r="F335" s="23"/>
      <c r="H335" s="45"/>
      <c r="J335" s="23"/>
      <c r="L335" s="45"/>
      <c r="N335" s="23"/>
      <c r="P335" s="45"/>
      <c r="R335" s="23"/>
      <c r="T335" s="60"/>
      <c r="V335" s="60"/>
    </row>
    <row r="336" spans="1:22" ht="13.8" thickBot="1">
      <c r="A336" s="23"/>
      <c r="B336" s="23"/>
      <c r="D336" s="23"/>
      <c r="F336" s="23"/>
      <c r="H336" s="45"/>
      <c r="J336" s="23"/>
      <c r="L336" s="45"/>
      <c r="N336" s="23"/>
      <c r="P336" s="45"/>
      <c r="R336" s="23"/>
      <c r="T336" s="60"/>
      <c r="V336" s="60"/>
    </row>
    <row r="337" spans="1:22" ht="13.8" thickBot="1">
      <c r="A337" s="23"/>
      <c r="B337" s="23"/>
      <c r="D337" s="23"/>
      <c r="F337" s="23"/>
      <c r="H337" s="45"/>
      <c r="J337" s="23"/>
      <c r="L337" s="45"/>
      <c r="N337" s="23"/>
      <c r="P337" s="45"/>
      <c r="R337" s="23"/>
      <c r="T337" s="60"/>
      <c r="V337" s="60"/>
    </row>
    <row r="338" spans="1:22" ht="13.8" thickBot="1">
      <c r="A338" s="23"/>
      <c r="B338" s="23"/>
      <c r="D338" s="23"/>
      <c r="F338" s="23"/>
      <c r="H338" s="45"/>
      <c r="J338" s="23"/>
      <c r="L338" s="45"/>
      <c r="N338" s="23"/>
      <c r="P338" s="45"/>
      <c r="R338" s="23"/>
      <c r="T338" s="60"/>
      <c r="V338" s="60"/>
    </row>
    <row r="339" spans="1:22" ht="13.8" thickBot="1">
      <c r="A339" s="23"/>
      <c r="B339" s="23"/>
      <c r="D339" s="23"/>
      <c r="F339" s="23"/>
      <c r="H339" s="45"/>
      <c r="J339" s="23"/>
      <c r="L339" s="45"/>
      <c r="N339" s="23"/>
      <c r="P339" s="45"/>
      <c r="R339" s="23"/>
      <c r="T339" s="60"/>
      <c r="V339" s="60"/>
    </row>
    <row r="340" spans="1:22" ht="13.8" thickBot="1">
      <c r="A340" s="23"/>
      <c r="B340" s="23"/>
      <c r="D340" s="23"/>
      <c r="F340" s="23"/>
      <c r="H340" s="45"/>
      <c r="J340" s="23"/>
      <c r="L340" s="45"/>
      <c r="N340" s="23"/>
      <c r="P340" s="45"/>
      <c r="R340" s="23"/>
      <c r="T340" s="60"/>
      <c r="V340" s="60"/>
    </row>
    <row r="341" spans="1:22" ht="13.8" thickBot="1">
      <c r="A341" s="23"/>
      <c r="B341" s="23"/>
      <c r="D341" s="23"/>
      <c r="F341" s="23"/>
      <c r="H341" s="45"/>
      <c r="J341" s="23"/>
      <c r="L341" s="45"/>
      <c r="N341" s="23"/>
      <c r="P341" s="45"/>
      <c r="R341" s="23"/>
      <c r="T341" s="60"/>
      <c r="V341" s="60"/>
    </row>
    <row r="342" spans="1:22" ht="13.8" thickBot="1">
      <c r="A342" s="23"/>
      <c r="B342" s="23"/>
      <c r="D342" s="23"/>
      <c r="F342" s="23"/>
      <c r="H342" s="45"/>
      <c r="J342" s="23"/>
      <c r="L342" s="45"/>
      <c r="N342" s="23"/>
      <c r="P342" s="45"/>
      <c r="R342" s="23"/>
      <c r="T342" s="60"/>
      <c r="V342" s="60"/>
    </row>
    <row r="343" spans="1:22" ht="13.8" thickBot="1">
      <c r="A343" s="23"/>
      <c r="B343" s="23"/>
      <c r="D343" s="23"/>
      <c r="F343" s="23"/>
      <c r="H343" s="45"/>
      <c r="J343" s="23"/>
      <c r="L343" s="45"/>
      <c r="N343" s="23"/>
      <c r="P343" s="45"/>
      <c r="R343" s="23"/>
      <c r="T343" s="60"/>
      <c r="V343" s="60"/>
    </row>
    <row r="344" spans="1:22" ht="13.8" thickBot="1">
      <c r="A344" s="23"/>
      <c r="B344" s="23"/>
      <c r="D344" s="23"/>
      <c r="F344" s="23"/>
      <c r="H344" s="45"/>
      <c r="J344" s="23"/>
      <c r="L344" s="45"/>
      <c r="N344" s="23"/>
      <c r="P344" s="45"/>
      <c r="R344" s="23"/>
      <c r="T344" s="60"/>
      <c r="V344" s="60"/>
    </row>
    <row r="345" spans="1:22" ht="13.8" thickBot="1">
      <c r="A345" s="23"/>
      <c r="B345" s="23"/>
      <c r="D345" s="23"/>
      <c r="F345" s="23"/>
      <c r="H345" s="45"/>
      <c r="J345" s="23"/>
      <c r="L345" s="45"/>
      <c r="N345" s="23"/>
      <c r="P345" s="45"/>
      <c r="R345" s="23"/>
      <c r="T345" s="60"/>
      <c r="V345" s="60"/>
    </row>
    <row r="346" spans="1:22" ht="13.8" thickBot="1">
      <c r="A346" s="23"/>
      <c r="B346" s="23"/>
      <c r="D346" s="23"/>
      <c r="F346" s="23"/>
      <c r="H346" s="45"/>
      <c r="J346" s="23"/>
      <c r="L346" s="45"/>
      <c r="N346" s="23"/>
      <c r="P346" s="45"/>
      <c r="R346" s="23"/>
      <c r="T346" s="60"/>
      <c r="V346" s="60"/>
    </row>
    <row r="347" spans="1:22" ht="13.8" thickBot="1">
      <c r="A347" s="23"/>
      <c r="B347" s="23"/>
      <c r="D347" s="23"/>
      <c r="F347" s="23"/>
      <c r="H347" s="45"/>
      <c r="J347" s="23"/>
      <c r="L347" s="45"/>
      <c r="N347" s="23"/>
      <c r="P347" s="45"/>
      <c r="R347" s="23"/>
      <c r="T347" s="60"/>
      <c r="V347" s="60"/>
    </row>
    <row r="348" spans="1:22" ht="13.8" thickBot="1">
      <c r="A348" s="23"/>
      <c r="B348" s="23"/>
      <c r="D348" s="23"/>
      <c r="F348" s="23"/>
      <c r="H348" s="45"/>
      <c r="J348" s="23"/>
      <c r="L348" s="45"/>
      <c r="N348" s="23"/>
      <c r="P348" s="45"/>
      <c r="R348" s="23"/>
      <c r="T348" s="60"/>
      <c r="V348" s="60"/>
    </row>
    <row r="349" spans="1:22" ht="13.8" thickBot="1">
      <c r="A349" s="23"/>
      <c r="B349" s="23"/>
      <c r="D349" s="23"/>
      <c r="F349" s="23"/>
      <c r="H349" s="45"/>
      <c r="J349" s="23"/>
      <c r="L349" s="45"/>
      <c r="N349" s="23"/>
      <c r="P349" s="45"/>
      <c r="R349" s="23"/>
      <c r="T349" s="60"/>
      <c r="V349" s="60"/>
    </row>
    <row r="350" spans="1:22" ht="13.8" thickBot="1">
      <c r="A350" s="23"/>
      <c r="B350" s="23"/>
      <c r="D350" s="23"/>
      <c r="F350" s="23"/>
      <c r="H350" s="45"/>
      <c r="J350" s="23"/>
      <c r="L350" s="45"/>
      <c r="N350" s="23"/>
      <c r="P350" s="45"/>
      <c r="R350" s="23"/>
      <c r="T350" s="60"/>
      <c r="V350" s="60"/>
    </row>
    <row r="351" spans="1:22" ht="13.8" thickBot="1">
      <c r="A351" s="23"/>
      <c r="B351" s="23"/>
      <c r="D351" s="23"/>
      <c r="F351" s="23"/>
      <c r="H351" s="45"/>
      <c r="J351" s="23"/>
      <c r="L351" s="45"/>
      <c r="N351" s="23"/>
      <c r="P351" s="45"/>
      <c r="R351" s="23"/>
      <c r="T351" s="60"/>
      <c r="V351" s="60"/>
    </row>
    <row r="352" spans="1:22" ht="13.8" thickBot="1">
      <c r="A352" s="23"/>
      <c r="B352" s="23"/>
      <c r="D352" s="23"/>
      <c r="F352" s="23"/>
      <c r="H352" s="45"/>
      <c r="J352" s="23"/>
      <c r="L352" s="45"/>
      <c r="N352" s="23"/>
      <c r="P352" s="45"/>
      <c r="R352" s="23"/>
      <c r="T352" s="60"/>
      <c r="V352" s="60"/>
    </row>
    <row r="353" spans="1:22" ht="13.8" thickBot="1">
      <c r="A353" s="23"/>
      <c r="B353" s="23"/>
      <c r="D353" s="23"/>
      <c r="F353" s="23"/>
      <c r="H353" s="45"/>
      <c r="J353" s="23"/>
      <c r="L353" s="45"/>
      <c r="N353" s="23"/>
      <c r="P353" s="45"/>
      <c r="R353" s="23"/>
      <c r="T353" s="60"/>
      <c r="V353" s="60"/>
    </row>
    <row r="354" spans="1:22" ht="13.8" thickBot="1">
      <c r="A354" s="23"/>
      <c r="B354" s="23"/>
      <c r="D354" s="23"/>
      <c r="F354" s="23"/>
      <c r="H354" s="45"/>
      <c r="J354" s="23"/>
      <c r="L354" s="45"/>
      <c r="N354" s="23"/>
      <c r="P354" s="45"/>
      <c r="R354" s="23"/>
      <c r="T354" s="60"/>
      <c r="V354" s="60"/>
    </row>
    <row r="355" spans="1:22" ht="13.8" thickBot="1">
      <c r="A355" s="23"/>
      <c r="B355" s="23"/>
      <c r="D355" s="23"/>
      <c r="F355" s="23"/>
      <c r="H355" s="45"/>
      <c r="J355" s="23"/>
      <c r="L355" s="45"/>
      <c r="N355" s="23"/>
      <c r="P355" s="45"/>
      <c r="R355" s="23"/>
      <c r="T355" s="60"/>
      <c r="V355" s="60"/>
    </row>
    <row r="356" spans="1:22" ht="13.8" thickBot="1">
      <c r="A356" s="23"/>
      <c r="B356" s="23"/>
      <c r="D356" s="23"/>
      <c r="F356" s="23"/>
      <c r="H356" s="45"/>
      <c r="J356" s="23"/>
      <c r="L356" s="45"/>
      <c r="N356" s="23"/>
      <c r="P356" s="45"/>
      <c r="R356" s="23"/>
      <c r="T356" s="60"/>
      <c r="V356" s="60"/>
    </row>
    <row r="357" spans="1:22" ht="13.8" thickBot="1">
      <c r="A357" s="23"/>
      <c r="B357" s="23"/>
      <c r="D357" s="23"/>
      <c r="F357" s="23"/>
      <c r="H357" s="45"/>
      <c r="J357" s="23"/>
      <c r="L357" s="45"/>
      <c r="N357" s="23"/>
      <c r="P357" s="45"/>
      <c r="R357" s="23"/>
      <c r="T357" s="60"/>
      <c r="V357" s="60"/>
    </row>
    <row r="358" spans="1:22" ht="13.8" thickBot="1">
      <c r="A358" s="23"/>
      <c r="B358" s="23"/>
      <c r="D358" s="23"/>
      <c r="F358" s="23"/>
      <c r="H358" s="45"/>
      <c r="J358" s="23"/>
      <c r="L358" s="45"/>
      <c r="N358" s="23"/>
      <c r="P358" s="45"/>
      <c r="R358" s="23"/>
      <c r="T358" s="60"/>
      <c r="V358" s="60"/>
    </row>
    <row r="359" spans="1:22" ht="13.8" thickBot="1">
      <c r="A359" s="23"/>
      <c r="B359" s="23"/>
      <c r="D359" s="23"/>
      <c r="F359" s="23"/>
      <c r="H359" s="45"/>
      <c r="J359" s="23"/>
      <c r="L359" s="45"/>
      <c r="N359" s="23"/>
      <c r="P359" s="45"/>
      <c r="R359" s="23"/>
      <c r="T359" s="60"/>
      <c r="V359" s="60"/>
    </row>
    <row r="360" spans="1:22" ht="13.8" thickBot="1">
      <c r="A360" s="23"/>
      <c r="B360" s="23"/>
      <c r="D360" s="23"/>
      <c r="F360" s="23"/>
      <c r="H360" s="45"/>
      <c r="J360" s="23"/>
      <c r="L360" s="45"/>
      <c r="N360" s="23"/>
      <c r="P360" s="45"/>
      <c r="R360" s="23"/>
      <c r="T360" s="60"/>
      <c r="V360" s="60"/>
    </row>
    <row r="361" spans="1:22" ht="13.8" thickBot="1">
      <c r="A361" s="23"/>
      <c r="B361" s="23"/>
      <c r="D361" s="23"/>
      <c r="F361" s="23"/>
      <c r="H361" s="45"/>
      <c r="J361" s="23"/>
      <c r="L361" s="45"/>
      <c r="N361" s="23"/>
      <c r="P361" s="45"/>
      <c r="R361" s="23"/>
      <c r="T361" s="60"/>
      <c r="V361" s="60"/>
    </row>
    <row r="362" spans="1:22" ht="13.8" thickBot="1">
      <c r="A362" s="23"/>
      <c r="B362" s="23"/>
      <c r="D362" s="23"/>
      <c r="F362" s="23"/>
      <c r="H362" s="45"/>
      <c r="J362" s="23"/>
      <c r="L362" s="45"/>
      <c r="N362" s="23"/>
      <c r="P362" s="45"/>
      <c r="R362" s="23"/>
      <c r="T362" s="60"/>
      <c r="V362" s="60"/>
    </row>
    <row r="363" spans="1:22" ht="13.8" thickBot="1">
      <c r="A363" s="23"/>
      <c r="B363" s="23"/>
      <c r="D363" s="23"/>
      <c r="F363" s="23"/>
      <c r="H363" s="45"/>
      <c r="J363" s="23"/>
      <c r="L363" s="45"/>
      <c r="N363" s="23"/>
      <c r="P363" s="45"/>
      <c r="R363" s="23"/>
      <c r="T363" s="60"/>
      <c r="V363" s="60"/>
    </row>
    <row r="364" spans="1:22" ht="13.8" thickBot="1">
      <c r="A364" s="23"/>
      <c r="B364" s="23"/>
      <c r="D364" s="23"/>
      <c r="F364" s="23"/>
      <c r="H364" s="45"/>
      <c r="J364" s="23"/>
      <c r="L364" s="45"/>
      <c r="N364" s="23"/>
      <c r="P364" s="45"/>
      <c r="R364" s="23"/>
      <c r="T364" s="60"/>
      <c r="V364" s="60"/>
    </row>
    <row r="365" spans="1:22" ht="13.8" thickBot="1">
      <c r="A365" s="23"/>
      <c r="B365" s="23"/>
      <c r="D365" s="23"/>
      <c r="F365" s="23"/>
      <c r="H365" s="45"/>
      <c r="J365" s="23"/>
      <c r="L365" s="45"/>
      <c r="N365" s="23"/>
      <c r="P365" s="45"/>
      <c r="R365" s="23"/>
      <c r="T365" s="60"/>
      <c r="V365" s="60"/>
    </row>
    <row r="366" spans="1:22" ht="13.8" thickBot="1">
      <c r="A366" s="23"/>
      <c r="B366" s="23"/>
      <c r="D366" s="23"/>
      <c r="F366" s="23"/>
      <c r="H366" s="45"/>
      <c r="J366" s="23"/>
      <c r="L366" s="45"/>
      <c r="N366" s="23"/>
      <c r="P366" s="45"/>
      <c r="R366" s="23"/>
      <c r="T366" s="60"/>
      <c r="V366" s="60"/>
    </row>
    <row r="367" spans="1:22" ht="13.8" thickBot="1">
      <c r="A367" s="23"/>
      <c r="B367" s="23"/>
      <c r="D367" s="23"/>
      <c r="F367" s="23"/>
      <c r="H367" s="45"/>
      <c r="J367" s="23"/>
      <c r="L367" s="45"/>
      <c r="N367" s="23"/>
      <c r="P367" s="45"/>
      <c r="R367" s="23"/>
      <c r="T367" s="60"/>
      <c r="V367" s="60"/>
    </row>
    <row r="368" spans="1:22" ht="13.8" thickBot="1">
      <c r="A368" s="23"/>
      <c r="B368" s="23"/>
      <c r="D368" s="23"/>
      <c r="F368" s="23"/>
      <c r="H368" s="45"/>
      <c r="J368" s="23"/>
      <c r="L368" s="45"/>
      <c r="N368" s="23"/>
      <c r="P368" s="45"/>
      <c r="R368" s="23"/>
      <c r="T368" s="60"/>
      <c r="V368" s="60"/>
    </row>
    <row r="369" spans="1:22" ht="13.8" thickBot="1">
      <c r="A369" s="23"/>
      <c r="B369" s="23"/>
      <c r="D369" s="23"/>
      <c r="F369" s="23"/>
      <c r="H369" s="45"/>
      <c r="J369" s="23"/>
      <c r="L369" s="45"/>
      <c r="N369" s="23"/>
      <c r="P369" s="45"/>
      <c r="R369" s="23"/>
      <c r="T369" s="60"/>
      <c r="V369" s="60"/>
    </row>
    <row r="370" spans="1:22" ht="13.8" thickBot="1">
      <c r="A370" s="23"/>
      <c r="B370" s="23"/>
      <c r="D370" s="23"/>
      <c r="F370" s="23"/>
      <c r="H370" s="45"/>
      <c r="J370" s="23"/>
      <c r="L370" s="45"/>
      <c r="N370" s="23"/>
      <c r="P370" s="45"/>
      <c r="R370" s="23"/>
      <c r="T370" s="60"/>
      <c r="V370" s="60"/>
    </row>
    <row r="371" spans="1:22" ht="13.8" thickBot="1">
      <c r="A371" s="23"/>
      <c r="B371" s="23"/>
      <c r="D371" s="23"/>
      <c r="F371" s="23"/>
      <c r="H371" s="45"/>
      <c r="J371" s="23"/>
      <c r="L371" s="45"/>
      <c r="N371" s="23"/>
      <c r="P371" s="45"/>
      <c r="R371" s="23"/>
      <c r="T371" s="60"/>
      <c r="V371" s="60"/>
    </row>
    <row r="372" spans="1:22" ht="13.8" thickBot="1">
      <c r="A372" s="23"/>
      <c r="B372" s="23"/>
      <c r="D372" s="23"/>
      <c r="F372" s="23"/>
      <c r="H372" s="45"/>
      <c r="J372" s="23"/>
      <c r="L372" s="45"/>
      <c r="N372" s="23"/>
      <c r="P372" s="45"/>
      <c r="R372" s="23"/>
      <c r="T372" s="60"/>
      <c r="V372" s="60"/>
    </row>
    <row r="373" spans="1:22" ht="13.8" thickBot="1">
      <c r="A373" s="23"/>
      <c r="B373" s="23"/>
      <c r="D373" s="23"/>
      <c r="F373" s="23"/>
      <c r="H373" s="45"/>
      <c r="J373" s="23"/>
      <c r="L373" s="45"/>
      <c r="N373" s="23"/>
      <c r="P373" s="45"/>
      <c r="R373" s="23"/>
      <c r="T373" s="60"/>
      <c r="V373" s="60"/>
    </row>
    <row r="374" spans="1:22" ht="13.8" thickBot="1">
      <c r="A374" s="23"/>
      <c r="B374" s="23"/>
      <c r="D374" s="23"/>
      <c r="F374" s="23"/>
      <c r="H374" s="45"/>
      <c r="J374" s="23"/>
      <c r="L374" s="45"/>
      <c r="N374" s="23"/>
      <c r="P374" s="45"/>
      <c r="R374" s="23"/>
      <c r="T374" s="60"/>
      <c r="V374" s="60"/>
    </row>
    <row r="375" spans="1:22" ht="13.8" thickBot="1">
      <c r="A375" s="23"/>
      <c r="B375" s="23"/>
      <c r="D375" s="23"/>
      <c r="F375" s="23"/>
      <c r="H375" s="45"/>
      <c r="J375" s="23"/>
      <c r="L375" s="45"/>
      <c r="N375" s="23"/>
      <c r="P375" s="45"/>
      <c r="R375" s="23"/>
      <c r="T375" s="60"/>
      <c r="V375" s="60"/>
    </row>
    <row r="376" spans="1:22" ht="13.8" thickBot="1">
      <c r="A376" s="23"/>
      <c r="B376" s="23"/>
      <c r="D376" s="23"/>
      <c r="F376" s="23"/>
      <c r="H376" s="45"/>
      <c r="J376" s="23"/>
      <c r="L376" s="45"/>
      <c r="N376" s="23"/>
      <c r="P376" s="45"/>
      <c r="R376" s="23"/>
      <c r="T376" s="60"/>
      <c r="V376" s="60"/>
    </row>
    <row r="377" spans="1:22" ht="13.8" thickBot="1">
      <c r="A377" s="23"/>
      <c r="B377" s="23"/>
      <c r="D377" s="23"/>
      <c r="F377" s="23"/>
      <c r="H377" s="45"/>
      <c r="J377" s="23"/>
      <c r="L377" s="45"/>
      <c r="N377" s="23"/>
      <c r="P377" s="45"/>
      <c r="R377" s="23"/>
      <c r="T377" s="60"/>
      <c r="V377" s="60"/>
    </row>
    <row r="378" spans="1:22" ht="13.8" thickBot="1">
      <c r="A378" s="23"/>
      <c r="B378" s="23"/>
      <c r="D378" s="23"/>
      <c r="F378" s="23"/>
      <c r="H378" s="45"/>
      <c r="J378" s="23"/>
      <c r="L378" s="45"/>
      <c r="N378" s="23"/>
      <c r="P378" s="45"/>
      <c r="R378" s="23"/>
      <c r="T378" s="60"/>
      <c r="V378" s="60"/>
    </row>
    <row r="379" spans="1:22" ht="13.8" thickBot="1">
      <c r="A379" s="23"/>
      <c r="B379" s="23"/>
      <c r="D379" s="23"/>
      <c r="F379" s="23"/>
      <c r="H379" s="45"/>
      <c r="J379" s="23"/>
      <c r="L379" s="45"/>
      <c r="N379" s="23"/>
      <c r="P379" s="45"/>
      <c r="R379" s="23"/>
      <c r="T379" s="60"/>
      <c r="V379" s="60"/>
    </row>
    <row r="380" spans="1:22" ht="13.8" thickBot="1">
      <c r="A380" s="23"/>
      <c r="B380" s="23"/>
      <c r="D380" s="23"/>
      <c r="F380" s="23"/>
      <c r="H380" s="45"/>
      <c r="J380" s="23"/>
      <c r="L380" s="45"/>
      <c r="N380" s="23"/>
      <c r="P380" s="45"/>
      <c r="R380" s="23"/>
      <c r="T380" s="60"/>
      <c r="V380" s="60"/>
    </row>
    <row r="381" spans="1:22" ht="13.8" thickBot="1">
      <c r="A381" s="23"/>
      <c r="B381" s="23"/>
      <c r="D381" s="23"/>
      <c r="F381" s="23"/>
      <c r="H381" s="45"/>
      <c r="J381" s="23"/>
      <c r="L381" s="45"/>
      <c r="N381" s="23"/>
      <c r="P381" s="45"/>
      <c r="R381" s="23"/>
      <c r="T381" s="60"/>
      <c r="V381" s="60"/>
    </row>
    <row r="382" spans="1:22" ht="13.8" thickBot="1">
      <c r="A382" s="23"/>
      <c r="B382" s="23"/>
      <c r="D382" s="23"/>
      <c r="F382" s="23"/>
      <c r="H382" s="45"/>
      <c r="J382" s="23"/>
      <c r="L382" s="45"/>
      <c r="N382" s="23"/>
      <c r="P382" s="45"/>
      <c r="R382" s="23"/>
      <c r="T382" s="60"/>
      <c r="V382" s="60"/>
    </row>
    <row r="383" spans="1:22" ht="13.8" thickBot="1">
      <c r="A383" s="23"/>
      <c r="B383" s="23"/>
      <c r="D383" s="23"/>
      <c r="F383" s="23"/>
      <c r="H383" s="45"/>
      <c r="J383" s="23"/>
      <c r="L383" s="45"/>
      <c r="N383" s="23"/>
      <c r="P383" s="45"/>
      <c r="R383" s="23"/>
      <c r="T383" s="60"/>
      <c r="V383" s="60"/>
    </row>
    <row r="384" spans="1:22" ht="13.8" thickBot="1">
      <c r="A384" s="23"/>
      <c r="B384" s="23"/>
      <c r="D384" s="23"/>
      <c r="F384" s="23"/>
      <c r="H384" s="45"/>
      <c r="J384" s="23"/>
      <c r="L384" s="45"/>
      <c r="N384" s="23"/>
      <c r="P384" s="45"/>
      <c r="R384" s="23"/>
      <c r="T384" s="60"/>
      <c r="V384" s="60"/>
    </row>
    <row r="385" spans="1:22" ht="13.8" thickBot="1">
      <c r="A385" s="23"/>
      <c r="B385" s="23"/>
      <c r="D385" s="23"/>
      <c r="F385" s="23"/>
      <c r="H385" s="45"/>
      <c r="J385" s="23"/>
      <c r="L385" s="45"/>
      <c r="N385" s="23"/>
      <c r="P385" s="45"/>
      <c r="R385" s="23"/>
      <c r="T385" s="60"/>
      <c r="V385" s="60"/>
    </row>
    <row r="386" spans="1:22" ht="13.8" thickBot="1">
      <c r="A386" s="23"/>
      <c r="B386" s="23"/>
      <c r="D386" s="23"/>
      <c r="F386" s="23"/>
      <c r="H386" s="45"/>
      <c r="J386" s="23"/>
      <c r="L386" s="45"/>
      <c r="N386" s="23"/>
      <c r="P386" s="45"/>
      <c r="R386" s="23"/>
      <c r="T386" s="60"/>
      <c r="V386" s="60"/>
    </row>
    <row r="387" spans="1:22" ht="13.8" thickBot="1">
      <c r="A387" s="23"/>
      <c r="B387" s="23"/>
      <c r="D387" s="23"/>
      <c r="F387" s="23"/>
      <c r="H387" s="45"/>
      <c r="J387" s="23"/>
      <c r="L387" s="45"/>
      <c r="N387" s="23"/>
      <c r="P387" s="45"/>
      <c r="R387" s="23"/>
      <c r="T387" s="60"/>
      <c r="V387" s="60"/>
    </row>
    <row r="388" spans="1:22" ht="13.8" thickBot="1">
      <c r="A388" s="23"/>
      <c r="B388" s="23"/>
      <c r="D388" s="23"/>
      <c r="F388" s="23"/>
      <c r="H388" s="45"/>
      <c r="J388" s="23"/>
      <c r="L388" s="45"/>
      <c r="N388" s="23"/>
      <c r="P388" s="45"/>
      <c r="R388" s="23"/>
      <c r="T388" s="60"/>
      <c r="V388" s="60"/>
    </row>
    <row r="389" spans="1:22" ht="13.8" thickBot="1">
      <c r="A389" s="23"/>
      <c r="B389" s="23"/>
      <c r="D389" s="23"/>
      <c r="F389" s="23"/>
      <c r="H389" s="45"/>
      <c r="J389" s="23"/>
      <c r="L389" s="45"/>
      <c r="N389" s="23"/>
      <c r="P389" s="45"/>
      <c r="R389" s="23"/>
      <c r="T389" s="60"/>
      <c r="V389" s="60"/>
    </row>
    <row r="390" spans="1:22" ht="13.8" thickBot="1">
      <c r="A390" s="23"/>
      <c r="B390" s="23"/>
      <c r="D390" s="23"/>
      <c r="F390" s="23"/>
      <c r="H390" s="45"/>
      <c r="J390" s="23"/>
      <c r="L390" s="45"/>
      <c r="N390" s="23"/>
      <c r="P390" s="45"/>
      <c r="R390" s="23"/>
      <c r="T390" s="60"/>
      <c r="V390" s="60"/>
    </row>
    <row r="391" spans="1:22" ht="13.8" thickBot="1">
      <c r="A391" s="23"/>
      <c r="B391" s="23"/>
      <c r="D391" s="23"/>
      <c r="F391" s="23"/>
      <c r="H391" s="45"/>
      <c r="J391" s="23"/>
      <c r="L391" s="45"/>
      <c r="N391" s="23"/>
      <c r="P391" s="45"/>
      <c r="R391" s="23"/>
      <c r="T391" s="60"/>
      <c r="V391" s="60"/>
    </row>
    <row r="392" spans="1:22" ht="13.8" thickBot="1">
      <c r="A392" s="23"/>
      <c r="B392" s="23"/>
      <c r="D392" s="23"/>
      <c r="F392" s="23"/>
      <c r="H392" s="45"/>
      <c r="J392" s="23"/>
      <c r="L392" s="45"/>
      <c r="N392" s="23"/>
      <c r="P392" s="45"/>
      <c r="R392" s="23"/>
      <c r="T392" s="60"/>
      <c r="V392" s="60"/>
    </row>
    <row r="393" spans="1:22" ht="13.8" thickBot="1">
      <c r="A393" s="23"/>
      <c r="B393" s="23"/>
      <c r="D393" s="23"/>
      <c r="F393" s="23"/>
      <c r="H393" s="45"/>
      <c r="J393" s="23"/>
      <c r="L393" s="45"/>
      <c r="N393" s="23"/>
      <c r="P393" s="45"/>
      <c r="R393" s="23"/>
      <c r="T393" s="60"/>
      <c r="V393" s="60"/>
    </row>
    <row r="394" spans="1:22" ht="13.8" thickBot="1">
      <c r="A394" s="23"/>
      <c r="B394" s="23"/>
      <c r="D394" s="23"/>
      <c r="F394" s="23"/>
      <c r="H394" s="45"/>
      <c r="J394" s="23"/>
      <c r="L394" s="45"/>
      <c r="N394" s="23"/>
      <c r="P394" s="45"/>
      <c r="R394" s="23"/>
      <c r="T394" s="60"/>
      <c r="V394" s="60"/>
    </row>
    <row r="395" spans="1:22" ht="13.8" thickBot="1">
      <c r="A395" s="23"/>
      <c r="B395" s="23"/>
      <c r="D395" s="23"/>
      <c r="F395" s="23"/>
      <c r="H395" s="45"/>
      <c r="J395" s="23"/>
      <c r="L395" s="45"/>
      <c r="N395" s="23"/>
      <c r="P395" s="45"/>
      <c r="R395" s="23"/>
      <c r="T395" s="60"/>
      <c r="V395" s="60"/>
    </row>
    <row r="396" spans="1:22" ht="13.8" thickBot="1">
      <c r="A396" s="23"/>
      <c r="B396" s="23"/>
      <c r="D396" s="23"/>
      <c r="F396" s="23"/>
      <c r="H396" s="45"/>
      <c r="J396" s="23"/>
      <c r="L396" s="45"/>
      <c r="N396" s="23"/>
      <c r="P396" s="45"/>
      <c r="R396" s="23"/>
      <c r="T396" s="60"/>
      <c r="V396" s="60"/>
    </row>
    <row r="397" spans="1:22" ht="13.8" thickBot="1">
      <c r="A397" s="23"/>
      <c r="B397" s="23"/>
      <c r="D397" s="23"/>
      <c r="F397" s="23"/>
      <c r="H397" s="45"/>
      <c r="J397" s="23"/>
      <c r="L397" s="45"/>
      <c r="N397" s="23"/>
      <c r="P397" s="45"/>
      <c r="R397" s="23"/>
      <c r="T397" s="60"/>
      <c r="V397" s="60"/>
    </row>
    <row r="398" spans="1:22" ht="13.8" thickBot="1">
      <c r="A398" s="23"/>
      <c r="B398" s="23"/>
      <c r="D398" s="23"/>
      <c r="F398" s="23"/>
      <c r="H398" s="45"/>
      <c r="J398" s="23"/>
      <c r="L398" s="45"/>
      <c r="N398" s="23"/>
      <c r="P398" s="45"/>
      <c r="R398" s="23"/>
      <c r="T398" s="60"/>
      <c r="V398" s="60"/>
    </row>
    <row r="399" spans="1:22" ht="13.8" thickBot="1">
      <c r="A399" s="23"/>
      <c r="B399" s="23"/>
      <c r="D399" s="23"/>
      <c r="F399" s="23"/>
      <c r="H399" s="45"/>
      <c r="J399" s="23"/>
      <c r="L399" s="45"/>
      <c r="N399" s="23"/>
      <c r="P399" s="45"/>
      <c r="R399" s="23"/>
      <c r="T399" s="60"/>
      <c r="V399" s="60"/>
    </row>
    <row r="400" spans="1:22" ht="13.8" thickBot="1">
      <c r="A400" s="23"/>
      <c r="B400" s="23"/>
      <c r="D400" s="23"/>
      <c r="F400" s="23"/>
      <c r="H400" s="45"/>
      <c r="J400" s="23"/>
      <c r="L400" s="45"/>
      <c r="N400" s="23"/>
      <c r="P400" s="45"/>
      <c r="R400" s="23"/>
      <c r="T400" s="60"/>
      <c r="V400" s="60"/>
    </row>
    <row r="401" spans="1:22" ht="13.8" thickBot="1">
      <c r="A401" s="23"/>
      <c r="B401" s="23"/>
      <c r="D401" s="23"/>
      <c r="F401" s="23"/>
      <c r="H401" s="45"/>
      <c r="J401" s="23"/>
      <c r="L401" s="45"/>
      <c r="N401" s="23"/>
      <c r="P401" s="45"/>
      <c r="R401" s="23"/>
      <c r="T401" s="60"/>
      <c r="V401" s="60"/>
    </row>
    <row r="402" spans="1:22" ht="13.8" thickBot="1">
      <c r="A402" s="23"/>
      <c r="B402" s="23"/>
      <c r="D402" s="23"/>
      <c r="F402" s="23"/>
      <c r="H402" s="45"/>
      <c r="J402" s="23"/>
      <c r="L402" s="45"/>
      <c r="N402" s="23"/>
      <c r="P402" s="45"/>
      <c r="R402" s="23"/>
      <c r="T402" s="60"/>
      <c r="V402" s="60"/>
    </row>
    <row r="403" spans="1:22" ht="13.8" thickBot="1">
      <c r="A403" s="23"/>
      <c r="B403" s="23"/>
      <c r="D403" s="23"/>
      <c r="F403" s="23"/>
      <c r="H403" s="45"/>
      <c r="J403" s="23"/>
      <c r="L403" s="45"/>
      <c r="N403" s="23"/>
      <c r="P403" s="45"/>
      <c r="R403" s="23"/>
      <c r="T403" s="60"/>
      <c r="V403" s="60"/>
    </row>
    <row r="404" spans="1:22" ht="13.8" thickBot="1">
      <c r="A404" s="23"/>
      <c r="B404" s="23"/>
      <c r="D404" s="23"/>
      <c r="F404" s="23"/>
      <c r="H404" s="45"/>
      <c r="J404" s="23"/>
      <c r="L404" s="45"/>
      <c r="N404" s="23"/>
      <c r="P404" s="45"/>
      <c r="R404" s="23"/>
      <c r="T404" s="60"/>
      <c r="V404" s="60"/>
    </row>
    <row r="405" spans="1:22" ht="13.8" thickBot="1">
      <c r="A405" s="23"/>
      <c r="B405" s="23"/>
      <c r="D405" s="23"/>
      <c r="F405" s="23"/>
      <c r="H405" s="45"/>
      <c r="J405" s="23"/>
      <c r="L405" s="45"/>
      <c r="N405" s="23"/>
      <c r="P405" s="45"/>
      <c r="R405" s="23"/>
      <c r="T405" s="60"/>
      <c r="V405" s="60"/>
    </row>
    <row r="406" spans="1:22" ht="13.8" thickBot="1">
      <c r="A406" s="23"/>
      <c r="B406" s="23"/>
      <c r="D406" s="23"/>
      <c r="F406" s="23"/>
      <c r="H406" s="45"/>
      <c r="J406" s="23"/>
      <c r="L406" s="45"/>
      <c r="N406" s="23"/>
      <c r="P406" s="45"/>
      <c r="R406" s="23"/>
      <c r="T406" s="60"/>
      <c r="V406" s="60"/>
    </row>
    <row r="407" spans="1:22" ht="13.8" thickBot="1">
      <c r="A407" s="23"/>
      <c r="B407" s="23"/>
      <c r="D407" s="23"/>
      <c r="F407" s="23"/>
      <c r="H407" s="45"/>
      <c r="J407" s="23"/>
      <c r="L407" s="45"/>
      <c r="N407" s="23"/>
      <c r="P407" s="45"/>
      <c r="R407" s="23"/>
      <c r="T407" s="60"/>
      <c r="V407" s="60"/>
    </row>
    <row r="408" spans="1:22" ht="13.8" thickBot="1">
      <c r="A408" s="23"/>
      <c r="B408" s="23"/>
      <c r="D408" s="23"/>
      <c r="F408" s="23"/>
      <c r="H408" s="45"/>
      <c r="J408" s="23"/>
      <c r="L408" s="45"/>
      <c r="N408" s="23"/>
      <c r="P408" s="45"/>
      <c r="R408" s="23"/>
      <c r="T408" s="60"/>
      <c r="V408" s="60"/>
    </row>
    <row r="409" spans="1:22" ht="13.8" thickBot="1">
      <c r="A409" s="23"/>
      <c r="B409" s="23"/>
      <c r="D409" s="23"/>
      <c r="F409" s="23"/>
      <c r="H409" s="45"/>
      <c r="J409" s="23"/>
      <c r="L409" s="45"/>
      <c r="N409" s="23"/>
      <c r="P409" s="45"/>
      <c r="R409" s="23"/>
      <c r="T409" s="60"/>
      <c r="V409" s="60"/>
    </row>
    <row r="410" spans="1:22" ht="13.8" thickBot="1">
      <c r="A410" s="23"/>
      <c r="B410" s="23"/>
      <c r="D410" s="23"/>
      <c r="F410" s="23"/>
      <c r="H410" s="45"/>
      <c r="J410" s="23"/>
      <c r="L410" s="45"/>
      <c r="N410" s="23"/>
      <c r="P410" s="45"/>
      <c r="R410" s="23"/>
      <c r="T410" s="60"/>
      <c r="V410" s="60"/>
    </row>
    <row r="411" spans="1:22" ht="13.8" thickBot="1">
      <c r="A411" s="23"/>
      <c r="B411" s="23"/>
      <c r="D411" s="23"/>
      <c r="F411" s="23"/>
      <c r="H411" s="45"/>
      <c r="J411" s="23"/>
      <c r="L411" s="45"/>
      <c r="N411" s="23"/>
      <c r="P411" s="45"/>
      <c r="R411" s="23"/>
      <c r="T411" s="60"/>
      <c r="V411" s="60"/>
    </row>
    <row r="412" spans="1:22" ht="13.8" thickBot="1">
      <c r="A412" s="23"/>
      <c r="B412" s="23"/>
      <c r="D412" s="23"/>
      <c r="F412" s="23"/>
      <c r="H412" s="45"/>
      <c r="J412" s="23"/>
      <c r="L412" s="45"/>
      <c r="N412" s="23"/>
      <c r="P412" s="45"/>
      <c r="R412" s="23"/>
      <c r="T412" s="60"/>
      <c r="V412" s="60"/>
    </row>
    <row r="413" spans="1:22" ht="13.8" thickBot="1">
      <c r="A413" s="23"/>
      <c r="B413" s="23"/>
      <c r="D413" s="23"/>
      <c r="F413" s="23"/>
      <c r="H413" s="45"/>
      <c r="J413" s="23"/>
      <c r="L413" s="45"/>
      <c r="N413" s="23"/>
      <c r="P413" s="45"/>
      <c r="R413" s="23"/>
      <c r="T413" s="60"/>
      <c r="V413" s="60"/>
    </row>
    <row r="414" spans="1:22" ht="13.8" thickBot="1">
      <c r="A414" s="23"/>
      <c r="B414" s="23"/>
      <c r="D414" s="23"/>
      <c r="F414" s="23"/>
      <c r="H414" s="45"/>
      <c r="J414" s="23"/>
      <c r="L414" s="45"/>
      <c r="N414" s="23"/>
      <c r="P414" s="45"/>
      <c r="R414" s="23"/>
      <c r="T414" s="60"/>
      <c r="V414" s="60"/>
    </row>
    <row r="415" spans="1:22" ht="13.8" thickBot="1">
      <c r="A415" s="23"/>
      <c r="B415" s="23"/>
      <c r="D415" s="23"/>
      <c r="F415" s="23"/>
      <c r="H415" s="45"/>
      <c r="J415" s="23"/>
      <c r="L415" s="45"/>
      <c r="N415" s="23"/>
      <c r="P415" s="45"/>
      <c r="R415" s="23"/>
      <c r="T415" s="60"/>
      <c r="V415" s="60"/>
    </row>
    <row r="416" spans="1:22" ht="13.8" thickBot="1">
      <c r="A416" s="23"/>
      <c r="B416" s="23"/>
      <c r="D416" s="23"/>
      <c r="F416" s="23"/>
      <c r="H416" s="45"/>
      <c r="J416" s="23"/>
      <c r="L416" s="45"/>
      <c r="N416" s="23"/>
      <c r="P416" s="45"/>
      <c r="R416" s="23"/>
      <c r="T416" s="60"/>
      <c r="V416" s="60"/>
    </row>
    <row r="417" spans="1:22" ht="13.8" thickBot="1">
      <c r="A417" s="23"/>
      <c r="B417" s="23"/>
      <c r="D417" s="23"/>
      <c r="F417" s="23"/>
      <c r="H417" s="45"/>
      <c r="J417" s="23"/>
      <c r="L417" s="45"/>
      <c r="N417" s="23"/>
      <c r="P417" s="45"/>
      <c r="R417" s="23"/>
      <c r="T417" s="60"/>
      <c r="V417" s="60"/>
    </row>
    <row r="418" spans="1:22" ht="13.8" thickBot="1">
      <c r="A418" s="23"/>
      <c r="B418" s="23"/>
      <c r="D418" s="23"/>
      <c r="F418" s="23"/>
      <c r="H418" s="45"/>
      <c r="J418" s="23"/>
      <c r="L418" s="45"/>
      <c r="N418" s="23"/>
      <c r="P418" s="45"/>
      <c r="R418" s="23"/>
      <c r="T418" s="60"/>
      <c r="V418" s="60"/>
    </row>
    <row r="419" spans="1:22" ht="13.8" thickBot="1">
      <c r="A419" s="23"/>
      <c r="B419" s="23"/>
      <c r="D419" s="23"/>
      <c r="F419" s="23"/>
      <c r="H419" s="45"/>
      <c r="J419" s="23"/>
      <c r="L419" s="45"/>
      <c r="N419" s="23"/>
      <c r="P419" s="45"/>
      <c r="R419" s="23"/>
      <c r="T419" s="60"/>
      <c r="V419" s="60"/>
    </row>
    <row r="420" spans="1:22" ht="13.8" thickBot="1">
      <c r="A420" s="23"/>
      <c r="B420" s="23"/>
      <c r="D420" s="23"/>
      <c r="F420" s="23"/>
      <c r="H420" s="45"/>
      <c r="J420" s="23"/>
      <c r="L420" s="45"/>
      <c r="N420" s="23"/>
      <c r="P420" s="45"/>
      <c r="R420" s="23"/>
      <c r="T420" s="60"/>
      <c r="V420" s="60"/>
    </row>
    <row r="421" spans="1:22" ht="13.8" thickBot="1">
      <c r="A421" s="23"/>
      <c r="B421" s="23"/>
      <c r="D421" s="23"/>
      <c r="F421" s="23"/>
      <c r="H421" s="45"/>
      <c r="J421" s="23"/>
      <c r="L421" s="45"/>
      <c r="N421" s="23"/>
      <c r="P421" s="45"/>
      <c r="R421" s="23"/>
      <c r="T421" s="60"/>
      <c r="V421" s="60"/>
    </row>
    <row r="422" spans="1:22" ht="13.8" thickBot="1">
      <c r="A422" s="23"/>
      <c r="B422" s="23"/>
      <c r="D422" s="23"/>
      <c r="F422" s="23"/>
      <c r="H422" s="45"/>
      <c r="J422" s="23"/>
      <c r="L422" s="45"/>
      <c r="N422" s="23"/>
      <c r="P422" s="45"/>
      <c r="R422" s="23"/>
      <c r="T422" s="60"/>
      <c r="V422" s="60"/>
    </row>
    <row r="423" spans="1:22" ht="13.8" thickBot="1">
      <c r="A423" s="23"/>
      <c r="B423" s="23"/>
      <c r="D423" s="23"/>
      <c r="F423" s="23"/>
      <c r="H423" s="45"/>
      <c r="J423" s="23"/>
      <c r="L423" s="45"/>
      <c r="N423" s="23"/>
      <c r="P423" s="45"/>
      <c r="R423" s="23"/>
      <c r="T423" s="60"/>
      <c r="V423" s="60"/>
    </row>
    <row r="424" spans="1:22" ht="13.8" thickBot="1">
      <c r="A424" s="23"/>
      <c r="B424" s="23"/>
      <c r="D424" s="23"/>
      <c r="F424" s="23"/>
      <c r="H424" s="45"/>
      <c r="J424" s="23"/>
      <c r="L424" s="45"/>
      <c r="N424" s="23"/>
      <c r="P424" s="45"/>
      <c r="R424" s="23"/>
      <c r="T424" s="60"/>
      <c r="V424" s="60"/>
    </row>
    <row r="425" spans="1:22" ht="13.8" thickBot="1">
      <c r="A425" s="23"/>
      <c r="B425" s="23"/>
      <c r="D425" s="23"/>
      <c r="F425" s="23"/>
      <c r="H425" s="45"/>
      <c r="J425" s="23"/>
      <c r="L425" s="45"/>
      <c r="N425" s="23"/>
      <c r="P425" s="45"/>
      <c r="R425" s="23"/>
      <c r="T425" s="60"/>
      <c r="V425" s="60"/>
    </row>
    <row r="426" spans="1:22" ht="13.8" thickBot="1">
      <c r="A426" s="23"/>
      <c r="B426" s="23"/>
      <c r="D426" s="23"/>
      <c r="F426" s="23"/>
      <c r="H426" s="45"/>
      <c r="J426" s="23"/>
      <c r="L426" s="45"/>
      <c r="N426" s="23"/>
      <c r="P426" s="45"/>
      <c r="R426" s="23"/>
      <c r="T426" s="60"/>
      <c r="V426" s="60"/>
    </row>
    <row r="427" spans="1:22" ht="13.8" thickBot="1">
      <c r="A427" s="23"/>
      <c r="B427" s="23"/>
      <c r="D427" s="23"/>
      <c r="F427" s="23"/>
      <c r="H427" s="45"/>
      <c r="J427" s="23"/>
      <c r="L427" s="45"/>
      <c r="N427" s="23"/>
      <c r="P427" s="45"/>
      <c r="R427" s="23"/>
      <c r="T427" s="60"/>
      <c r="V427" s="60"/>
    </row>
    <row r="428" spans="1:22" ht="13.8" thickBot="1">
      <c r="A428" s="23"/>
      <c r="B428" s="23"/>
      <c r="D428" s="23"/>
      <c r="F428" s="23"/>
      <c r="H428" s="45"/>
      <c r="J428" s="23"/>
      <c r="L428" s="45"/>
      <c r="N428" s="23"/>
      <c r="P428" s="45"/>
      <c r="R428" s="23"/>
      <c r="T428" s="60"/>
      <c r="V428" s="60"/>
    </row>
    <row r="429" spans="1:22" ht="13.8" thickBot="1">
      <c r="A429" s="23"/>
      <c r="B429" s="23"/>
      <c r="D429" s="23"/>
      <c r="F429" s="23"/>
      <c r="H429" s="45"/>
      <c r="J429" s="23"/>
      <c r="L429" s="45"/>
      <c r="N429" s="23"/>
      <c r="P429" s="45"/>
      <c r="R429" s="23"/>
      <c r="T429" s="60"/>
      <c r="V429" s="60"/>
    </row>
    <row r="430" spans="1:22" ht="13.8" thickBot="1">
      <c r="A430" s="23"/>
      <c r="B430" s="23"/>
      <c r="D430" s="23"/>
      <c r="F430" s="23"/>
      <c r="H430" s="45"/>
      <c r="J430" s="23"/>
      <c r="L430" s="45"/>
      <c r="N430" s="23"/>
      <c r="P430" s="45"/>
      <c r="R430" s="23"/>
      <c r="T430" s="60"/>
      <c r="V430" s="60"/>
    </row>
    <row r="431" spans="1:22" ht="13.8" thickBot="1">
      <c r="A431" s="23"/>
      <c r="B431" s="23"/>
      <c r="D431" s="23"/>
      <c r="F431" s="23"/>
      <c r="H431" s="45"/>
      <c r="J431" s="23"/>
      <c r="L431" s="45"/>
      <c r="N431" s="23"/>
      <c r="P431" s="45"/>
      <c r="R431" s="23"/>
      <c r="T431" s="60"/>
      <c r="V431" s="60"/>
    </row>
    <row r="432" spans="1:22" ht="13.8" thickBot="1">
      <c r="A432" s="23"/>
      <c r="B432" s="23"/>
      <c r="D432" s="23"/>
      <c r="F432" s="23"/>
      <c r="H432" s="45"/>
      <c r="J432" s="23"/>
      <c r="L432" s="45"/>
      <c r="N432" s="23"/>
      <c r="P432" s="45"/>
      <c r="R432" s="23"/>
      <c r="T432" s="60"/>
      <c r="V432" s="60"/>
    </row>
    <row r="433" spans="1:22" ht="13.8" thickBot="1">
      <c r="A433" s="23"/>
      <c r="B433" s="23"/>
      <c r="D433" s="23"/>
      <c r="F433" s="23"/>
      <c r="H433" s="45"/>
      <c r="J433" s="23"/>
      <c r="L433" s="45"/>
      <c r="N433" s="23"/>
      <c r="P433" s="45"/>
      <c r="R433" s="23"/>
      <c r="T433" s="60"/>
      <c r="V433" s="60"/>
    </row>
    <row r="434" spans="1:22" ht="13.8" thickBot="1">
      <c r="A434" s="23"/>
      <c r="B434" s="23"/>
      <c r="D434" s="23"/>
      <c r="F434" s="23"/>
      <c r="H434" s="45"/>
      <c r="J434" s="23"/>
      <c r="L434" s="45"/>
      <c r="N434" s="23"/>
      <c r="P434" s="45"/>
      <c r="R434" s="23"/>
      <c r="T434" s="60"/>
      <c r="V434" s="60"/>
    </row>
    <row r="435" spans="1:22" ht="13.8" thickBot="1">
      <c r="A435" s="23"/>
      <c r="B435" s="23"/>
      <c r="D435" s="23"/>
      <c r="F435" s="23"/>
      <c r="H435" s="45"/>
      <c r="J435" s="23"/>
      <c r="L435" s="45"/>
      <c r="N435" s="23"/>
      <c r="P435" s="45"/>
      <c r="R435" s="23"/>
      <c r="T435" s="60"/>
      <c r="V435" s="60"/>
    </row>
    <row r="436" spans="1:22" ht="13.8" thickBot="1">
      <c r="A436" s="23"/>
      <c r="B436" s="23"/>
      <c r="D436" s="23"/>
      <c r="F436" s="23"/>
      <c r="H436" s="45"/>
      <c r="J436" s="23"/>
      <c r="L436" s="45"/>
      <c r="N436" s="23"/>
      <c r="P436" s="45"/>
      <c r="R436" s="23"/>
      <c r="T436" s="60"/>
      <c r="V436" s="60"/>
    </row>
    <row r="437" spans="1:22" ht="13.8" thickBot="1">
      <c r="A437" s="23"/>
      <c r="B437" s="23"/>
      <c r="D437" s="23"/>
      <c r="F437" s="23"/>
      <c r="H437" s="45"/>
      <c r="J437" s="23"/>
      <c r="L437" s="45"/>
      <c r="N437" s="23"/>
      <c r="P437" s="45"/>
      <c r="R437" s="23"/>
      <c r="T437" s="60"/>
      <c r="V437" s="60"/>
    </row>
    <row r="438" spans="1:22" ht="13.8" thickBot="1">
      <c r="A438" s="23"/>
      <c r="B438" s="23"/>
      <c r="D438" s="23"/>
      <c r="F438" s="23"/>
      <c r="H438" s="45"/>
      <c r="J438" s="23"/>
      <c r="L438" s="45"/>
      <c r="N438" s="23"/>
      <c r="P438" s="45"/>
      <c r="R438" s="23"/>
      <c r="T438" s="60"/>
      <c r="V438" s="60"/>
    </row>
    <row r="439" spans="1:22" ht="13.8" thickBot="1">
      <c r="A439" s="23"/>
      <c r="B439" s="23"/>
      <c r="D439" s="23"/>
      <c r="F439" s="23"/>
      <c r="H439" s="45"/>
      <c r="J439" s="23"/>
      <c r="L439" s="45"/>
      <c r="N439" s="23"/>
      <c r="P439" s="45"/>
      <c r="R439" s="23"/>
      <c r="T439" s="60"/>
      <c r="V439" s="60"/>
    </row>
    <row r="440" spans="1:22" ht="13.8" thickBot="1">
      <c r="A440" s="23"/>
      <c r="B440" s="23"/>
      <c r="D440" s="23"/>
      <c r="F440" s="23"/>
      <c r="H440" s="45"/>
      <c r="J440" s="23"/>
      <c r="L440" s="45"/>
      <c r="N440" s="23"/>
      <c r="P440" s="45"/>
      <c r="R440" s="23"/>
      <c r="T440" s="60"/>
      <c r="V440" s="60"/>
    </row>
    <row r="441" spans="1:22" ht="13.8" thickBot="1">
      <c r="A441" s="23"/>
      <c r="B441" s="23"/>
      <c r="D441" s="23"/>
      <c r="F441" s="23"/>
      <c r="H441" s="45"/>
      <c r="J441" s="23"/>
      <c r="L441" s="45"/>
      <c r="N441" s="23"/>
      <c r="P441" s="45"/>
      <c r="R441" s="23"/>
      <c r="T441" s="60"/>
      <c r="V441" s="60"/>
    </row>
    <row r="442" spans="1:22" ht="13.8" thickBot="1">
      <c r="A442" s="23"/>
      <c r="B442" s="23"/>
      <c r="D442" s="23"/>
      <c r="F442" s="23"/>
      <c r="H442" s="45"/>
      <c r="J442" s="23"/>
      <c r="L442" s="45"/>
      <c r="N442" s="23"/>
      <c r="P442" s="45"/>
      <c r="R442" s="23"/>
      <c r="T442" s="60"/>
      <c r="V442" s="60"/>
    </row>
    <row r="443" spans="1:22" ht="13.8" thickBot="1">
      <c r="A443" s="23"/>
      <c r="B443" s="23"/>
      <c r="D443" s="23"/>
      <c r="F443" s="23"/>
      <c r="H443" s="45"/>
      <c r="J443" s="23"/>
      <c r="L443" s="45"/>
      <c r="N443" s="23"/>
      <c r="P443" s="45"/>
      <c r="R443" s="23"/>
      <c r="T443" s="60"/>
      <c r="V443" s="60"/>
    </row>
    <row r="444" spans="1:22" ht="13.8" thickBot="1">
      <c r="A444" s="23"/>
      <c r="B444" s="23"/>
      <c r="D444" s="23"/>
      <c r="F444" s="23"/>
      <c r="H444" s="45"/>
      <c r="J444" s="23"/>
      <c r="L444" s="45"/>
      <c r="N444" s="23"/>
      <c r="P444" s="45"/>
      <c r="R444" s="23"/>
      <c r="T444" s="60"/>
      <c r="V444" s="60"/>
    </row>
    <row r="445" spans="1:22" ht="13.8" thickBot="1">
      <c r="A445" s="23"/>
      <c r="B445" s="23"/>
      <c r="D445" s="23"/>
      <c r="F445" s="23"/>
      <c r="H445" s="45"/>
      <c r="J445" s="23"/>
      <c r="L445" s="45"/>
      <c r="N445" s="23"/>
      <c r="P445" s="45"/>
      <c r="R445" s="23"/>
      <c r="T445" s="60"/>
      <c r="V445" s="60"/>
    </row>
    <row r="446" spans="1:22" ht="13.8" thickBot="1">
      <c r="A446" s="23"/>
      <c r="B446" s="23"/>
      <c r="D446" s="23"/>
      <c r="F446" s="23"/>
      <c r="H446" s="45"/>
      <c r="J446" s="23"/>
      <c r="L446" s="45"/>
      <c r="N446" s="23"/>
      <c r="P446" s="45"/>
      <c r="R446" s="23"/>
      <c r="T446" s="60"/>
      <c r="V446" s="60"/>
    </row>
    <row r="447" spans="1:22" ht="13.8" thickBot="1">
      <c r="A447" s="23"/>
      <c r="B447" s="23"/>
      <c r="D447" s="23"/>
      <c r="F447" s="23"/>
      <c r="H447" s="45"/>
      <c r="J447" s="23"/>
      <c r="L447" s="45"/>
      <c r="N447" s="23"/>
      <c r="P447" s="45"/>
      <c r="R447" s="23"/>
      <c r="T447" s="60"/>
      <c r="V447" s="60"/>
    </row>
    <row r="448" spans="1:22" ht="13.8" thickBot="1">
      <c r="A448" s="23"/>
      <c r="B448" s="23"/>
      <c r="D448" s="23"/>
      <c r="F448" s="23"/>
      <c r="H448" s="45"/>
      <c r="J448" s="23"/>
      <c r="L448" s="45"/>
      <c r="N448" s="23"/>
      <c r="P448" s="45"/>
      <c r="R448" s="23"/>
      <c r="T448" s="60"/>
      <c r="V448" s="60"/>
    </row>
    <row r="449" spans="1:22" ht="13.8" thickBot="1">
      <c r="A449" s="23"/>
      <c r="B449" s="23"/>
      <c r="D449" s="23"/>
      <c r="F449" s="23"/>
      <c r="H449" s="45"/>
      <c r="J449" s="23"/>
      <c r="L449" s="45"/>
      <c r="N449" s="23"/>
      <c r="P449" s="45"/>
      <c r="R449" s="23"/>
      <c r="T449" s="60"/>
      <c r="V449" s="60"/>
    </row>
    <row r="450" spans="1:22" ht="13.8" thickBot="1">
      <c r="A450" s="23"/>
      <c r="B450" s="23"/>
      <c r="D450" s="23"/>
      <c r="F450" s="23"/>
      <c r="H450" s="45"/>
      <c r="J450" s="23"/>
      <c r="L450" s="45"/>
      <c r="N450" s="23"/>
      <c r="P450" s="45"/>
      <c r="R450" s="23"/>
      <c r="T450" s="60"/>
      <c r="V450" s="60"/>
    </row>
    <row r="451" spans="1:22" ht="13.8" thickBot="1">
      <c r="A451" s="23"/>
      <c r="B451" s="23"/>
      <c r="D451" s="23"/>
      <c r="F451" s="23"/>
      <c r="H451" s="45"/>
      <c r="J451" s="23"/>
      <c r="L451" s="45"/>
      <c r="N451" s="23"/>
      <c r="P451" s="45"/>
      <c r="R451" s="23"/>
      <c r="T451" s="60"/>
      <c r="V451" s="60"/>
    </row>
    <row r="452" spans="1:22" ht="13.8" thickBot="1">
      <c r="A452" s="23"/>
      <c r="B452" s="23"/>
      <c r="D452" s="23"/>
      <c r="F452" s="23"/>
      <c r="H452" s="45"/>
      <c r="J452" s="23"/>
      <c r="L452" s="45"/>
      <c r="N452" s="23"/>
      <c r="P452" s="45"/>
      <c r="R452" s="23"/>
      <c r="T452" s="60"/>
      <c r="V452" s="60"/>
    </row>
    <row r="453" spans="1:22" ht="13.8" thickBot="1">
      <c r="A453" s="23"/>
      <c r="B453" s="23"/>
      <c r="D453" s="23"/>
      <c r="F453" s="23"/>
      <c r="H453" s="45"/>
      <c r="J453" s="23"/>
      <c r="L453" s="45"/>
      <c r="N453" s="23"/>
      <c r="P453" s="45"/>
      <c r="R453" s="23"/>
      <c r="T453" s="60"/>
      <c r="V453" s="60"/>
    </row>
    <row r="454" spans="1:22" ht="13.8" thickBot="1">
      <c r="A454" s="23"/>
      <c r="B454" s="23"/>
      <c r="D454" s="23"/>
      <c r="F454" s="23"/>
      <c r="H454" s="45"/>
      <c r="J454" s="23"/>
      <c r="L454" s="45"/>
      <c r="N454" s="23"/>
      <c r="P454" s="45"/>
      <c r="R454" s="23"/>
      <c r="T454" s="60"/>
      <c r="V454" s="60"/>
    </row>
    <row r="455" spans="1:22" ht="13.8" thickBot="1">
      <c r="A455" s="23"/>
      <c r="B455" s="23"/>
      <c r="D455" s="23"/>
      <c r="F455" s="23"/>
      <c r="H455" s="45"/>
      <c r="J455" s="23"/>
      <c r="L455" s="45"/>
      <c r="N455" s="23"/>
      <c r="P455" s="45"/>
      <c r="R455" s="23"/>
      <c r="T455" s="60"/>
      <c r="V455" s="60"/>
    </row>
    <row r="456" spans="1:22" ht="13.8" thickBot="1">
      <c r="A456" s="23"/>
      <c r="B456" s="23"/>
      <c r="D456" s="23"/>
      <c r="F456" s="23"/>
      <c r="H456" s="45"/>
      <c r="J456" s="23"/>
      <c r="L456" s="45"/>
      <c r="N456" s="23"/>
      <c r="P456" s="45"/>
      <c r="R456" s="23"/>
      <c r="T456" s="60"/>
      <c r="V456" s="60"/>
    </row>
    <row r="457" spans="1:22" ht="13.8" thickBot="1">
      <c r="A457" s="23"/>
      <c r="B457" s="23"/>
      <c r="D457" s="23"/>
      <c r="F457" s="23"/>
      <c r="H457" s="45"/>
      <c r="J457" s="23"/>
      <c r="L457" s="45"/>
      <c r="N457" s="23"/>
      <c r="P457" s="45"/>
      <c r="R457" s="23"/>
      <c r="T457" s="60"/>
      <c r="V457" s="60"/>
    </row>
    <row r="458" spans="1:22" ht="13.8" thickBot="1">
      <c r="A458" s="23"/>
      <c r="B458" s="23"/>
      <c r="D458" s="23"/>
      <c r="F458" s="23"/>
      <c r="H458" s="45"/>
      <c r="J458" s="23"/>
      <c r="L458" s="45"/>
      <c r="N458" s="23"/>
      <c r="P458" s="45"/>
      <c r="R458" s="23"/>
      <c r="T458" s="60"/>
      <c r="V458" s="60"/>
    </row>
    <row r="459" spans="1:22" ht="13.8" thickBot="1">
      <c r="A459" s="23"/>
      <c r="B459" s="23"/>
      <c r="D459" s="23"/>
      <c r="F459" s="23"/>
      <c r="H459" s="45"/>
      <c r="J459" s="23"/>
      <c r="L459" s="45"/>
      <c r="N459" s="23"/>
      <c r="P459" s="45"/>
      <c r="R459" s="23"/>
      <c r="T459" s="60"/>
      <c r="V459" s="60"/>
    </row>
    <row r="460" spans="1:22" ht="13.8" thickBot="1">
      <c r="A460" s="23"/>
      <c r="B460" s="23"/>
      <c r="D460" s="23"/>
      <c r="F460" s="23"/>
      <c r="H460" s="45"/>
      <c r="J460" s="23"/>
      <c r="L460" s="45"/>
      <c r="N460" s="23"/>
      <c r="P460" s="45"/>
      <c r="R460" s="23"/>
      <c r="T460" s="60"/>
      <c r="V460" s="60"/>
    </row>
    <row r="461" spans="1:22" ht="13.8" thickBot="1">
      <c r="A461" s="23"/>
      <c r="B461" s="23"/>
      <c r="D461" s="23"/>
      <c r="F461" s="23"/>
      <c r="H461" s="45"/>
      <c r="J461" s="23"/>
      <c r="L461" s="45"/>
      <c r="N461" s="23"/>
      <c r="P461" s="45"/>
      <c r="R461" s="23"/>
      <c r="T461" s="60"/>
      <c r="V461" s="60"/>
    </row>
    <row r="462" spans="1:22" ht="13.8" thickBot="1">
      <c r="A462" s="23"/>
      <c r="B462" s="23"/>
      <c r="D462" s="23"/>
      <c r="F462" s="23"/>
      <c r="H462" s="45"/>
      <c r="J462" s="23"/>
      <c r="L462" s="45"/>
      <c r="N462" s="23"/>
      <c r="P462" s="45"/>
      <c r="R462" s="23"/>
      <c r="T462" s="60"/>
      <c r="V462" s="60"/>
    </row>
    <row r="463" spans="1:22" ht="13.8" thickBot="1">
      <c r="A463" s="23"/>
      <c r="B463" s="23"/>
      <c r="D463" s="23"/>
      <c r="F463" s="23"/>
      <c r="H463" s="45"/>
      <c r="J463" s="23"/>
      <c r="L463" s="45"/>
      <c r="N463" s="23"/>
      <c r="P463" s="45"/>
      <c r="R463" s="23"/>
      <c r="T463" s="60"/>
      <c r="V463" s="60"/>
    </row>
    <row r="464" spans="1:22" ht="13.8" thickBot="1">
      <c r="A464" s="23"/>
      <c r="B464" s="23"/>
      <c r="D464" s="23"/>
      <c r="F464" s="23"/>
      <c r="H464" s="45"/>
      <c r="J464" s="23"/>
      <c r="L464" s="45"/>
      <c r="N464" s="23"/>
      <c r="P464" s="45"/>
      <c r="R464" s="23"/>
      <c r="T464" s="60"/>
      <c r="V464" s="60"/>
    </row>
    <row r="465" spans="1:22" ht="13.8" thickBot="1">
      <c r="A465" s="23"/>
      <c r="B465" s="23"/>
      <c r="D465" s="23"/>
      <c r="F465" s="23"/>
      <c r="H465" s="45"/>
      <c r="J465" s="23"/>
      <c r="L465" s="45"/>
      <c r="N465" s="23"/>
      <c r="P465" s="45"/>
      <c r="R465" s="23"/>
      <c r="T465" s="60"/>
      <c r="V465" s="60"/>
    </row>
    <row r="466" spans="1:22" ht="13.8" thickBot="1">
      <c r="A466" s="23"/>
      <c r="B466" s="23"/>
      <c r="D466" s="23"/>
      <c r="F466" s="23"/>
      <c r="H466" s="45"/>
      <c r="J466" s="23"/>
      <c r="L466" s="45"/>
      <c r="N466" s="23"/>
      <c r="P466" s="45"/>
      <c r="R466" s="23"/>
      <c r="T466" s="60"/>
      <c r="V466" s="60"/>
    </row>
    <row r="467" spans="1:22" ht="13.8" thickBot="1">
      <c r="A467" s="23"/>
      <c r="B467" s="23"/>
      <c r="D467" s="23"/>
      <c r="F467" s="23"/>
      <c r="H467" s="45"/>
      <c r="J467" s="23"/>
      <c r="L467" s="45"/>
      <c r="N467" s="23"/>
      <c r="P467" s="45"/>
      <c r="R467" s="23"/>
      <c r="T467" s="60"/>
      <c r="V467" s="60"/>
    </row>
    <row r="468" spans="1:22" ht="13.8" thickBot="1">
      <c r="A468" s="23"/>
      <c r="B468" s="23"/>
      <c r="D468" s="23"/>
      <c r="F468" s="23"/>
      <c r="H468" s="45"/>
      <c r="J468" s="23"/>
      <c r="L468" s="45"/>
      <c r="N468" s="23"/>
      <c r="P468" s="45"/>
      <c r="R468" s="23"/>
      <c r="T468" s="60"/>
      <c r="V468" s="60"/>
    </row>
    <row r="469" spans="1:22" ht="13.8" thickBot="1">
      <c r="A469" s="23"/>
      <c r="B469" s="23"/>
      <c r="D469" s="23"/>
      <c r="F469" s="23"/>
      <c r="H469" s="45"/>
      <c r="J469" s="23"/>
      <c r="L469" s="45"/>
      <c r="N469" s="23"/>
      <c r="P469" s="45"/>
      <c r="R469" s="23"/>
      <c r="T469" s="60"/>
      <c r="V469" s="60"/>
    </row>
    <row r="470" spans="1:22" ht="13.8" thickBot="1">
      <c r="A470" s="23"/>
      <c r="B470" s="23"/>
      <c r="D470" s="23"/>
      <c r="F470" s="23"/>
      <c r="H470" s="45"/>
      <c r="J470" s="23"/>
      <c r="L470" s="45"/>
      <c r="N470" s="23"/>
      <c r="P470" s="45"/>
      <c r="R470" s="23"/>
      <c r="T470" s="60"/>
      <c r="V470" s="60"/>
    </row>
    <row r="471" spans="1:22" ht="13.8" thickBot="1">
      <c r="A471" s="23"/>
      <c r="B471" s="23"/>
      <c r="D471" s="23"/>
      <c r="F471" s="23"/>
      <c r="H471" s="45"/>
      <c r="J471" s="23"/>
      <c r="L471" s="45"/>
      <c r="N471" s="23"/>
      <c r="P471" s="45"/>
      <c r="R471" s="23"/>
      <c r="T471" s="60"/>
      <c r="V471" s="60"/>
    </row>
    <row r="472" spans="1:22" ht="13.8" thickBot="1">
      <c r="A472" s="23"/>
      <c r="B472" s="23"/>
      <c r="D472" s="23"/>
      <c r="F472" s="23"/>
      <c r="H472" s="45"/>
      <c r="J472" s="23"/>
      <c r="L472" s="45"/>
      <c r="N472" s="23"/>
      <c r="P472" s="45"/>
      <c r="R472" s="23"/>
      <c r="T472" s="60"/>
      <c r="V472" s="60"/>
    </row>
    <row r="473" spans="1:22" ht="13.8" thickBot="1">
      <c r="A473" s="23"/>
      <c r="B473" s="23"/>
      <c r="D473" s="23"/>
      <c r="F473" s="23"/>
      <c r="H473" s="45"/>
      <c r="J473" s="23"/>
      <c r="L473" s="45"/>
      <c r="N473" s="23"/>
      <c r="P473" s="45"/>
      <c r="R473" s="23"/>
      <c r="T473" s="60"/>
      <c r="V473" s="60"/>
    </row>
    <row r="474" spans="1:22" ht="13.8" thickBot="1">
      <c r="A474" s="23"/>
      <c r="B474" s="23"/>
      <c r="D474" s="23"/>
      <c r="F474" s="23"/>
      <c r="H474" s="45"/>
      <c r="J474" s="23"/>
      <c r="L474" s="45"/>
      <c r="N474" s="23"/>
      <c r="P474" s="45"/>
      <c r="R474" s="23"/>
      <c r="T474" s="60"/>
      <c r="V474" s="60"/>
    </row>
    <row r="475" spans="1:22" ht="13.8" thickBot="1">
      <c r="A475" s="23"/>
      <c r="B475" s="23"/>
      <c r="D475" s="23"/>
      <c r="F475" s="23"/>
      <c r="H475" s="45"/>
      <c r="J475" s="23"/>
      <c r="L475" s="45"/>
      <c r="N475" s="23"/>
      <c r="P475" s="45"/>
      <c r="R475" s="23"/>
      <c r="T475" s="60"/>
      <c r="V475" s="60"/>
    </row>
    <row r="476" spans="1:22" ht="13.8" thickBot="1">
      <c r="A476" s="23"/>
      <c r="B476" s="23"/>
      <c r="D476" s="23"/>
      <c r="F476" s="23"/>
      <c r="H476" s="45"/>
      <c r="J476" s="23"/>
      <c r="L476" s="45"/>
      <c r="N476" s="23"/>
      <c r="P476" s="45"/>
      <c r="R476" s="23"/>
      <c r="T476" s="60"/>
      <c r="V476" s="60"/>
    </row>
    <row r="477" spans="1:22" ht="13.8" thickBot="1">
      <c r="A477" s="23"/>
      <c r="B477" s="23"/>
      <c r="D477" s="23"/>
      <c r="F477" s="23"/>
      <c r="H477" s="45"/>
      <c r="J477" s="23"/>
      <c r="L477" s="45"/>
      <c r="N477" s="23"/>
      <c r="P477" s="45"/>
      <c r="R477" s="23"/>
      <c r="T477" s="60"/>
      <c r="V477" s="60"/>
    </row>
    <row r="478" spans="1:22" ht="13.8" thickBot="1">
      <c r="A478" s="23"/>
      <c r="B478" s="23"/>
      <c r="D478" s="23"/>
      <c r="F478" s="23"/>
      <c r="H478" s="45"/>
      <c r="J478" s="23"/>
      <c r="L478" s="45"/>
      <c r="N478" s="23"/>
      <c r="P478" s="45"/>
      <c r="R478" s="23"/>
      <c r="T478" s="60"/>
      <c r="V478" s="60"/>
    </row>
    <row r="479" spans="1:22" ht="13.8" thickBot="1">
      <c r="A479" s="23"/>
      <c r="B479" s="23"/>
      <c r="D479" s="23"/>
      <c r="F479" s="23"/>
      <c r="H479" s="45"/>
      <c r="J479" s="23"/>
      <c r="L479" s="45"/>
      <c r="N479" s="23"/>
      <c r="P479" s="45"/>
      <c r="R479" s="23"/>
      <c r="T479" s="60"/>
      <c r="V479" s="60"/>
    </row>
    <row r="480" spans="1:22" ht="13.8" thickBot="1">
      <c r="A480" s="23"/>
      <c r="B480" s="23"/>
      <c r="D480" s="23"/>
      <c r="F480" s="23"/>
      <c r="H480" s="45"/>
      <c r="J480" s="23"/>
      <c r="L480" s="45"/>
      <c r="N480" s="23"/>
      <c r="P480" s="45"/>
      <c r="R480" s="23"/>
      <c r="T480" s="60"/>
      <c r="V480" s="60"/>
    </row>
    <row r="481" spans="1:22" ht="13.8" thickBot="1">
      <c r="A481" s="23"/>
      <c r="B481" s="23"/>
      <c r="D481" s="23"/>
      <c r="F481" s="23"/>
      <c r="H481" s="45"/>
      <c r="J481" s="23"/>
      <c r="L481" s="45"/>
      <c r="N481" s="23"/>
      <c r="P481" s="45"/>
      <c r="R481" s="23"/>
      <c r="T481" s="60"/>
      <c r="V481" s="60"/>
    </row>
    <row r="482" spans="1:22" ht="13.8" thickBot="1">
      <c r="A482" s="23"/>
      <c r="B482" s="23"/>
      <c r="D482" s="23"/>
      <c r="F482" s="23"/>
      <c r="H482" s="45"/>
      <c r="J482" s="23"/>
      <c r="L482" s="45"/>
      <c r="N482" s="23"/>
      <c r="P482" s="45"/>
      <c r="R482" s="23"/>
      <c r="T482" s="60"/>
      <c r="V482" s="60"/>
    </row>
    <row r="483" spans="1:22" ht="13.8" thickBot="1">
      <c r="A483" s="23"/>
      <c r="B483" s="23"/>
      <c r="D483" s="23"/>
      <c r="F483" s="23"/>
      <c r="H483" s="45"/>
      <c r="J483" s="23"/>
      <c r="L483" s="45"/>
      <c r="N483" s="23"/>
      <c r="P483" s="45"/>
      <c r="R483" s="23"/>
      <c r="T483" s="60"/>
      <c r="V483" s="60"/>
    </row>
    <row r="484" spans="1:22" ht="13.8" thickBot="1">
      <c r="A484" s="23"/>
      <c r="B484" s="23"/>
      <c r="D484" s="23"/>
      <c r="F484" s="23"/>
      <c r="H484" s="45"/>
      <c r="J484" s="23"/>
      <c r="L484" s="45"/>
      <c r="N484" s="23"/>
      <c r="P484" s="45"/>
      <c r="R484" s="23"/>
      <c r="T484" s="60"/>
      <c r="V484" s="60"/>
    </row>
    <row r="485" spans="1:22" ht="13.8" thickBot="1">
      <c r="A485" s="23"/>
      <c r="B485" s="23"/>
      <c r="D485" s="23"/>
      <c r="F485" s="23"/>
      <c r="H485" s="45"/>
      <c r="J485" s="23"/>
      <c r="L485" s="45"/>
      <c r="N485" s="23"/>
      <c r="P485" s="45"/>
      <c r="R485" s="23"/>
      <c r="T485" s="60"/>
      <c r="V485" s="60"/>
    </row>
    <row r="486" spans="1:22" ht="13.8" thickBot="1">
      <c r="A486" s="23"/>
      <c r="B486" s="23"/>
      <c r="D486" s="23"/>
      <c r="F486" s="23"/>
      <c r="H486" s="45"/>
      <c r="J486" s="23"/>
      <c r="L486" s="45"/>
      <c r="N486" s="23"/>
      <c r="P486" s="45"/>
      <c r="R486" s="23"/>
      <c r="T486" s="60"/>
      <c r="V486" s="60"/>
    </row>
    <row r="487" spans="1:22" ht="13.8" thickBot="1">
      <c r="A487" s="23"/>
      <c r="B487" s="23"/>
      <c r="D487" s="23"/>
      <c r="F487" s="23"/>
      <c r="H487" s="45"/>
      <c r="J487" s="23"/>
      <c r="L487" s="45"/>
      <c r="N487" s="23"/>
      <c r="P487" s="45"/>
      <c r="R487" s="23"/>
      <c r="T487" s="60"/>
      <c r="V487" s="60"/>
    </row>
    <row r="488" spans="1:22" ht="13.8" thickBot="1">
      <c r="A488" s="23"/>
      <c r="B488" s="23"/>
      <c r="D488" s="23"/>
      <c r="F488" s="23"/>
      <c r="H488" s="45"/>
      <c r="J488" s="23"/>
      <c r="L488" s="45"/>
      <c r="N488" s="23"/>
      <c r="P488" s="45"/>
      <c r="R488" s="23"/>
      <c r="T488" s="60"/>
      <c r="V488" s="60"/>
    </row>
    <row r="489" spans="1:22" ht="13.8" thickBot="1">
      <c r="A489" s="23"/>
      <c r="B489" s="23"/>
      <c r="D489" s="23"/>
      <c r="F489" s="23"/>
      <c r="H489" s="45"/>
      <c r="J489" s="23"/>
      <c r="L489" s="45"/>
      <c r="N489" s="23"/>
      <c r="P489" s="45"/>
      <c r="R489" s="23"/>
      <c r="T489" s="60"/>
      <c r="V489" s="60"/>
    </row>
    <row r="490" spans="1:22" ht="13.8" thickBot="1">
      <c r="A490" s="23"/>
      <c r="B490" s="23"/>
      <c r="D490" s="23"/>
      <c r="F490" s="23"/>
      <c r="H490" s="45"/>
      <c r="J490" s="23"/>
      <c r="L490" s="45"/>
      <c r="N490" s="23"/>
      <c r="P490" s="45"/>
      <c r="R490" s="23"/>
      <c r="T490" s="60"/>
      <c r="V490" s="60"/>
    </row>
    <row r="491" spans="1:22" ht="13.8" thickBot="1">
      <c r="A491" s="23"/>
      <c r="B491" s="23"/>
      <c r="D491" s="23"/>
      <c r="F491" s="23"/>
      <c r="H491" s="45"/>
      <c r="J491" s="23"/>
      <c r="L491" s="45"/>
      <c r="N491" s="23"/>
      <c r="P491" s="45"/>
      <c r="R491" s="23"/>
      <c r="T491" s="60"/>
      <c r="V491" s="60"/>
    </row>
    <row r="492" spans="1:22" ht="13.8" thickBot="1">
      <c r="A492" s="23"/>
      <c r="B492" s="23"/>
      <c r="D492" s="23"/>
      <c r="F492" s="23"/>
      <c r="H492" s="45"/>
      <c r="J492" s="23"/>
      <c r="L492" s="45"/>
      <c r="N492" s="23"/>
      <c r="P492" s="45"/>
      <c r="R492" s="23"/>
      <c r="T492" s="60"/>
      <c r="V492" s="60"/>
    </row>
    <row r="493" spans="1:22" ht="13.8" thickBot="1">
      <c r="A493" s="23"/>
      <c r="B493" s="23"/>
      <c r="D493" s="23"/>
      <c r="F493" s="23"/>
      <c r="H493" s="45"/>
      <c r="J493" s="23"/>
      <c r="L493" s="45"/>
      <c r="N493" s="23"/>
      <c r="P493" s="45"/>
      <c r="R493" s="23"/>
      <c r="T493" s="60"/>
      <c r="V493" s="60"/>
    </row>
    <row r="494" spans="1:22" ht="13.8" thickBot="1">
      <c r="A494" s="23"/>
      <c r="B494" s="23"/>
      <c r="D494" s="23"/>
      <c r="F494" s="23"/>
      <c r="H494" s="45"/>
      <c r="J494" s="23"/>
      <c r="L494" s="45"/>
      <c r="N494" s="23"/>
      <c r="P494" s="45"/>
      <c r="R494" s="23"/>
      <c r="T494" s="60"/>
      <c r="V494" s="60"/>
    </row>
    <row r="495" spans="1:22" ht="13.8" thickBot="1">
      <c r="A495" s="23"/>
      <c r="B495" s="23"/>
      <c r="D495" s="23"/>
      <c r="F495" s="23"/>
      <c r="H495" s="45"/>
      <c r="J495" s="23"/>
      <c r="L495" s="45"/>
      <c r="N495" s="23"/>
      <c r="P495" s="45"/>
      <c r="R495" s="23"/>
      <c r="T495" s="60"/>
      <c r="V495" s="60"/>
    </row>
    <row r="496" spans="1:22" ht="13.8" thickBot="1">
      <c r="A496" s="23"/>
      <c r="B496" s="23"/>
      <c r="D496" s="23"/>
      <c r="F496" s="23"/>
      <c r="H496" s="45"/>
      <c r="J496" s="23"/>
      <c r="L496" s="45"/>
      <c r="N496" s="23"/>
      <c r="P496" s="45"/>
      <c r="R496" s="23"/>
      <c r="T496" s="60"/>
      <c r="V496" s="60"/>
    </row>
    <row r="497" spans="1:22" ht="13.8" thickBot="1">
      <c r="A497" s="23"/>
      <c r="B497" s="23"/>
      <c r="D497" s="23"/>
      <c r="F497" s="23"/>
      <c r="H497" s="45"/>
      <c r="J497" s="23"/>
      <c r="L497" s="45"/>
      <c r="N497" s="23"/>
      <c r="P497" s="45"/>
      <c r="R497" s="23"/>
      <c r="T497" s="60"/>
      <c r="V497" s="60"/>
    </row>
    <row r="498" spans="1:22" ht="13.8" thickBot="1">
      <c r="A498" s="23"/>
      <c r="B498" s="23"/>
      <c r="D498" s="23"/>
      <c r="F498" s="23"/>
      <c r="H498" s="45"/>
      <c r="J498" s="23"/>
      <c r="L498" s="45"/>
      <c r="N498" s="23"/>
      <c r="P498" s="45"/>
      <c r="R498" s="23"/>
      <c r="T498" s="60"/>
      <c r="V498" s="60"/>
    </row>
    <row r="499" spans="1:22" ht="13.8" thickBot="1">
      <c r="A499" s="23"/>
      <c r="B499" s="23"/>
      <c r="D499" s="23"/>
      <c r="F499" s="23"/>
      <c r="H499" s="45"/>
      <c r="J499" s="23"/>
      <c r="L499" s="45"/>
      <c r="N499" s="23"/>
      <c r="P499" s="45"/>
      <c r="R499" s="23"/>
      <c r="T499" s="60"/>
      <c r="V499" s="60"/>
    </row>
    <row r="500" spans="1:22" ht="13.8" thickBot="1">
      <c r="A500" s="23"/>
      <c r="B500" s="23"/>
      <c r="D500" s="23"/>
      <c r="F500" s="23"/>
      <c r="H500" s="45"/>
      <c r="J500" s="23"/>
      <c r="L500" s="45"/>
      <c r="N500" s="23"/>
      <c r="P500" s="45"/>
      <c r="R500" s="23"/>
      <c r="T500" s="60"/>
      <c r="V500" s="60"/>
    </row>
    <row r="501" spans="1:22" ht="13.8" thickBot="1">
      <c r="A501" s="23"/>
      <c r="B501" s="23"/>
      <c r="D501" s="23"/>
      <c r="F501" s="23"/>
      <c r="H501" s="45"/>
      <c r="J501" s="23"/>
      <c r="L501" s="45"/>
      <c r="N501" s="23"/>
      <c r="P501" s="45"/>
      <c r="R501" s="23"/>
      <c r="T501" s="60"/>
      <c r="V501" s="60"/>
    </row>
    <row r="502" spans="1:22" ht="13.8" thickBot="1">
      <c r="A502" s="23"/>
      <c r="B502" s="23"/>
      <c r="D502" s="23"/>
      <c r="F502" s="23"/>
      <c r="H502" s="45"/>
      <c r="J502" s="23"/>
      <c r="L502" s="45"/>
      <c r="N502" s="23"/>
      <c r="P502" s="45"/>
      <c r="R502" s="23"/>
      <c r="T502" s="60"/>
      <c r="V502" s="60"/>
    </row>
    <row r="503" spans="1:22" ht="13.8" thickBot="1">
      <c r="A503" s="23"/>
      <c r="B503" s="23"/>
      <c r="D503" s="23"/>
      <c r="F503" s="23"/>
      <c r="H503" s="45"/>
      <c r="J503" s="23"/>
      <c r="L503" s="45"/>
      <c r="N503" s="23"/>
      <c r="P503" s="45"/>
      <c r="R503" s="23"/>
      <c r="T503" s="60"/>
      <c r="V503" s="60"/>
    </row>
    <row r="504" spans="1:22" ht="13.8" thickBot="1">
      <c r="A504" s="23"/>
      <c r="B504" s="23"/>
      <c r="D504" s="23"/>
      <c r="F504" s="23"/>
      <c r="H504" s="45"/>
      <c r="J504" s="23"/>
      <c r="L504" s="45"/>
      <c r="N504" s="23"/>
      <c r="P504" s="45"/>
      <c r="R504" s="23"/>
      <c r="T504" s="60"/>
      <c r="V504" s="60"/>
    </row>
    <row r="505" spans="1:22" ht="13.8" thickBot="1">
      <c r="A505" s="23"/>
      <c r="B505" s="23"/>
      <c r="D505" s="23"/>
      <c r="F505" s="23"/>
      <c r="H505" s="45"/>
      <c r="J505" s="23"/>
      <c r="L505" s="45"/>
      <c r="N505" s="23"/>
      <c r="P505" s="45"/>
      <c r="R505" s="23"/>
      <c r="T505" s="60"/>
      <c r="V505" s="60"/>
    </row>
    <row r="506" spans="1:22" ht="13.8" thickBot="1">
      <c r="A506" s="23"/>
      <c r="B506" s="23"/>
      <c r="D506" s="23"/>
      <c r="F506" s="23"/>
      <c r="H506" s="45"/>
      <c r="J506" s="23"/>
      <c r="L506" s="45"/>
      <c r="N506" s="23"/>
      <c r="P506" s="45"/>
      <c r="R506" s="23"/>
      <c r="T506" s="60"/>
      <c r="V506" s="60"/>
    </row>
    <row r="507" spans="1:22" ht="13.8" thickBot="1">
      <c r="A507" s="23"/>
      <c r="B507" s="23"/>
      <c r="D507" s="23"/>
      <c r="F507" s="23"/>
      <c r="H507" s="45"/>
      <c r="J507" s="23"/>
      <c r="L507" s="45"/>
      <c r="N507" s="23"/>
      <c r="P507" s="45"/>
      <c r="R507" s="23"/>
      <c r="T507" s="60"/>
      <c r="V507" s="60"/>
    </row>
    <row r="508" spans="1:22" ht="13.8" thickBot="1">
      <c r="A508" s="23"/>
      <c r="B508" s="23"/>
      <c r="D508" s="23"/>
      <c r="F508" s="23"/>
      <c r="H508" s="45"/>
      <c r="J508" s="23"/>
      <c r="L508" s="45"/>
      <c r="N508" s="23"/>
      <c r="P508" s="45"/>
      <c r="R508" s="23"/>
      <c r="T508" s="60"/>
      <c r="V508" s="60"/>
    </row>
    <row r="509" spans="1:22" ht="13.8" thickBot="1">
      <c r="A509" s="23"/>
      <c r="B509" s="23"/>
      <c r="D509" s="23"/>
      <c r="F509" s="23"/>
      <c r="H509" s="45"/>
      <c r="J509" s="23"/>
      <c r="L509" s="45"/>
      <c r="N509" s="23"/>
      <c r="P509" s="45"/>
      <c r="R509" s="23"/>
      <c r="T509" s="60"/>
      <c r="V509" s="60"/>
    </row>
    <row r="510" spans="1:22" ht="13.8" thickBot="1">
      <c r="A510" s="23"/>
      <c r="B510" s="23"/>
      <c r="D510" s="23"/>
      <c r="F510" s="23"/>
      <c r="H510" s="45"/>
      <c r="J510" s="23"/>
      <c r="L510" s="45"/>
      <c r="N510" s="23"/>
      <c r="P510" s="45"/>
      <c r="R510" s="23"/>
      <c r="T510" s="60"/>
      <c r="V510" s="60"/>
    </row>
    <row r="511" spans="1:22" ht="13.8" thickBot="1">
      <c r="A511" s="23"/>
      <c r="B511" s="23"/>
      <c r="D511" s="23"/>
      <c r="F511" s="23"/>
      <c r="H511" s="45"/>
      <c r="J511" s="23"/>
      <c r="L511" s="45"/>
      <c r="N511" s="23"/>
      <c r="P511" s="45"/>
      <c r="R511" s="23"/>
      <c r="T511" s="60"/>
      <c r="V511" s="60"/>
    </row>
    <row r="512" spans="1:22" ht="13.8" thickBot="1">
      <c r="A512" s="23"/>
      <c r="B512" s="23"/>
      <c r="D512" s="23"/>
      <c r="F512" s="23"/>
      <c r="H512" s="45"/>
      <c r="J512" s="23"/>
      <c r="L512" s="45"/>
      <c r="N512" s="23"/>
      <c r="P512" s="45"/>
      <c r="R512" s="23"/>
      <c r="T512" s="60"/>
      <c r="V512" s="60"/>
    </row>
    <row r="513" spans="1:22" ht="13.8" thickBot="1">
      <c r="A513" s="23"/>
      <c r="B513" s="23"/>
      <c r="D513" s="23"/>
      <c r="F513" s="23"/>
      <c r="H513" s="45"/>
      <c r="J513" s="23"/>
      <c r="L513" s="45"/>
      <c r="N513" s="23"/>
      <c r="P513" s="45"/>
      <c r="R513" s="23"/>
      <c r="T513" s="60"/>
      <c r="V513" s="60"/>
    </row>
    <row r="514" spans="1:22" ht="13.8" thickBot="1">
      <c r="A514" s="23"/>
      <c r="B514" s="23"/>
      <c r="D514" s="23"/>
      <c r="F514" s="23"/>
      <c r="H514" s="45"/>
      <c r="J514" s="23"/>
      <c r="L514" s="45"/>
      <c r="N514" s="23"/>
      <c r="P514" s="45"/>
      <c r="R514" s="23"/>
      <c r="T514" s="60"/>
      <c r="V514" s="60"/>
    </row>
    <row r="515" spans="1:22" ht="13.8" thickBot="1">
      <c r="A515" s="23"/>
      <c r="B515" s="23"/>
      <c r="D515" s="23"/>
      <c r="F515" s="23"/>
      <c r="H515" s="45"/>
      <c r="J515" s="23"/>
      <c r="L515" s="45"/>
      <c r="N515" s="23"/>
      <c r="P515" s="45"/>
      <c r="R515" s="23"/>
      <c r="T515" s="60"/>
      <c r="V515" s="60"/>
    </row>
    <row r="516" spans="1:22" ht="13.8" thickBot="1">
      <c r="A516" s="23"/>
      <c r="B516" s="23"/>
      <c r="D516" s="23"/>
      <c r="F516" s="23"/>
      <c r="H516" s="45"/>
      <c r="J516" s="23"/>
      <c r="L516" s="45"/>
      <c r="N516" s="23"/>
      <c r="P516" s="45"/>
      <c r="R516" s="23"/>
      <c r="T516" s="60"/>
      <c r="V516" s="60"/>
    </row>
    <row r="517" spans="1:22" ht="13.8" thickBot="1">
      <c r="A517" s="23"/>
      <c r="B517" s="23"/>
      <c r="D517" s="23"/>
      <c r="F517" s="23"/>
      <c r="H517" s="45"/>
      <c r="J517" s="23"/>
      <c r="L517" s="45"/>
      <c r="N517" s="23"/>
      <c r="P517" s="45"/>
      <c r="R517" s="23"/>
      <c r="T517" s="60"/>
      <c r="V517" s="60"/>
    </row>
    <row r="518" spans="1:22" ht="13.8" thickBot="1">
      <c r="A518" s="23"/>
      <c r="B518" s="23"/>
      <c r="D518" s="23"/>
      <c r="F518" s="23"/>
      <c r="H518" s="45"/>
      <c r="J518" s="23"/>
      <c r="L518" s="45"/>
      <c r="N518" s="23"/>
      <c r="P518" s="45"/>
      <c r="R518" s="23"/>
      <c r="T518" s="60"/>
      <c r="V518" s="60"/>
    </row>
    <row r="519" spans="1:22" ht="13.8" thickBot="1">
      <c r="A519" s="23"/>
      <c r="B519" s="23"/>
      <c r="D519" s="23"/>
      <c r="F519" s="23"/>
      <c r="H519" s="45"/>
      <c r="J519" s="23"/>
      <c r="L519" s="45"/>
      <c r="N519" s="23"/>
      <c r="P519" s="45"/>
      <c r="R519" s="23"/>
      <c r="T519" s="60"/>
      <c r="V519" s="60"/>
    </row>
    <row r="520" spans="1:22" ht="13.8" thickBot="1">
      <c r="A520" s="23"/>
      <c r="B520" s="23"/>
      <c r="D520" s="23"/>
      <c r="F520" s="23"/>
      <c r="H520" s="45"/>
      <c r="J520" s="23"/>
      <c r="L520" s="45"/>
      <c r="N520" s="23"/>
      <c r="P520" s="45"/>
      <c r="R520" s="23"/>
      <c r="T520" s="60"/>
      <c r="V520" s="60"/>
    </row>
    <row r="521" spans="1:22" ht="13.8" thickBot="1">
      <c r="A521" s="23"/>
      <c r="B521" s="23"/>
      <c r="D521" s="23"/>
      <c r="F521" s="23"/>
      <c r="H521" s="45"/>
      <c r="J521" s="23"/>
      <c r="L521" s="45"/>
      <c r="N521" s="23"/>
      <c r="P521" s="45"/>
      <c r="R521" s="23"/>
      <c r="T521" s="60"/>
      <c r="V521" s="60"/>
    </row>
    <row r="522" spans="1:22" ht="13.8" thickBot="1">
      <c r="A522" s="23"/>
      <c r="B522" s="23"/>
      <c r="D522" s="23"/>
      <c r="F522" s="23"/>
      <c r="H522" s="45"/>
      <c r="J522" s="23"/>
      <c r="L522" s="45"/>
      <c r="N522" s="23"/>
      <c r="P522" s="45"/>
      <c r="R522" s="23"/>
      <c r="T522" s="60"/>
      <c r="V522" s="60"/>
    </row>
    <row r="523" spans="1:22" ht="13.8" thickBot="1">
      <c r="A523" s="23"/>
      <c r="B523" s="23"/>
      <c r="D523" s="23"/>
      <c r="F523" s="23"/>
      <c r="H523" s="45"/>
      <c r="J523" s="23"/>
      <c r="L523" s="45"/>
      <c r="N523" s="23"/>
      <c r="P523" s="45"/>
      <c r="R523" s="23"/>
      <c r="T523" s="60"/>
      <c r="V523" s="60"/>
    </row>
    <row r="524" spans="1:22" ht="13.8" thickBot="1">
      <c r="A524" s="23"/>
      <c r="B524" s="23"/>
      <c r="D524" s="23"/>
      <c r="F524" s="23"/>
      <c r="H524" s="45"/>
      <c r="J524" s="23"/>
      <c r="L524" s="45"/>
      <c r="N524" s="23"/>
      <c r="P524" s="45"/>
      <c r="R524" s="23"/>
      <c r="T524" s="60"/>
      <c r="V524" s="60"/>
    </row>
    <row r="525" spans="1:22" ht="13.8" thickBot="1">
      <c r="A525" s="23"/>
      <c r="B525" s="23"/>
      <c r="D525" s="23"/>
      <c r="F525" s="23"/>
      <c r="H525" s="45"/>
      <c r="J525" s="23"/>
      <c r="L525" s="45"/>
      <c r="N525" s="23"/>
      <c r="P525" s="45"/>
      <c r="R525" s="23"/>
      <c r="T525" s="60"/>
      <c r="V525" s="60"/>
    </row>
    <row r="526" spans="1:22" ht="13.8" thickBot="1">
      <c r="A526" s="23"/>
      <c r="B526" s="23"/>
      <c r="D526" s="23"/>
      <c r="F526" s="23"/>
      <c r="H526" s="45"/>
      <c r="J526" s="23"/>
      <c r="L526" s="45"/>
      <c r="N526" s="23"/>
      <c r="P526" s="45"/>
      <c r="R526" s="23"/>
      <c r="T526" s="60"/>
      <c r="V526" s="60"/>
    </row>
    <row r="527" spans="1:22" ht="13.8" thickBot="1">
      <c r="A527" s="23"/>
      <c r="B527" s="23"/>
      <c r="D527" s="23"/>
      <c r="F527" s="23"/>
      <c r="H527" s="45"/>
      <c r="J527" s="23"/>
      <c r="L527" s="45"/>
      <c r="N527" s="23"/>
      <c r="P527" s="45"/>
      <c r="R527" s="23"/>
      <c r="T527" s="60"/>
      <c r="V527" s="60"/>
    </row>
    <row r="528" spans="1:22" ht="13.8" thickBot="1">
      <c r="A528" s="23"/>
      <c r="B528" s="23"/>
      <c r="D528" s="23"/>
      <c r="F528" s="23"/>
      <c r="H528" s="45"/>
      <c r="J528" s="23"/>
      <c r="L528" s="45"/>
      <c r="N528" s="23"/>
      <c r="P528" s="45"/>
      <c r="R528" s="23"/>
      <c r="T528" s="60"/>
      <c r="V528" s="60"/>
    </row>
    <row r="529" spans="1:22" ht="13.8" thickBot="1">
      <c r="A529" s="23"/>
      <c r="B529" s="23"/>
      <c r="D529" s="23"/>
      <c r="F529" s="23"/>
      <c r="H529" s="45"/>
      <c r="J529" s="23"/>
      <c r="L529" s="45"/>
      <c r="N529" s="23"/>
      <c r="P529" s="45"/>
      <c r="R529" s="23"/>
      <c r="T529" s="60"/>
      <c r="V529" s="60"/>
    </row>
    <row r="530" spans="1:22" ht="13.8" thickBot="1">
      <c r="A530" s="23"/>
      <c r="B530" s="23"/>
      <c r="D530" s="23"/>
      <c r="F530" s="23"/>
      <c r="H530" s="45"/>
      <c r="J530" s="23"/>
      <c r="L530" s="45"/>
      <c r="N530" s="23"/>
      <c r="P530" s="45"/>
      <c r="R530" s="23"/>
      <c r="T530" s="60"/>
      <c r="V530" s="60"/>
    </row>
    <row r="531" spans="1:22" ht="13.8" thickBot="1">
      <c r="A531" s="23"/>
      <c r="B531" s="23"/>
      <c r="D531" s="23"/>
      <c r="F531" s="23"/>
      <c r="H531" s="45"/>
      <c r="J531" s="23"/>
      <c r="L531" s="45"/>
      <c r="N531" s="23"/>
      <c r="P531" s="45"/>
      <c r="R531" s="23"/>
      <c r="T531" s="60"/>
      <c r="V531" s="60"/>
    </row>
    <row r="532" spans="1:22" ht="13.8" thickBot="1">
      <c r="A532" s="23"/>
      <c r="B532" s="23"/>
      <c r="D532" s="23"/>
      <c r="F532" s="23"/>
      <c r="H532" s="45"/>
      <c r="J532" s="23"/>
      <c r="L532" s="45"/>
      <c r="N532" s="23"/>
      <c r="P532" s="45"/>
      <c r="R532" s="23"/>
      <c r="T532" s="60"/>
      <c r="V532" s="60"/>
    </row>
    <row r="533" spans="1:22" ht="13.8" thickBot="1">
      <c r="A533" s="23"/>
      <c r="B533" s="23"/>
      <c r="D533" s="23"/>
      <c r="F533" s="23"/>
      <c r="H533" s="45"/>
      <c r="J533" s="23"/>
      <c r="L533" s="45"/>
      <c r="N533" s="23"/>
      <c r="P533" s="45"/>
      <c r="R533" s="23"/>
      <c r="T533" s="60"/>
      <c r="V533" s="60"/>
    </row>
    <row r="534" spans="1:22" ht="13.8" thickBot="1">
      <c r="A534" s="23"/>
      <c r="B534" s="23"/>
      <c r="D534" s="23"/>
      <c r="F534" s="23"/>
      <c r="H534" s="45"/>
      <c r="J534" s="23"/>
      <c r="L534" s="45"/>
      <c r="N534" s="23"/>
      <c r="P534" s="45"/>
      <c r="R534" s="23"/>
      <c r="T534" s="60"/>
      <c r="V534" s="60"/>
    </row>
    <row r="535" spans="1:22" ht="13.8" thickBot="1">
      <c r="A535" s="23"/>
      <c r="B535" s="23"/>
      <c r="D535" s="23"/>
      <c r="F535" s="23"/>
      <c r="H535" s="45"/>
      <c r="J535" s="23"/>
      <c r="L535" s="45"/>
      <c r="N535" s="23"/>
      <c r="P535" s="45"/>
      <c r="R535" s="23"/>
      <c r="T535" s="60"/>
      <c r="V535" s="60"/>
    </row>
    <row r="536" spans="1:22" ht="13.8" thickBot="1">
      <c r="A536" s="23"/>
      <c r="B536" s="23"/>
      <c r="D536" s="23"/>
      <c r="F536" s="23"/>
      <c r="H536" s="45"/>
      <c r="J536" s="23"/>
      <c r="L536" s="45"/>
      <c r="N536" s="23"/>
      <c r="P536" s="45"/>
      <c r="R536" s="23"/>
      <c r="T536" s="60"/>
      <c r="V536" s="60"/>
    </row>
    <row r="537" spans="1:22" ht="13.8" thickBot="1">
      <c r="A537" s="23"/>
      <c r="B537" s="23"/>
      <c r="D537" s="23"/>
      <c r="F537" s="23"/>
      <c r="H537" s="45"/>
      <c r="J537" s="23"/>
      <c r="L537" s="45"/>
      <c r="N537" s="23"/>
      <c r="P537" s="45"/>
      <c r="R537" s="23"/>
      <c r="T537" s="60"/>
      <c r="V537" s="60"/>
    </row>
    <row r="538" spans="1:22" ht="13.8" thickBot="1">
      <c r="A538" s="23"/>
      <c r="B538" s="23"/>
      <c r="D538" s="23"/>
      <c r="F538" s="23"/>
      <c r="H538" s="45"/>
      <c r="J538" s="23"/>
      <c r="L538" s="45"/>
      <c r="N538" s="23"/>
      <c r="P538" s="45"/>
      <c r="R538" s="23"/>
      <c r="T538" s="60"/>
      <c r="V538" s="60"/>
    </row>
    <row r="539" spans="1:22" ht="13.8" thickBot="1">
      <c r="A539" s="23"/>
      <c r="B539" s="23"/>
      <c r="D539" s="23"/>
      <c r="F539" s="23"/>
      <c r="H539" s="45"/>
      <c r="J539" s="23"/>
      <c r="L539" s="45"/>
      <c r="N539" s="23"/>
      <c r="P539" s="45"/>
      <c r="R539" s="23"/>
      <c r="T539" s="60"/>
      <c r="V539" s="60"/>
    </row>
    <row r="540" spans="1:22" ht="13.8" thickBot="1">
      <c r="A540" s="23"/>
      <c r="B540" s="23"/>
      <c r="D540" s="23"/>
      <c r="F540" s="23"/>
      <c r="H540" s="45"/>
      <c r="J540" s="23"/>
      <c r="L540" s="45"/>
      <c r="N540" s="23"/>
      <c r="P540" s="45"/>
      <c r="R540" s="23"/>
      <c r="T540" s="60"/>
      <c r="V540" s="60"/>
    </row>
    <row r="541" spans="1:22" ht="13.8" thickBot="1">
      <c r="A541" s="23"/>
      <c r="B541" s="23"/>
      <c r="D541" s="23"/>
      <c r="F541" s="23"/>
      <c r="H541" s="45"/>
      <c r="J541" s="23"/>
      <c r="L541" s="45"/>
      <c r="N541" s="23"/>
      <c r="P541" s="45"/>
      <c r="R541" s="23"/>
      <c r="T541" s="60"/>
      <c r="V541" s="60"/>
    </row>
    <row r="542" spans="1:22" ht="13.8" thickBot="1">
      <c r="A542" s="23"/>
      <c r="B542" s="23"/>
      <c r="D542" s="23"/>
      <c r="F542" s="23"/>
      <c r="H542" s="45"/>
      <c r="J542" s="23"/>
      <c r="L542" s="45"/>
      <c r="N542" s="23"/>
      <c r="P542" s="45"/>
      <c r="R542" s="23"/>
      <c r="T542" s="60"/>
      <c r="V542" s="60"/>
    </row>
    <row r="543" spans="1:22" ht="13.8" thickBot="1">
      <c r="A543" s="23"/>
      <c r="B543" s="23"/>
      <c r="D543" s="23"/>
      <c r="F543" s="23"/>
      <c r="H543" s="45"/>
      <c r="J543" s="23"/>
      <c r="L543" s="45"/>
      <c r="N543" s="23"/>
      <c r="P543" s="45"/>
      <c r="R543" s="23"/>
      <c r="T543" s="60"/>
      <c r="V543" s="60"/>
    </row>
    <row r="544" spans="1:22" ht="13.8" thickBot="1">
      <c r="A544" s="23"/>
      <c r="B544" s="23"/>
      <c r="D544" s="23"/>
      <c r="F544" s="23"/>
      <c r="H544" s="45"/>
      <c r="J544" s="23"/>
      <c r="L544" s="45"/>
      <c r="N544" s="23"/>
      <c r="P544" s="45"/>
      <c r="R544" s="23"/>
      <c r="T544" s="60"/>
      <c r="V544" s="60"/>
    </row>
    <row r="545" spans="1:22" ht="13.8" thickBot="1">
      <c r="A545" s="23"/>
      <c r="B545" s="23"/>
      <c r="D545" s="23"/>
      <c r="F545" s="23"/>
      <c r="H545" s="45"/>
      <c r="J545" s="23"/>
      <c r="L545" s="45"/>
      <c r="N545" s="23"/>
      <c r="P545" s="45"/>
      <c r="R545" s="23"/>
      <c r="T545" s="60"/>
      <c r="V545" s="60"/>
    </row>
    <row r="546" spans="1:22" ht="13.8" thickBot="1">
      <c r="A546" s="23"/>
      <c r="B546" s="23"/>
      <c r="D546" s="23"/>
      <c r="F546" s="23"/>
      <c r="H546" s="45"/>
      <c r="J546" s="23"/>
      <c r="L546" s="45"/>
      <c r="N546" s="23"/>
      <c r="P546" s="45"/>
      <c r="R546" s="23"/>
      <c r="T546" s="60"/>
      <c r="V546" s="60"/>
    </row>
    <row r="547" spans="1:22" ht="13.8" thickBot="1">
      <c r="A547" s="23"/>
      <c r="B547" s="23"/>
      <c r="D547" s="23"/>
      <c r="F547" s="23"/>
      <c r="H547" s="45"/>
      <c r="J547" s="23"/>
      <c r="L547" s="45"/>
      <c r="N547" s="23"/>
      <c r="P547" s="45"/>
      <c r="R547" s="23"/>
      <c r="T547" s="60"/>
      <c r="V547" s="60"/>
    </row>
    <row r="548" spans="1:22" ht="13.8" thickBot="1">
      <c r="A548" s="23"/>
      <c r="B548" s="23"/>
      <c r="D548" s="23"/>
      <c r="F548" s="23"/>
      <c r="H548" s="45"/>
      <c r="J548" s="23"/>
      <c r="L548" s="45"/>
      <c r="N548" s="23"/>
      <c r="P548" s="45"/>
      <c r="R548" s="23"/>
      <c r="T548" s="60"/>
      <c r="V548" s="60"/>
    </row>
    <row r="549" spans="1:22" ht="13.8" thickBot="1">
      <c r="A549" s="23"/>
      <c r="B549" s="23"/>
      <c r="D549" s="23"/>
      <c r="F549" s="23"/>
      <c r="H549" s="45"/>
      <c r="J549" s="23"/>
      <c r="L549" s="45"/>
      <c r="N549" s="23"/>
      <c r="P549" s="45"/>
      <c r="R549" s="23"/>
      <c r="T549" s="60"/>
      <c r="V549" s="60"/>
    </row>
    <row r="550" spans="1:22" ht="13.8" thickBot="1">
      <c r="A550" s="23"/>
      <c r="B550" s="23"/>
      <c r="D550" s="23"/>
      <c r="F550" s="23"/>
      <c r="H550" s="45"/>
      <c r="J550" s="23"/>
      <c r="L550" s="45"/>
      <c r="N550" s="23"/>
      <c r="P550" s="45"/>
      <c r="R550" s="23"/>
      <c r="T550" s="60"/>
      <c r="V550" s="60"/>
    </row>
    <row r="551" spans="1:22" ht="13.8" thickBot="1">
      <c r="A551" s="23"/>
      <c r="B551" s="23"/>
      <c r="D551" s="23"/>
      <c r="F551" s="23"/>
      <c r="H551" s="45"/>
      <c r="J551" s="23"/>
      <c r="L551" s="45"/>
      <c r="N551" s="23"/>
      <c r="P551" s="45"/>
      <c r="R551" s="23"/>
      <c r="T551" s="60"/>
      <c r="V551" s="60"/>
    </row>
    <row r="552" spans="1:22" ht="13.8" thickBot="1">
      <c r="A552" s="23"/>
      <c r="B552" s="23"/>
      <c r="D552" s="23"/>
      <c r="F552" s="23"/>
      <c r="H552" s="45"/>
      <c r="J552" s="23"/>
      <c r="L552" s="45"/>
      <c r="N552" s="23"/>
      <c r="P552" s="45"/>
      <c r="R552" s="23"/>
      <c r="T552" s="60"/>
      <c r="V552" s="60"/>
    </row>
    <row r="553" spans="1:22" ht="13.8" thickBot="1">
      <c r="A553" s="23"/>
      <c r="B553" s="23"/>
      <c r="D553" s="23"/>
      <c r="F553" s="23"/>
      <c r="H553" s="45"/>
      <c r="J553" s="23"/>
      <c r="L553" s="45"/>
      <c r="N553" s="23"/>
      <c r="P553" s="45"/>
      <c r="R553" s="23"/>
      <c r="T553" s="60"/>
      <c r="V553" s="60"/>
    </row>
    <row r="554" spans="1:22" ht="13.8" thickBot="1">
      <c r="A554" s="23"/>
      <c r="B554" s="23"/>
      <c r="D554" s="23"/>
      <c r="F554" s="23"/>
      <c r="H554" s="45"/>
      <c r="J554" s="23"/>
      <c r="L554" s="45"/>
      <c r="N554" s="23"/>
      <c r="P554" s="45"/>
      <c r="R554" s="23"/>
      <c r="T554" s="60"/>
      <c r="V554" s="60"/>
    </row>
    <row r="555" spans="1:22" ht="13.8" thickBot="1">
      <c r="A555" s="23"/>
      <c r="B555" s="23"/>
      <c r="D555" s="23"/>
      <c r="F555" s="23"/>
      <c r="H555" s="45"/>
      <c r="J555" s="23"/>
      <c r="L555" s="45"/>
      <c r="N555" s="23"/>
      <c r="P555" s="45"/>
      <c r="R555" s="23"/>
      <c r="T555" s="60"/>
      <c r="V555" s="60"/>
    </row>
    <row r="556" spans="1:22" ht="13.8" thickBot="1">
      <c r="A556" s="23"/>
      <c r="B556" s="23"/>
      <c r="D556" s="23"/>
      <c r="F556" s="23"/>
      <c r="H556" s="45"/>
      <c r="J556" s="23"/>
      <c r="L556" s="45"/>
      <c r="N556" s="23"/>
      <c r="P556" s="45"/>
      <c r="R556" s="23"/>
      <c r="T556" s="60"/>
      <c r="V556" s="60"/>
    </row>
    <row r="557" spans="1:22" ht="13.8" thickBot="1">
      <c r="A557" s="23"/>
      <c r="B557" s="23"/>
      <c r="D557" s="23"/>
      <c r="F557" s="23"/>
      <c r="H557" s="45"/>
      <c r="J557" s="23"/>
      <c r="L557" s="45"/>
      <c r="N557" s="23"/>
      <c r="P557" s="45"/>
      <c r="R557" s="23"/>
      <c r="T557" s="60"/>
      <c r="V557" s="60"/>
    </row>
    <row r="558" spans="1:22" ht="13.8" thickBot="1">
      <c r="A558" s="23"/>
      <c r="B558" s="23"/>
      <c r="D558" s="23"/>
      <c r="F558" s="23"/>
      <c r="H558" s="45"/>
      <c r="J558" s="23"/>
      <c r="L558" s="45"/>
      <c r="N558" s="23"/>
      <c r="P558" s="45"/>
      <c r="R558" s="23"/>
      <c r="T558" s="60"/>
      <c r="V558" s="60"/>
    </row>
    <row r="559" spans="1:22" ht="13.8" thickBot="1">
      <c r="A559" s="23"/>
      <c r="B559" s="23"/>
      <c r="D559" s="23"/>
      <c r="F559" s="23"/>
      <c r="H559" s="45"/>
      <c r="J559" s="23"/>
      <c r="L559" s="45"/>
      <c r="N559" s="23"/>
      <c r="P559" s="45"/>
      <c r="R559" s="23"/>
      <c r="T559" s="60"/>
      <c r="V559" s="60"/>
    </row>
    <row r="560" spans="1:22" ht="13.8" thickBot="1">
      <c r="A560" s="23"/>
      <c r="B560" s="23"/>
      <c r="D560" s="23"/>
      <c r="F560" s="23"/>
      <c r="H560" s="45"/>
      <c r="J560" s="23"/>
      <c r="L560" s="45"/>
      <c r="N560" s="23"/>
      <c r="P560" s="45"/>
      <c r="R560" s="23"/>
      <c r="T560" s="60"/>
      <c r="V560" s="60"/>
    </row>
    <row r="561" spans="1:22" ht="13.8" thickBot="1">
      <c r="A561" s="23"/>
      <c r="B561" s="23"/>
      <c r="D561" s="23"/>
      <c r="F561" s="23"/>
      <c r="H561" s="45"/>
      <c r="J561" s="23"/>
      <c r="L561" s="45"/>
      <c r="N561" s="23"/>
      <c r="P561" s="45"/>
      <c r="R561" s="23"/>
      <c r="T561" s="60"/>
      <c r="V561" s="60"/>
    </row>
    <row r="562" spans="1:22" ht="13.8" thickBot="1">
      <c r="A562" s="23"/>
      <c r="B562" s="23"/>
      <c r="D562" s="23"/>
      <c r="F562" s="23"/>
      <c r="H562" s="45"/>
      <c r="J562" s="23"/>
      <c r="L562" s="45"/>
      <c r="N562" s="23"/>
      <c r="P562" s="45"/>
      <c r="R562" s="23"/>
      <c r="T562" s="60"/>
      <c r="V562" s="60"/>
    </row>
    <row r="563" spans="1:22" ht="13.8" thickBot="1">
      <c r="A563" s="23"/>
      <c r="B563" s="23"/>
      <c r="D563" s="23"/>
      <c r="F563" s="23"/>
      <c r="H563" s="45"/>
      <c r="J563" s="23"/>
      <c r="L563" s="45"/>
      <c r="N563" s="23"/>
      <c r="P563" s="45"/>
      <c r="R563" s="23"/>
      <c r="T563" s="60"/>
      <c r="V563" s="60"/>
    </row>
    <row r="564" spans="1:22" ht="13.8" thickBot="1">
      <c r="A564" s="23"/>
      <c r="B564" s="23"/>
      <c r="D564" s="23"/>
      <c r="F564" s="23"/>
      <c r="H564" s="45"/>
      <c r="J564" s="23"/>
      <c r="L564" s="45"/>
      <c r="N564" s="23"/>
      <c r="P564" s="45"/>
      <c r="R564" s="23"/>
      <c r="T564" s="60"/>
      <c r="V564" s="60"/>
    </row>
    <row r="565" spans="1:22" ht="13.8" thickBot="1">
      <c r="A565" s="23"/>
      <c r="B565" s="23"/>
      <c r="D565" s="23"/>
      <c r="F565" s="23"/>
      <c r="H565" s="45"/>
      <c r="J565" s="23"/>
      <c r="L565" s="45"/>
      <c r="N565" s="23"/>
      <c r="P565" s="45"/>
      <c r="R565" s="23"/>
      <c r="T565" s="60"/>
      <c r="V565" s="60"/>
    </row>
    <row r="566" spans="1:22" ht="13.8" thickBot="1">
      <c r="A566" s="23"/>
      <c r="B566" s="23"/>
      <c r="D566" s="23"/>
      <c r="F566" s="23"/>
      <c r="H566" s="45"/>
      <c r="J566" s="23"/>
      <c r="L566" s="45"/>
      <c r="N566" s="23"/>
      <c r="P566" s="45"/>
      <c r="R566" s="23"/>
      <c r="T566" s="60"/>
      <c r="V566" s="60"/>
    </row>
    <row r="567" spans="1:22" ht="13.8" thickBot="1">
      <c r="A567" s="23"/>
      <c r="B567" s="23"/>
      <c r="D567" s="23"/>
      <c r="F567" s="23"/>
      <c r="H567" s="45"/>
      <c r="J567" s="23"/>
      <c r="L567" s="45"/>
      <c r="N567" s="23"/>
      <c r="P567" s="45"/>
      <c r="R567" s="23"/>
      <c r="T567" s="60"/>
      <c r="V567" s="60"/>
    </row>
    <row r="568" spans="1:22" ht="13.8" thickBot="1">
      <c r="A568" s="23"/>
      <c r="B568" s="23"/>
      <c r="D568" s="23"/>
      <c r="F568" s="23"/>
      <c r="H568" s="45"/>
      <c r="J568" s="23"/>
      <c r="L568" s="45"/>
      <c r="N568" s="23"/>
      <c r="P568" s="45"/>
      <c r="R568" s="23"/>
      <c r="T568" s="60"/>
      <c r="V568" s="60"/>
    </row>
    <row r="569" spans="1:22" ht="13.8" thickBot="1">
      <c r="A569" s="23"/>
      <c r="B569" s="23"/>
      <c r="D569" s="23"/>
      <c r="F569" s="23"/>
      <c r="H569" s="45"/>
      <c r="J569" s="23"/>
      <c r="L569" s="45"/>
      <c r="N569" s="23"/>
      <c r="P569" s="45"/>
      <c r="R569" s="23"/>
      <c r="T569" s="60"/>
      <c r="V569" s="60"/>
    </row>
    <row r="570" spans="1:22" ht="13.8" thickBot="1">
      <c r="A570" s="23"/>
      <c r="B570" s="23"/>
      <c r="D570" s="23"/>
      <c r="F570" s="23"/>
      <c r="H570" s="45"/>
      <c r="J570" s="23"/>
      <c r="L570" s="45"/>
      <c r="N570" s="23"/>
      <c r="P570" s="45"/>
      <c r="R570" s="23"/>
      <c r="T570" s="60"/>
      <c r="V570" s="60"/>
    </row>
    <row r="571" spans="1:22" ht="13.8" thickBot="1">
      <c r="A571" s="23"/>
      <c r="B571" s="23"/>
      <c r="D571" s="23"/>
      <c r="F571" s="23"/>
      <c r="H571" s="45"/>
      <c r="J571" s="23"/>
      <c r="L571" s="45"/>
      <c r="N571" s="23"/>
      <c r="P571" s="45"/>
      <c r="R571" s="23"/>
      <c r="T571" s="60"/>
      <c r="V571" s="60"/>
    </row>
    <row r="572" spans="1:22" ht="13.8" thickBot="1">
      <c r="A572" s="23"/>
      <c r="B572" s="23"/>
      <c r="D572" s="23"/>
      <c r="F572" s="23"/>
      <c r="H572" s="45"/>
      <c r="J572" s="23"/>
      <c r="L572" s="45"/>
      <c r="N572" s="23"/>
      <c r="P572" s="45"/>
      <c r="R572" s="23"/>
      <c r="T572" s="60"/>
      <c r="V572" s="60"/>
    </row>
    <row r="573" spans="1:22" ht="13.8" thickBot="1">
      <c r="A573" s="23"/>
      <c r="B573" s="23"/>
      <c r="D573" s="23"/>
      <c r="F573" s="23"/>
      <c r="H573" s="45"/>
      <c r="J573" s="23"/>
      <c r="L573" s="45"/>
      <c r="N573" s="23"/>
      <c r="P573" s="45"/>
      <c r="R573" s="23"/>
      <c r="T573" s="60"/>
      <c r="V573" s="60"/>
    </row>
    <row r="574" spans="1:22" ht="13.8" thickBot="1">
      <c r="A574" s="23"/>
      <c r="B574" s="23"/>
      <c r="D574" s="23"/>
      <c r="F574" s="23"/>
      <c r="H574" s="45"/>
      <c r="J574" s="23"/>
      <c r="L574" s="45"/>
      <c r="N574" s="23"/>
      <c r="P574" s="45"/>
      <c r="R574" s="23"/>
      <c r="T574" s="60"/>
      <c r="V574" s="60"/>
    </row>
    <row r="575" spans="1:22" ht="13.8" thickBot="1">
      <c r="A575" s="23"/>
      <c r="B575" s="23"/>
      <c r="D575" s="23"/>
      <c r="F575" s="23"/>
      <c r="H575" s="45"/>
      <c r="J575" s="23"/>
      <c r="L575" s="45"/>
      <c r="N575" s="23"/>
      <c r="P575" s="45"/>
      <c r="R575" s="23"/>
      <c r="T575" s="60"/>
      <c r="V575" s="60"/>
    </row>
    <row r="576" spans="1:22" ht="13.8" thickBot="1">
      <c r="A576" s="23"/>
      <c r="B576" s="23"/>
      <c r="D576" s="23"/>
      <c r="F576" s="23"/>
      <c r="H576" s="45"/>
      <c r="J576" s="23"/>
      <c r="L576" s="45"/>
      <c r="N576" s="23"/>
      <c r="P576" s="45"/>
      <c r="R576" s="23"/>
      <c r="T576" s="60"/>
      <c r="V576" s="60"/>
    </row>
    <row r="577" spans="1:22" ht="13.8" thickBot="1">
      <c r="A577" s="23"/>
      <c r="B577" s="23"/>
      <c r="D577" s="23"/>
      <c r="F577" s="23"/>
      <c r="H577" s="45"/>
      <c r="J577" s="23"/>
      <c r="L577" s="45"/>
      <c r="N577" s="23"/>
      <c r="P577" s="45"/>
      <c r="R577" s="23"/>
      <c r="T577" s="60"/>
      <c r="V577" s="60"/>
    </row>
    <row r="578" spans="1:22" ht="13.8" thickBot="1">
      <c r="A578" s="23"/>
      <c r="B578" s="23"/>
      <c r="D578" s="23"/>
      <c r="F578" s="23"/>
      <c r="H578" s="45"/>
      <c r="J578" s="23"/>
      <c r="L578" s="45"/>
      <c r="N578" s="23"/>
      <c r="P578" s="45"/>
      <c r="R578" s="23"/>
      <c r="T578" s="60"/>
      <c r="V578" s="60"/>
    </row>
    <row r="579" spans="1:22" ht="13.8" thickBot="1">
      <c r="A579" s="23"/>
      <c r="B579" s="23"/>
      <c r="D579" s="23"/>
      <c r="F579" s="23"/>
      <c r="H579" s="45"/>
      <c r="J579" s="23"/>
      <c r="L579" s="45"/>
      <c r="N579" s="23"/>
      <c r="P579" s="45"/>
      <c r="R579" s="23"/>
      <c r="T579" s="60"/>
      <c r="V579" s="60"/>
    </row>
    <row r="580" spans="1:22" ht="13.8" thickBot="1">
      <c r="A580" s="23"/>
      <c r="B580" s="23"/>
      <c r="D580" s="23"/>
      <c r="F580" s="23"/>
      <c r="H580" s="45"/>
      <c r="J580" s="23"/>
      <c r="L580" s="45"/>
      <c r="N580" s="23"/>
      <c r="P580" s="45"/>
      <c r="R580" s="23"/>
      <c r="T580" s="60"/>
      <c r="V580" s="60"/>
    </row>
    <row r="581" spans="1:22" ht="13.8" thickBot="1">
      <c r="A581" s="23"/>
      <c r="B581" s="23"/>
      <c r="D581" s="23"/>
      <c r="F581" s="23"/>
      <c r="H581" s="45"/>
      <c r="J581" s="23"/>
      <c r="L581" s="45"/>
      <c r="N581" s="23"/>
      <c r="P581" s="45"/>
      <c r="R581" s="23"/>
      <c r="T581" s="60"/>
      <c r="V581" s="60"/>
    </row>
    <row r="582" spans="1:22" ht="13.8" thickBot="1">
      <c r="A582" s="23"/>
      <c r="B582" s="23"/>
      <c r="D582" s="23"/>
      <c r="F582" s="23"/>
      <c r="H582" s="45"/>
      <c r="J582" s="23"/>
      <c r="L582" s="45"/>
      <c r="N582" s="23"/>
      <c r="P582" s="45"/>
      <c r="R582" s="23"/>
      <c r="T582" s="60"/>
      <c r="V582" s="60"/>
    </row>
    <row r="583" spans="1:22" ht="13.8" thickBot="1">
      <c r="A583" s="23"/>
      <c r="B583" s="23"/>
      <c r="D583" s="23"/>
      <c r="F583" s="23"/>
      <c r="H583" s="45"/>
      <c r="J583" s="23"/>
      <c r="L583" s="45"/>
      <c r="N583" s="23"/>
      <c r="P583" s="45"/>
      <c r="R583" s="23"/>
      <c r="T583" s="60"/>
      <c r="V583" s="60"/>
    </row>
    <row r="584" spans="1:22" ht="13.8" thickBot="1">
      <c r="A584" s="23"/>
      <c r="B584" s="23"/>
      <c r="D584" s="23"/>
      <c r="F584" s="23"/>
      <c r="H584" s="45"/>
      <c r="J584" s="23"/>
      <c r="L584" s="45"/>
      <c r="N584" s="23"/>
      <c r="P584" s="45"/>
      <c r="R584" s="23"/>
      <c r="T584" s="60"/>
      <c r="V584" s="60"/>
    </row>
    <row r="585" spans="1:22" ht="13.8" thickBot="1">
      <c r="A585" s="23"/>
      <c r="B585" s="23"/>
      <c r="D585" s="23"/>
      <c r="F585" s="23"/>
      <c r="H585" s="45"/>
      <c r="J585" s="23"/>
      <c r="L585" s="45"/>
      <c r="N585" s="23"/>
      <c r="P585" s="45"/>
      <c r="R585" s="23"/>
      <c r="T585" s="60"/>
      <c r="V585" s="60"/>
    </row>
    <row r="586" spans="1:22" ht="13.8" thickBot="1">
      <c r="A586" s="23"/>
      <c r="B586" s="23"/>
      <c r="D586" s="23"/>
      <c r="F586" s="23"/>
      <c r="H586" s="45"/>
      <c r="J586" s="23"/>
      <c r="L586" s="45"/>
      <c r="N586" s="23"/>
      <c r="P586" s="45"/>
      <c r="R586" s="23"/>
      <c r="T586" s="60"/>
      <c r="V586" s="60"/>
    </row>
    <row r="587" spans="1:22" ht="13.8" thickBot="1">
      <c r="A587" s="23"/>
      <c r="B587" s="23"/>
      <c r="D587" s="23"/>
      <c r="F587" s="23"/>
      <c r="H587" s="45"/>
      <c r="J587" s="23"/>
      <c r="L587" s="45"/>
      <c r="N587" s="23"/>
      <c r="P587" s="45"/>
      <c r="R587" s="23"/>
      <c r="T587" s="60"/>
      <c r="V587" s="60"/>
    </row>
    <row r="588" spans="1:22" ht="13.8" thickBot="1">
      <c r="A588" s="23"/>
      <c r="B588" s="23"/>
      <c r="D588" s="23"/>
      <c r="F588" s="23"/>
      <c r="H588" s="45"/>
      <c r="J588" s="23"/>
      <c r="L588" s="45"/>
      <c r="N588" s="23"/>
      <c r="P588" s="45"/>
      <c r="R588" s="23"/>
      <c r="T588" s="60"/>
      <c r="V588" s="60"/>
    </row>
    <row r="589" spans="1:22" ht="13.8" thickBot="1">
      <c r="A589" s="23"/>
      <c r="B589" s="23"/>
      <c r="D589" s="23"/>
      <c r="F589" s="23"/>
      <c r="H589" s="45"/>
      <c r="J589" s="23"/>
      <c r="L589" s="45"/>
      <c r="N589" s="23"/>
      <c r="P589" s="45"/>
      <c r="R589" s="23"/>
      <c r="T589" s="60"/>
      <c r="V589" s="60"/>
    </row>
    <row r="590" spans="1:22" ht="13.8" thickBot="1">
      <c r="A590" s="23"/>
      <c r="B590" s="23"/>
      <c r="D590" s="23"/>
      <c r="F590" s="23"/>
      <c r="H590" s="45"/>
      <c r="J590" s="23"/>
      <c r="L590" s="45"/>
      <c r="N590" s="23"/>
      <c r="P590" s="45"/>
      <c r="R590" s="23"/>
      <c r="T590" s="60"/>
      <c r="V590" s="60"/>
    </row>
    <row r="591" spans="1:22" ht="13.8" thickBot="1">
      <c r="A591" s="23"/>
      <c r="B591" s="23"/>
      <c r="D591" s="23"/>
      <c r="F591" s="23"/>
      <c r="H591" s="45"/>
      <c r="J591" s="23"/>
      <c r="L591" s="45"/>
      <c r="N591" s="23"/>
      <c r="P591" s="45"/>
      <c r="R591" s="23"/>
      <c r="T591" s="60"/>
      <c r="V591" s="60"/>
    </row>
    <row r="592" spans="1:22" ht="13.8" thickBot="1">
      <c r="A592" s="23"/>
      <c r="B592" s="23"/>
      <c r="D592" s="23"/>
      <c r="F592" s="23"/>
      <c r="H592" s="45"/>
      <c r="J592" s="23"/>
      <c r="L592" s="45"/>
      <c r="N592" s="23"/>
      <c r="P592" s="45"/>
      <c r="R592" s="23"/>
      <c r="T592" s="60"/>
      <c r="V592" s="60"/>
    </row>
    <row r="593" spans="1:22" ht="13.8" thickBot="1">
      <c r="A593" s="23"/>
      <c r="B593" s="23"/>
      <c r="D593" s="23"/>
      <c r="F593" s="23"/>
      <c r="H593" s="45"/>
      <c r="J593" s="23"/>
      <c r="L593" s="45"/>
      <c r="N593" s="23"/>
      <c r="P593" s="45"/>
      <c r="R593" s="23"/>
      <c r="T593" s="60"/>
      <c r="V593" s="60"/>
    </row>
    <row r="594" spans="1:22" ht="13.8" thickBot="1">
      <c r="A594" s="23"/>
      <c r="B594" s="23"/>
      <c r="D594" s="23"/>
      <c r="F594" s="23"/>
      <c r="H594" s="45"/>
      <c r="J594" s="23"/>
      <c r="L594" s="45"/>
      <c r="N594" s="23"/>
      <c r="P594" s="45"/>
      <c r="R594" s="23"/>
      <c r="T594" s="60"/>
      <c r="V594" s="60"/>
    </row>
    <row r="595" spans="1:22" ht="13.8" thickBot="1">
      <c r="A595" s="23"/>
      <c r="B595" s="23"/>
      <c r="D595" s="23"/>
      <c r="F595" s="23"/>
      <c r="H595" s="45"/>
      <c r="J595" s="23"/>
      <c r="L595" s="45"/>
      <c r="N595" s="23"/>
      <c r="P595" s="45"/>
      <c r="R595" s="23"/>
      <c r="T595" s="60"/>
      <c r="V595" s="60"/>
    </row>
    <row r="596" spans="1:22" ht="13.8" thickBot="1">
      <c r="A596" s="23"/>
      <c r="B596" s="23"/>
      <c r="D596" s="23"/>
      <c r="F596" s="23"/>
      <c r="H596" s="45"/>
      <c r="J596" s="23"/>
      <c r="L596" s="45"/>
      <c r="N596" s="23"/>
      <c r="P596" s="45"/>
      <c r="R596" s="23"/>
      <c r="T596" s="60"/>
      <c r="V596" s="60"/>
    </row>
    <row r="597" spans="1:22" ht="13.8" thickBot="1">
      <c r="A597" s="23"/>
      <c r="B597" s="23"/>
      <c r="D597" s="23"/>
      <c r="F597" s="23"/>
      <c r="H597" s="45"/>
      <c r="J597" s="23"/>
      <c r="L597" s="45"/>
      <c r="N597" s="23"/>
      <c r="P597" s="45"/>
      <c r="R597" s="23"/>
      <c r="T597" s="60"/>
      <c r="V597" s="60"/>
    </row>
    <row r="598" spans="1:22" ht="13.8" thickBot="1">
      <c r="A598" s="23"/>
      <c r="B598" s="23"/>
      <c r="D598" s="23"/>
      <c r="F598" s="23"/>
      <c r="H598" s="45"/>
      <c r="J598" s="23"/>
      <c r="L598" s="45"/>
      <c r="N598" s="23"/>
      <c r="P598" s="45"/>
      <c r="R598" s="23"/>
      <c r="T598" s="60"/>
      <c r="V598" s="60"/>
    </row>
    <row r="599" spans="1:22" ht="13.8" thickBot="1">
      <c r="A599" s="23"/>
      <c r="B599" s="23"/>
      <c r="D599" s="23"/>
      <c r="F599" s="23"/>
      <c r="H599" s="45"/>
      <c r="J599" s="23"/>
      <c r="L599" s="45"/>
      <c r="N599" s="23"/>
      <c r="P599" s="45"/>
      <c r="R599" s="23"/>
      <c r="T599" s="60"/>
      <c r="V599" s="60"/>
    </row>
    <row r="600" spans="1:22" ht="13.8" thickBot="1">
      <c r="A600" s="23"/>
      <c r="B600" s="23"/>
      <c r="D600" s="23"/>
      <c r="F600" s="23"/>
      <c r="H600" s="45"/>
      <c r="J600" s="23"/>
      <c r="L600" s="45"/>
      <c r="N600" s="23"/>
      <c r="P600" s="45"/>
      <c r="R600" s="23"/>
      <c r="T600" s="60"/>
      <c r="V600" s="60"/>
    </row>
    <row r="601" spans="1:22" ht="13.8" thickBot="1">
      <c r="A601" s="23"/>
      <c r="B601" s="23"/>
      <c r="D601" s="23"/>
      <c r="F601" s="23"/>
      <c r="H601" s="45"/>
      <c r="J601" s="23"/>
      <c r="L601" s="45"/>
      <c r="N601" s="23"/>
      <c r="P601" s="45"/>
      <c r="R601" s="23"/>
      <c r="T601" s="60"/>
      <c r="V601" s="60"/>
    </row>
    <row r="602" spans="1:22" ht="13.8" thickBot="1">
      <c r="A602" s="23"/>
      <c r="B602" s="23"/>
      <c r="D602" s="23"/>
      <c r="F602" s="23"/>
      <c r="H602" s="45"/>
      <c r="J602" s="23"/>
      <c r="L602" s="45"/>
      <c r="N602" s="23"/>
      <c r="P602" s="45"/>
      <c r="R602" s="23"/>
      <c r="T602" s="60"/>
      <c r="V602" s="60"/>
    </row>
    <row r="603" spans="1:22" ht="13.8" thickBot="1">
      <c r="A603" s="23"/>
      <c r="B603" s="23"/>
      <c r="D603" s="23"/>
      <c r="F603" s="23"/>
      <c r="H603" s="45"/>
      <c r="J603" s="23"/>
      <c r="L603" s="45"/>
      <c r="N603" s="23"/>
      <c r="P603" s="45"/>
      <c r="R603" s="23"/>
      <c r="T603" s="60"/>
      <c r="V603" s="60"/>
    </row>
    <row r="604" spans="1:22" ht="13.8" thickBot="1">
      <c r="A604" s="23"/>
      <c r="B604" s="23"/>
      <c r="D604" s="23"/>
      <c r="F604" s="23"/>
      <c r="H604" s="45"/>
      <c r="J604" s="23"/>
      <c r="L604" s="45"/>
      <c r="N604" s="23"/>
      <c r="P604" s="45"/>
      <c r="R604" s="23"/>
      <c r="T604" s="60"/>
      <c r="V604" s="60"/>
    </row>
    <row r="605" spans="1:22" ht="13.8" thickBot="1">
      <c r="A605" s="23"/>
      <c r="B605" s="23"/>
      <c r="D605" s="23"/>
      <c r="F605" s="23"/>
      <c r="H605" s="45"/>
      <c r="J605" s="23"/>
      <c r="L605" s="45"/>
      <c r="N605" s="23"/>
      <c r="P605" s="45"/>
      <c r="R605" s="23"/>
      <c r="T605" s="60"/>
      <c r="V605" s="60"/>
    </row>
    <row r="606" spans="1:22" ht="13.8" thickBot="1">
      <c r="A606" s="23"/>
      <c r="B606" s="23"/>
      <c r="D606" s="23"/>
      <c r="F606" s="23"/>
      <c r="H606" s="45"/>
      <c r="J606" s="23"/>
      <c r="L606" s="45"/>
      <c r="N606" s="23"/>
      <c r="P606" s="45"/>
      <c r="R606" s="23"/>
      <c r="T606" s="60"/>
      <c r="V606" s="60"/>
    </row>
    <row r="607" spans="1:22" ht="13.8" thickBot="1">
      <c r="A607" s="23"/>
      <c r="B607" s="23"/>
      <c r="D607" s="23"/>
      <c r="F607" s="23"/>
      <c r="H607" s="45"/>
      <c r="J607" s="23"/>
      <c r="L607" s="45"/>
      <c r="N607" s="23"/>
      <c r="P607" s="45"/>
      <c r="R607" s="23"/>
      <c r="T607" s="60"/>
      <c r="V607" s="60"/>
    </row>
    <row r="608" spans="1:22" ht="13.8" thickBot="1">
      <c r="A608" s="23"/>
      <c r="B608" s="23"/>
      <c r="D608" s="23"/>
      <c r="F608" s="23"/>
      <c r="H608" s="45"/>
      <c r="J608" s="23"/>
      <c r="L608" s="45"/>
      <c r="N608" s="23"/>
      <c r="P608" s="45"/>
      <c r="R608" s="23"/>
      <c r="T608" s="60"/>
      <c r="V608" s="60"/>
    </row>
    <row r="609" spans="1:22" ht="13.8" thickBot="1">
      <c r="A609" s="23"/>
      <c r="B609" s="23"/>
      <c r="D609" s="23"/>
      <c r="F609" s="23"/>
      <c r="H609" s="45"/>
      <c r="J609" s="23"/>
      <c r="L609" s="45"/>
      <c r="N609" s="23"/>
      <c r="P609" s="45"/>
      <c r="R609" s="23"/>
      <c r="T609" s="60"/>
      <c r="V609" s="60"/>
    </row>
    <row r="610" spans="1:22" ht="13.8" thickBot="1">
      <c r="A610" s="23"/>
      <c r="B610" s="23"/>
      <c r="D610" s="23"/>
      <c r="F610" s="23"/>
      <c r="H610" s="45"/>
      <c r="J610" s="23"/>
      <c r="L610" s="45"/>
      <c r="N610" s="23"/>
      <c r="P610" s="45"/>
      <c r="R610" s="23"/>
      <c r="T610" s="60"/>
      <c r="V610" s="60"/>
    </row>
    <row r="611" spans="1:22" ht="13.8" thickBot="1">
      <c r="A611" s="23"/>
      <c r="B611" s="23"/>
      <c r="D611" s="23"/>
      <c r="F611" s="23"/>
      <c r="H611" s="45"/>
      <c r="J611" s="23"/>
      <c r="L611" s="45"/>
      <c r="N611" s="23"/>
      <c r="P611" s="45"/>
      <c r="R611" s="23"/>
      <c r="T611" s="60"/>
      <c r="V611" s="60"/>
    </row>
    <row r="612" spans="1:22" ht="13.8" thickBot="1">
      <c r="A612" s="23"/>
      <c r="B612" s="23"/>
      <c r="D612" s="23"/>
      <c r="F612" s="23"/>
      <c r="H612" s="45"/>
      <c r="J612" s="23"/>
      <c r="L612" s="45"/>
      <c r="N612" s="23"/>
      <c r="P612" s="45"/>
      <c r="R612" s="23"/>
      <c r="T612" s="60"/>
      <c r="V612" s="60"/>
    </row>
    <row r="613" spans="1:22" ht="13.8" thickBot="1">
      <c r="A613" s="23"/>
      <c r="B613" s="23"/>
      <c r="D613" s="23"/>
      <c r="F613" s="23"/>
      <c r="H613" s="45"/>
      <c r="J613" s="23"/>
      <c r="L613" s="45"/>
      <c r="N613" s="23"/>
      <c r="P613" s="45"/>
      <c r="R613" s="23"/>
      <c r="T613" s="60"/>
      <c r="V613" s="60"/>
    </row>
    <row r="614" spans="1:22" ht="13.8" thickBot="1">
      <c r="A614" s="23"/>
      <c r="B614" s="23"/>
      <c r="D614" s="23"/>
      <c r="F614" s="23"/>
      <c r="H614" s="45"/>
      <c r="J614" s="23"/>
      <c r="L614" s="45"/>
      <c r="N614" s="23"/>
      <c r="P614" s="45"/>
      <c r="R614" s="23"/>
      <c r="T614" s="60"/>
      <c r="V614" s="60"/>
    </row>
    <row r="615" spans="1:22" ht="13.8" thickBot="1">
      <c r="A615" s="23"/>
      <c r="B615" s="23"/>
      <c r="D615" s="23"/>
      <c r="F615" s="23"/>
      <c r="H615" s="45"/>
      <c r="J615" s="23"/>
      <c r="L615" s="45"/>
      <c r="N615" s="23"/>
      <c r="P615" s="45"/>
      <c r="R615" s="23"/>
      <c r="T615" s="60"/>
      <c r="V615" s="60"/>
    </row>
    <row r="616" spans="1:22" ht="13.8" thickBot="1">
      <c r="A616" s="23"/>
      <c r="B616" s="23"/>
      <c r="D616" s="23"/>
      <c r="F616" s="23"/>
      <c r="H616" s="45"/>
      <c r="J616" s="23"/>
      <c r="L616" s="45"/>
      <c r="N616" s="23"/>
      <c r="P616" s="45"/>
      <c r="R616" s="23"/>
      <c r="T616" s="60"/>
      <c r="V616" s="60"/>
    </row>
    <row r="617" spans="1:22" ht="13.8" thickBot="1">
      <c r="A617" s="23"/>
      <c r="B617" s="23"/>
      <c r="D617" s="23"/>
      <c r="F617" s="23"/>
      <c r="H617" s="45"/>
      <c r="J617" s="23"/>
      <c r="L617" s="45"/>
      <c r="N617" s="23"/>
      <c r="P617" s="45"/>
      <c r="R617" s="23"/>
      <c r="T617" s="60"/>
      <c r="V617" s="60"/>
    </row>
    <row r="618" spans="1:22" ht="13.8" thickBot="1">
      <c r="A618" s="23"/>
      <c r="B618" s="23"/>
      <c r="D618" s="23"/>
      <c r="F618" s="23"/>
      <c r="H618" s="45"/>
      <c r="J618" s="23"/>
      <c r="L618" s="45"/>
      <c r="N618" s="23"/>
      <c r="P618" s="45"/>
      <c r="R618" s="23"/>
      <c r="T618" s="60"/>
      <c r="V618" s="60"/>
    </row>
    <row r="619" spans="1:22" ht="13.8" thickBot="1">
      <c r="A619" s="23"/>
      <c r="B619" s="23"/>
      <c r="D619" s="23"/>
      <c r="F619" s="23"/>
      <c r="H619" s="45"/>
      <c r="J619" s="23"/>
      <c r="L619" s="45"/>
      <c r="N619" s="23"/>
      <c r="P619" s="45"/>
      <c r="R619" s="23"/>
      <c r="T619" s="60"/>
      <c r="V619" s="60"/>
    </row>
    <row r="620" spans="1:22" ht="13.8" thickBot="1">
      <c r="A620" s="23"/>
      <c r="B620" s="23"/>
      <c r="D620" s="23"/>
      <c r="F620" s="23"/>
      <c r="H620" s="45"/>
      <c r="J620" s="23"/>
      <c r="L620" s="45"/>
      <c r="N620" s="23"/>
      <c r="P620" s="45"/>
      <c r="R620" s="23"/>
      <c r="T620" s="60"/>
      <c r="V620" s="60"/>
    </row>
    <row r="621" spans="1:22" ht="13.8" thickBot="1">
      <c r="A621" s="23"/>
      <c r="B621" s="23"/>
      <c r="D621" s="23"/>
      <c r="F621" s="23"/>
      <c r="H621" s="45"/>
      <c r="J621" s="23"/>
      <c r="L621" s="45"/>
      <c r="N621" s="23"/>
      <c r="P621" s="45"/>
      <c r="R621" s="23"/>
      <c r="T621" s="60"/>
      <c r="V621" s="60"/>
    </row>
    <row r="622" spans="1:22" ht="13.8" thickBot="1">
      <c r="A622" s="23"/>
      <c r="B622" s="23"/>
      <c r="D622" s="23"/>
      <c r="F622" s="23"/>
      <c r="H622" s="45"/>
      <c r="J622" s="23"/>
      <c r="L622" s="45"/>
      <c r="N622" s="23"/>
      <c r="P622" s="45"/>
      <c r="R622" s="23"/>
      <c r="T622" s="60"/>
      <c r="V622" s="60"/>
    </row>
    <row r="623" spans="1:22" ht="13.8" thickBot="1">
      <c r="A623" s="23"/>
      <c r="B623" s="23"/>
      <c r="D623" s="23"/>
      <c r="F623" s="23"/>
      <c r="H623" s="45"/>
      <c r="J623" s="23"/>
      <c r="L623" s="45"/>
      <c r="N623" s="23"/>
      <c r="P623" s="45"/>
      <c r="R623" s="23"/>
      <c r="T623" s="60"/>
      <c r="V623" s="60"/>
    </row>
    <row r="624" spans="1:22" ht="13.8" thickBot="1">
      <c r="A624" s="23"/>
      <c r="B624" s="23"/>
      <c r="D624" s="23"/>
      <c r="F624" s="23"/>
      <c r="H624" s="45"/>
      <c r="J624" s="23"/>
      <c r="L624" s="45"/>
      <c r="N624" s="23"/>
      <c r="P624" s="45"/>
      <c r="R624" s="23"/>
      <c r="T624" s="60"/>
      <c r="V624" s="60"/>
    </row>
    <row r="625" spans="1:22" ht="13.8" thickBot="1">
      <c r="A625" s="23"/>
      <c r="B625" s="23"/>
      <c r="D625" s="23"/>
      <c r="F625" s="23"/>
      <c r="H625" s="45"/>
      <c r="J625" s="23"/>
      <c r="L625" s="45"/>
      <c r="N625" s="23"/>
      <c r="P625" s="45"/>
      <c r="R625" s="23"/>
      <c r="T625" s="60"/>
      <c r="V625" s="60"/>
    </row>
    <row r="626" spans="1:22" ht="13.8" thickBot="1">
      <c r="A626" s="23"/>
      <c r="B626" s="23"/>
      <c r="D626" s="23"/>
      <c r="F626" s="23"/>
      <c r="H626" s="45"/>
      <c r="J626" s="23"/>
      <c r="L626" s="45"/>
      <c r="N626" s="23"/>
      <c r="P626" s="45"/>
      <c r="R626" s="23"/>
      <c r="T626" s="60"/>
      <c r="V626" s="60"/>
    </row>
    <row r="627" spans="1:22" ht="13.8" thickBot="1">
      <c r="A627" s="23"/>
      <c r="B627" s="23"/>
      <c r="D627" s="23"/>
      <c r="F627" s="23"/>
      <c r="H627" s="45"/>
      <c r="J627" s="23"/>
      <c r="L627" s="45"/>
      <c r="N627" s="23"/>
      <c r="P627" s="45"/>
      <c r="R627" s="23"/>
      <c r="T627" s="60"/>
      <c r="V627" s="60"/>
    </row>
    <row r="628" spans="1:22" ht="13.8" thickBot="1">
      <c r="A628" s="23"/>
      <c r="B628" s="23"/>
      <c r="D628" s="23"/>
      <c r="F628" s="23"/>
      <c r="H628" s="45"/>
      <c r="J628" s="23"/>
      <c r="L628" s="45"/>
      <c r="N628" s="23"/>
      <c r="P628" s="45"/>
      <c r="R628" s="23"/>
      <c r="T628" s="60"/>
      <c r="V628" s="60"/>
    </row>
    <row r="629" spans="1:22" ht="13.8" thickBot="1">
      <c r="A629" s="23"/>
      <c r="B629" s="23"/>
      <c r="D629" s="23"/>
      <c r="F629" s="23"/>
      <c r="H629" s="45"/>
      <c r="J629" s="23"/>
      <c r="L629" s="45"/>
      <c r="N629" s="23"/>
      <c r="P629" s="45"/>
      <c r="R629" s="23"/>
      <c r="T629" s="60"/>
      <c r="V629" s="60"/>
    </row>
    <row r="630" spans="1:22" ht="13.8" thickBot="1">
      <c r="A630" s="23"/>
      <c r="B630" s="23"/>
      <c r="D630" s="23"/>
      <c r="F630" s="23"/>
      <c r="H630" s="45"/>
      <c r="J630" s="23"/>
      <c r="L630" s="45"/>
      <c r="N630" s="23"/>
      <c r="P630" s="45"/>
      <c r="R630" s="23"/>
      <c r="T630" s="60"/>
      <c r="V630" s="60"/>
    </row>
    <row r="631" spans="1:22" ht="13.8" thickBot="1">
      <c r="A631" s="23"/>
      <c r="B631" s="23"/>
      <c r="D631" s="23"/>
      <c r="F631" s="23"/>
      <c r="H631" s="45"/>
      <c r="J631" s="23"/>
      <c r="L631" s="45"/>
      <c r="N631" s="23"/>
      <c r="P631" s="45"/>
      <c r="R631" s="23"/>
      <c r="T631" s="60"/>
      <c r="V631" s="60"/>
    </row>
    <row r="632" spans="1:22" ht="13.8" thickBot="1">
      <c r="A632" s="23"/>
      <c r="B632" s="23"/>
      <c r="D632" s="23"/>
      <c r="F632" s="23"/>
      <c r="H632" s="45"/>
      <c r="J632" s="23"/>
      <c r="L632" s="45"/>
      <c r="N632" s="23"/>
      <c r="P632" s="45"/>
      <c r="R632" s="23"/>
      <c r="T632" s="60"/>
      <c r="V632" s="60"/>
    </row>
    <row r="633" spans="1:22" ht="13.8" thickBot="1">
      <c r="A633" s="23"/>
      <c r="B633" s="23"/>
      <c r="D633" s="23"/>
      <c r="F633" s="23"/>
      <c r="H633" s="45"/>
      <c r="J633" s="23"/>
      <c r="L633" s="45"/>
      <c r="N633" s="23"/>
      <c r="P633" s="45"/>
      <c r="R633" s="23"/>
      <c r="T633" s="60"/>
      <c r="V633" s="60"/>
    </row>
    <row r="634" spans="1:22" ht="13.8" thickBot="1">
      <c r="A634" s="23"/>
      <c r="B634" s="23"/>
      <c r="D634" s="23"/>
      <c r="F634" s="23"/>
      <c r="H634" s="45"/>
      <c r="J634" s="23"/>
      <c r="L634" s="45"/>
      <c r="N634" s="23"/>
      <c r="P634" s="45"/>
      <c r="R634" s="23"/>
      <c r="T634" s="60"/>
      <c r="V634" s="60"/>
    </row>
    <row r="635" spans="1:22" ht="13.8" thickBot="1">
      <c r="A635" s="23"/>
      <c r="B635" s="23"/>
      <c r="D635" s="23"/>
      <c r="F635" s="23"/>
      <c r="H635" s="45"/>
      <c r="J635" s="23"/>
      <c r="L635" s="45"/>
      <c r="N635" s="23"/>
      <c r="P635" s="45"/>
      <c r="R635" s="23"/>
      <c r="T635" s="60"/>
      <c r="V635" s="60"/>
    </row>
    <row r="636" spans="1:22" ht="13.8" thickBot="1">
      <c r="A636" s="23"/>
      <c r="B636" s="23"/>
      <c r="D636" s="23"/>
      <c r="F636" s="23"/>
      <c r="H636" s="45"/>
      <c r="J636" s="23"/>
      <c r="L636" s="45"/>
      <c r="N636" s="23"/>
      <c r="P636" s="45"/>
      <c r="R636" s="23"/>
      <c r="T636" s="60"/>
      <c r="V636" s="60"/>
    </row>
    <row r="637" spans="1:22" ht="13.8" thickBot="1">
      <c r="A637" s="23"/>
      <c r="B637" s="23"/>
      <c r="D637" s="23"/>
      <c r="F637" s="23"/>
      <c r="H637" s="45"/>
      <c r="J637" s="23"/>
      <c r="L637" s="45"/>
      <c r="N637" s="23"/>
      <c r="P637" s="45"/>
      <c r="R637" s="23"/>
      <c r="T637" s="60"/>
      <c r="V637" s="60"/>
    </row>
    <row r="638" spans="1:22" ht="13.8" thickBot="1">
      <c r="A638" s="23"/>
      <c r="B638" s="23"/>
      <c r="D638" s="23"/>
      <c r="F638" s="23"/>
      <c r="H638" s="45"/>
      <c r="J638" s="23"/>
      <c r="L638" s="45"/>
      <c r="N638" s="23"/>
      <c r="P638" s="45"/>
      <c r="R638" s="23"/>
      <c r="T638" s="60"/>
      <c r="V638" s="60"/>
    </row>
    <row r="639" spans="1:22" ht="13.8" thickBot="1">
      <c r="A639" s="23"/>
      <c r="B639" s="23"/>
      <c r="D639" s="23"/>
      <c r="F639" s="23"/>
      <c r="H639" s="45"/>
      <c r="J639" s="23"/>
      <c r="L639" s="45"/>
      <c r="N639" s="23"/>
      <c r="P639" s="45"/>
      <c r="R639" s="23"/>
      <c r="T639" s="60"/>
      <c r="V639" s="60"/>
    </row>
    <row r="640" spans="1:22" ht="13.8" thickBot="1">
      <c r="A640" s="23"/>
      <c r="B640" s="23"/>
      <c r="D640" s="23"/>
      <c r="F640" s="23"/>
      <c r="H640" s="45"/>
      <c r="J640" s="23"/>
      <c r="L640" s="45"/>
      <c r="N640" s="23"/>
      <c r="P640" s="45"/>
      <c r="R640" s="23"/>
      <c r="T640" s="60"/>
      <c r="V640" s="60"/>
    </row>
    <row r="641" spans="1:22" ht="13.8" thickBot="1">
      <c r="A641" s="23"/>
      <c r="B641" s="23"/>
      <c r="D641" s="23"/>
      <c r="F641" s="23"/>
      <c r="H641" s="45"/>
      <c r="J641" s="23"/>
      <c r="L641" s="45"/>
      <c r="N641" s="23"/>
      <c r="P641" s="45"/>
      <c r="R641" s="23"/>
      <c r="T641" s="60"/>
      <c r="V641" s="60"/>
    </row>
    <row r="642" spans="1:22" ht="13.8" thickBot="1">
      <c r="A642" s="23"/>
      <c r="B642" s="23"/>
      <c r="D642" s="23"/>
      <c r="F642" s="23"/>
      <c r="H642" s="45"/>
      <c r="J642" s="23"/>
      <c r="L642" s="45"/>
      <c r="N642" s="23"/>
      <c r="P642" s="45"/>
      <c r="R642" s="23"/>
      <c r="T642" s="60"/>
      <c r="V642" s="60"/>
    </row>
    <row r="643" spans="1:22" ht="13.8" thickBot="1">
      <c r="A643" s="23"/>
      <c r="B643" s="23"/>
      <c r="D643" s="23"/>
      <c r="F643" s="23"/>
      <c r="H643" s="45"/>
      <c r="J643" s="23"/>
      <c r="L643" s="45"/>
      <c r="N643" s="23"/>
      <c r="P643" s="45"/>
      <c r="R643" s="23"/>
      <c r="T643" s="60"/>
      <c r="V643" s="60"/>
    </row>
    <row r="644" spans="1:22" ht="13.8" thickBot="1">
      <c r="A644" s="23"/>
      <c r="B644" s="23"/>
      <c r="D644" s="23"/>
      <c r="F644" s="23"/>
      <c r="H644" s="45"/>
      <c r="J644" s="23"/>
      <c r="L644" s="45"/>
      <c r="N644" s="23"/>
      <c r="P644" s="45"/>
      <c r="R644" s="23"/>
      <c r="T644" s="60"/>
      <c r="V644" s="60"/>
    </row>
    <row r="645" spans="1:22" ht="13.8" thickBot="1">
      <c r="A645" s="23"/>
      <c r="B645" s="23"/>
      <c r="D645" s="23"/>
      <c r="F645" s="23"/>
      <c r="H645" s="45"/>
      <c r="J645" s="23"/>
      <c r="L645" s="45"/>
      <c r="N645" s="23"/>
      <c r="P645" s="45"/>
      <c r="R645" s="23"/>
      <c r="T645" s="60"/>
      <c r="V645" s="60"/>
    </row>
    <row r="646" spans="1:22" ht="13.8" thickBot="1">
      <c r="A646" s="23"/>
      <c r="B646" s="23"/>
      <c r="D646" s="23"/>
      <c r="F646" s="23"/>
      <c r="H646" s="45"/>
      <c r="J646" s="23"/>
      <c r="L646" s="45"/>
      <c r="N646" s="23"/>
      <c r="P646" s="45"/>
      <c r="R646" s="23"/>
      <c r="T646" s="60"/>
      <c r="V646" s="60"/>
    </row>
    <row r="647" spans="1:22" ht="13.8" thickBot="1">
      <c r="A647" s="23"/>
      <c r="B647" s="23"/>
      <c r="D647" s="23"/>
      <c r="F647" s="23"/>
      <c r="H647" s="45"/>
      <c r="J647" s="23"/>
      <c r="L647" s="45"/>
      <c r="N647" s="23"/>
      <c r="P647" s="45"/>
      <c r="R647" s="23"/>
      <c r="T647" s="60"/>
      <c r="V647" s="60"/>
    </row>
    <row r="648" spans="1:22" ht="13.8" thickBot="1">
      <c r="A648" s="23"/>
      <c r="B648" s="23"/>
      <c r="D648" s="23"/>
      <c r="F648" s="23"/>
      <c r="H648" s="45"/>
      <c r="J648" s="23"/>
      <c r="L648" s="45"/>
      <c r="N648" s="23"/>
      <c r="P648" s="45"/>
      <c r="R648" s="23"/>
      <c r="T648" s="60"/>
      <c r="V648" s="60"/>
    </row>
    <row r="649" spans="1:22" ht="13.8" thickBot="1">
      <c r="A649" s="23"/>
      <c r="B649" s="23"/>
      <c r="D649" s="23"/>
      <c r="F649" s="23"/>
      <c r="H649" s="45"/>
      <c r="J649" s="23"/>
      <c r="L649" s="45"/>
      <c r="N649" s="23"/>
      <c r="P649" s="45"/>
      <c r="R649" s="23"/>
      <c r="T649" s="60"/>
      <c r="V649" s="60"/>
    </row>
    <row r="650" spans="1:22" ht="13.8" thickBot="1">
      <c r="A650" s="23"/>
      <c r="B650" s="23"/>
      <c r="D650" s="23"/>
      <c r="F650" s="23"/>
      <c r="H650" s="45"/>
      <c r="J650" s="23"/>
      <c r="L650" s="45"/>
      <c r="N650" s="23"/>
      <c r="P650" s="45"/>
      <c r="R650" s="23"/>
      <c r="T650" s="60"/>
      <c r="V650" s="60"/>
    </row>
    <row r="651" spans="1:22" ht="13.8" thickBot="1">
      <c r="A651" s="23"/>
      <c r="B651" s="23"/>
      <c r="D651" s="23"/>
      <c r="F651" s="23"/>
      <c r="H651" s="45"/>
      <c r="J651" s="23"/>
      <c r="L651" s="45"/>
      <c r="N651" s="23"/>
      <c r="P651" s="45"/>
      <c r="R651" s="23"/>
      <c r="T651" s="60"/>
      <c r="V651" s="60"/>
    </row>
    <row r="652" spans="1:22" ht="13.8" thickBot="1">
      <c r="A652" s="23"/>
      <c r="B652" s="23"/>
      <c r="D652" s="23"/>
      <c r="F652" s="23"/>
      <c r="H652" s="45"/>
      <c r="J652" s="23"/>
      <c r="L652" s="45"/>
      <c r="N652" s="23"/>
      <c r="P652" s="45"/>
      <c r="R652" s="23"/>
      <c r="T652" s="60"/>
      <c r="V652" s="60"/>
    </row>
    <row r="653" spans="1:22" ht="13.8" thickBot="1">
      <c r="A653" s="23"/>
      <c r="B653" s="23"/>
      <c r="D653" s="23"/>
      <c r="F653" s="23"/>
      <c r="H653" s="45"/>
      <c r="J653" s="23"/>
      <c r="L653" s="45"/>
      <c r="N653" s="23"/>
      <c r="P653" s="45"/>
      <c r="R653" s="23"/>
      <c r="T653" s="60"/>
      <c r="V653" s="60"/>
    </row>
    <row r="654" spans="1:22" ht="13.8" thickBot="1">
      <c r="A654" s="23"/>
      <c r="B654" s="23"/>
      <c r="D654" s="23"/>
      <c r="F654" s="23"/>
      <c r="H654" s="45"/>
      <c r="J654" s="23"/>
      <c r="L654" s="45"/>
      <c r="N654" s="23"/>
      <c r="P654" s="45"/>
      <c r="R654" s="23"/>
      <c r="T654" s="60"/>
      <c r="V654" s="60"/>
    </row>
    <row r="655" spans="1:22" ht="13.8" thickBot="1">
      <c r="A655" s="23"/>
      <c r="B655" s="23"/>
      <c r="D655" s="23"/>
      <c r="F655" s="23"/>
      <c r="H655" s="45"/>
      <c r="J655" s="23"/>
      <c r="L655" s="45"/>
      <c r="N655" s="23"/>
      <c r="P655" s="45"/>
      <c r="R655" s="23"/>
      <c r="T655" s="60"/>
      <c r="V655" s="60"/>
    </row>
    <row r="656" spans="1:22" ht="13.8" thickBot="1">
      <c r="A656" s="23"/>
      <c r="B656" s="23"/>
      <c r="D656" s="23"/>
      <c r="F656" s="23"/>
      <c r="H656" s="45"/>
      <c r="J656" s="23"/>
      <c r="L656" s="45"/>
      <c r="N656" s="23"/>
      <c r="P656" s="45"/>
      <c r="R656" s="23"/>
      <c r="T656" s="60"/>
      <c r="V656" s="60"/>
    </row>
    <row r="657" spans="1:22" ht="13.8" thickBot="1">
      <c r="A657" s="23"/>
      <c r="B657" s="23"/>
      <c r="D657" s="23"/>
      <c r="F657" s="23"/>
      <c r="H657" s="45"/>
      <c r="J657" s="23"/>
      <c r="L657" s="45"/>
      <c r="N657" s="23"/>
      <c r="P657" s="45"/>
      <c r="R657" s="23"/>
      <c r="T657" s="60"/>
      <c r="V657" s="60"/>
    </row>
    <row r="658" spans="1:22" ht="13.8" thickBot="1">
      <c r="A658" s="23"/>
      <c r="B658" s="23"/>
      <c r="D658" s="23"/>
      <c r="F658" s="23"/>
      <c r="H658" s="45"/>
      <c r="J658" s="23"/>
      <c r="L658" s="45"/>
      <c r="N658" s="23"/>
      <c r="P658" s="45"/>
      <c r="R658" s="23"/>
      <c r="T658" s="60"/>
      <c r="V658" s="60"/>
    </row>
    <row r="659" spans="1:22" ht="13.8" thickBot="1">
      <c r="A659" s="23"/>
      <c r="B659" s="23"/>
      <c r="D659" s="23"/>
      <c r="F659" s="23"/>
      <c r="H659" s="45"/>
      <c r="J659" s="23"/>
      <c r="L659" s="45"/>
      <c r="N659" s="23"/>
      <c r="P659" s="45"/>
      <c r="R659" s="23"/>
      <c r="T659" s="60"/>
      <c r="V659" s="60"/>
    </row>
    <row r="660" spans="1:22" ht="13.8" thickBot="1">
      <c r="A660" s="23"/>
      <c r="B660" s="23"/>
      <c r="D660" s="23"/>
      <c r="F660" s="23"/>
      <c r="H660" s="45"/>
      <c r="J660" s="23"/>
      <c r="L660" s="45"/>
      <c r="N660" s="23"/>
      <c r="P660" s="45"/>
      <c r="R660" s="23"/>
      <c r="T660" s="60"/>
      <c r="V660" s="60"/>
    </row>
    <row r="661" spans="1:22" ht="13.8" thickBot="1">
      <c r="A661" s="23"/>
      <c r="B661" s="23"/>
      <c r="D661" s="23"/>
      <c r="F661" s="23"/>
      <c r="H661" s="45"/>
      <c r="J661" s="23"/>
      <c r="L661" s="45"/>
      <c r="N661" s="23"/>
      <c r="P661" s="45"/>
      <c r="R661" s="23"/>
      <c r="T661" s="60"/>
      <c r="V661" s="60"/>
    </row>
    <row r="662" spans="1:22" ht="13.8" thickBot="1">
      <c r="A662" s="23"/>
      <c r="B662" s="23"/>
      <c r="D662" s="23"/>
      <c r="F662" s="23"/>
      <c r="H662" s="45"/>
      <c r="J662" s="23"/>
      <c r="L662" s="45"/>
      <c r="N662" s="23"/>
      <c r="P662" s="45"/>
      <c r="R662" s="23"/>
      <c r="T662" s="60"/>
      <c r="V662" s="60"/>
    </row>
    <row r="663" spans="1:22" ht="13.8" thickBot="1">
      <c r="A663" s="23"/>
      <c r="B663" s="23"/>
      <c r="D663" s="23"/>
      <c r="F663" s="23"/>
      <c r="H663" s="45"/>
      <c r="J663" s="23"/>
      <c r="L663" s="45"/>
      <c r="N663" s="23"/>
      <c r="P663" s="45"/>
      <c r="R663" s="23"/>
      <c r="T663" s="60"/>
      <c r="V663" s="60"/>
    </row>
    <row r="664" spans="1:22" ht="13.8" thickBot="1">
      <c r="A664" s="23"/>
      <c r="B664" s="23"/>
      <c r="D664" s="23"/>
      <c r="F664" s="23"/>
      <c r="H664" s="45"/>
      <c r="J664" s="23"/>
      <c r="L664" s="45"/>
      <c r="N664" s="23"/>
      <c r="P664" s="45"/>
      <c r="R664" s="23"/>
      <c r="T664" s="60"/>
      <c r="V664" s="60"/>
    </row>
    <row r="665" spans="1:22" ht="13.8" thickBot="1">
      <c r="A665" s="23"/>
      <c r="B665" s="23"/>
      <c r="D665" s="23"/>
      <c r="F665" s="23"/>
      <c r="H665" s="45"/>
      <c r="J665" s="23"/>
      <c r="L665" s="45"/>
      <c r="N665" s="23"/>
      <c r="P665" s="45"/>
      <c r="R665" s="23"/>
      <c r="T665" s="60"/>
      <c r="V665" s="60"/>
    </row>
    <row r="666" spans="1:22" ht="13.8" thickBot="1">
      <c r="A666" s="23"/>
      <c r="B666" s="23"/>
      <c r="D666" s="23"/>
      <c r="F666" s="23"/>
      <c r="H666" s="45"/>
      <c r="J666" s="23"/>
      <c r="L666" s="45"/>
      <c r="N666" s="23"/>
      <c r="P666" s="45"/>
      <c r="R666" s="23"/>
      <c r="T666" s="60"/>
      <c r="V666" s="60"/>
    </row>
    <row r="667" spans="1:22" ht="13.8" thickBot="1">
      <c r="A667" s="23"/>
      <c r="B667" s="23"/>
      <c r="D667" s="23"/>
      <c r="F667" s="23"/>
      <c r="H667" s="45"/>
      <c r="J667" s="23"/>
      <c r="L667" s="45"/>
      <c r="N667" s="23"/>
      <c r="P667" s="45"/>
      <c r="R667" s="23"/>
      <c r="T667" s="60"/>
      <c r="V667" s="60"/>
    </row>
    <row r="668" spans="1:22" ht="13.8" thickBot="1">
      <c r="A668" s="23"/>
      <c r="B668" s="23"/>
      <c r="D668" s="23"/>
      <c r="F668" s="23"/>
      <c r="H668" s="45"/>
      <c r="J668" s="23"/>
      <c r="L668" s="45"/>
      <c r="N668" s="23"/>
      <c r="P668" s="45"/>
      <c r="R668" s="23"/>
      <c r="T668" s="60"/>
      <c r="V668" s="60"/>
    </row>
    <row r="669" spans="1:22" ht="13.8" thickBot="1">
      <c r="A669" s="23"/>
      <c r="B669" s="23"/>
      <c r="D669" s="23"/>
      <c r="F669" s="23"/>
      <c r="H669" s="45"/>
      <c r="J669" s="23"/>
      <c r="L669" s="45"/>
      <c r="N669" s="23"/>
      <c r="P669" s="45"/>
      <c r="R669" s="23"/>
      <c r="T669" s="60"/>
      <c r="V669" s="60"/>
    </row>
    <row r="670" spans="1:22" ht="13.8" thickBot="1">
      <c r="A670" s="23"/>
      <c r="B670" s="23"/>
      <c r="D670" s="23"/>
      <c r="F670" s="23"/>
      <c r="H670" s="45"/>
      <c r="J670" s="23"/>
      <c r="L670" s="45"/>
      <c r="N670" s="23"/>
      <c r="P670" s="45"/>
      <c r="R670" s="23"/>
      <c r="T670" s="60"/>
      <c r="V670" s="60"/>
    </row>
    <row r="671" spans="1:22" ht="13.8" thickBot="1">
      <c r="A671" s="23"/>
      <c r="B671" s="23"/>
      <c r="D671" s="23"/>
      <c r="F671" s="23"/>
      <c r="H671" s="45"/>
      <c r="J671" s="23"/>
      <c r="L671" s="45"/>
      <c r="N671" s="23"/>
      <c r="P671" s="45"/>
      <c r="R671" s="23"/>
      <c r="T671" s="60"/>
      <c r="V671" s="60"/>
    </row>
    <row r="672" spans="1:22" ht="13.8" thickBot="1">
      <c r="A672" s="23"/>
      <c r="B672" s="23"/>
      <c r="D672" s="23"/>
      <c r="F672" s="23"/>
      <c r="H672" s="45"/>
      <c r="J672" s="23"/>
      <c r="L672" s="45"/>
      <c r="N672" s="23"/>
      <c r="P672" s="45"/>
      <c r="R672" s="23"/>
      <c r="T672" s="60"/>
      <c r="V672" s="60"/>
    </row>
    <row r="673" spans="1:22" ht="13.8" thickBot="1">
      <c r="A673" s="23"/>
      <c r="B673" s="23"/>
      <c r="D673" s="23"/>
      <c r="F673" s="23"/>
      <c r="H673" s="45"/>
      <c r="J673" s="23"/>
      <c r="L673" s="45"/>
      <c r="N673" s="23"/>
      <c r="P673" s="45"/>
      <c r="R673" s="23"/>
      <c r="T673" s="60"/>
      <c r="V673" s="60"/>
    </row>
    <row r="674" spans="1:22" ht="13.8" thickBot="1">
      <c r="A674" s="23"/>
      <c r="B674" s="23"/>
      <c r="D674" s="23"/>
      <c r="F674" s="23"/>
      <c r="H674" s="45"/>
      <c r="J674" s="23"/>
      <c r="L674" s="45"/>
      <c r="N674" s="23"/>
      <c r="P674" s="45"/>
      <c r="R674" s="23"/>
      <c r="T674" s="60"/>
      <c r="V674" s="60"/>
    </row>
    <row r="675" spans="1:22" ht="13.8" thickBot="1">
      <c r="A675" s="23"/>
      <c r="B675" s="23"/>
      <c r="D675" s="23"/>
      <c r="F675" s="23"/>
      <c r="H675" s="45"/>
      <c r="J675" s="23"/>
      <c r="L675" s="45"/>
      <c r="N675" s="23"/>
      <c r="P675" s="45"/>
      <c r="R675" s="23"/>
      <c r="T675" s="60"/>
      <c r="V675" s="60"/>
    </row>
    <row r="676" spans="1:22" ht="13.8" thickBot="1">
      <c r="A676" s="23"/>
      <c r="B676" s="23"/>
      <c r="D676" s="23"/>
      <c r="F676" s="23"/>
      <c r="H676" s="45"/>
      <c r="J676" s="23"/>
      <c r="L676" s="45"/>
      <c r="N676" s="23"/>
      <c r="P676" s="45"/>
      <c r="R676" s="23"/>
      <c r="T676" s="60"/>
      <c r="V676" s="60"/>
    </row>
    <row r="677" spans="1:22" ht="13.8" thickBot="1">
      <c r="A677" s="23"/>
      <c r="B677" s="23"/>
      <c r="D677" s="23"/>
      <c r="F677" s="23"/>
      <c r="H677" s="45"/>
      <c r="J677" s="23"/>
      <c r="L677" s="45"/>
      <c r="N677" s="23"/>
      <c r="P677" s="45"/>
      <c r="R677" s="23"/>
      <c r="T677" s="60"/>
      <c r="V677" s="60"/>
    </row>
    <row r="678" spans="1:22" ht="13.8" thickBot="1">
      <c r="A678" s="23"/>
      <c r="B678" s="23"/>
      <c r="D678" s="23"/>
      <c r="F678" s="23"/>
      <c r="H678" s="45"/>
      <c r="J678" s="23"/>
      <c r="L678" s="45"/>
      <c r="N678" s="23"/>
      <c r="P678" s="45"/>
      <c r="R678" s="23"/>
      <c r="T678" s="60"/>
      <c r="V678" s="60"/>
    </row>
    <row r="679" spans="1:22" ht="13.8" thickBot="1">
      <c r="A679" s="23"/>
      <c r="B679" s="23"/>
      <c r="D679" s="23"/>
      <c r="F679" s="23"/>
      <c r="H679" s="45"/>
      <c r="J679" s="23"/>
      <c r="L679" s="45"/>
      <c r="N679" s="23"/>
      <c r="P679" s="45"/>
      <c r="R679" s="23"/>
      <c r="T679" s="60"/>
      <c r="V679" s="60"/>
    </row>
    <row r="680" spans="1:22" ht="13.8" thickBot="1">
      <c r="A680" s="23"/>
      <c r="B680" s="23"/>
      <c r="D680" s="23"/>
      <c r="F680" s="23"/>
      <c r="H680" s="45"/>
      <c r="J680" s="23"/>
      <c r="L680" s="45"/>
      <c r="N680" s="23"/>
      <c r="P680" s="45"/>
      <c r="R680" s="23"/>
      <c r="T680" s="60"/>
      <c r="V680" s="60"/>
    </row>
    <row r="681" spans="1:22" ht="13.8" thickBot="1">
      <c r="A681" s="23"/>
      <c r="B681" s="23"/>
      <c r="D681" s="23"/>
      <c r="F681" s="23"/>
      <c r="H681" s="45"/>
      <c r="J681" s="23"/>
      <c r="L681" s="45"/>
      <c r="N681" s="23"/>
      <c r="P681" s="45"/>
      <c r="R681" s="23"/>
      <c r="T681" s="60"/>
      <c r="V681" s="60"/>
    </row>
    <row r="682" spans="1:22" ht="13.8" thickBot="1">
      <c r="A682" s="23"/>
      <c r="B682" s="23"/>
      <c r="D682" s="23"/>
      <c r="F682" s="23"/>
      <c r="H682" s="45"/>
      <c r="J682" s="23"/>
      <c r="L682" s="45"/>
      <c r="N682" s="23"/>
      <c r="P682" s="45"/>
      <c r="R682" s="23"/>
      <c r="T682" s="60"/>
      <c r="V682" s="60"/>
    </row>
    <row r="683" spans="1:22" ht="13.8" thickBot="1">
      <c r="A683" s="23"/>
      <c r="B683" s="23"/>
      <c r="D683" s="23"/>
      <c r="F683" s="23"/>
      <c r="H683" s="45"/>
      <c r="J683" s="23"/>
      <c r="L683" s="45"/>
      <c r="N683" s="23"/>
      <c r="P683" s="45"/>
      <c r="R683" s="23"/>
      <c r="T683" s="60"/>
      <c r="V683" s="60"/>
    </row>
    <row r="684" spans="1:22" ht="13.8" thickBot="1">
      <c r="A684" s="23"/>
      <c r="B684" s="23"/>
      <c r="D684" s="23"/>
      <c r="F684" s="23"/>
      <c r="H684" s="45"/>
      <c r="J684" s="23"/>
      <c r="L684" s="45"/>
      <c r="N684" s="23"/>
      <c r="P684" s="45"/>
      <c r="R684" s="23"/>
      <c r="T684" s="60"/>
      <c r="V684" s="60"/>
    </row>
    <row r="685" spans="1:22" ht="13.8" thickBot="1">
      <c r="A685" s="23"/>
      <c r="B685" s="23"/>
      <c r="D685" s="23"/>
      <c r="F685" s="23"/>
      <c r="H685" s="45"/>
      <c r="J685" s="23"/>
      <c r="L685" s="45"/>
      <c r="N685" s="23"/>
      <c r="P685" s="45"/>
      <c r="R685" s="23"/>
      <c r="T685" s="60"/>
      <c r="V685" s="60"/>
    </row>
    <row r="686" spans="1:22" ht="13.8" thickBot="1">
      <c r="A686" s="23"/>
      <c r="B686" s="23"/>
      <c r="D686" s="23"/>
      <c r="F686" s="23"/>
      <c r="H686" s="45"/>
      <c r="J686" s="23"/>
      <c r="L686" s="45"/>
      <c r="N686" s="23"/>
      <c r="P686" s="45"/>
      <c r="R686" s="23"/>
      <c r="T686" s="60"/>
      <c r="V686" s="60"/>
    </row>
    <row r="687" spans="1:22" ht="13.8" thickBot="1">
      <c r="A687" s="23"/>
      <c r="B687" s="23"/>
      <c r="D687" s="23"/>
      <c r="F687" s="23"/>
      <c r="H687" s="45"/>
      <c r="J687" s="23"/>
      <c r="L687" s="45"/>
      <c r="N687" s="23"/>
      <c r="P687" s="45"/>
      <c r="R687" s="23"/>
      <c r="T687" s="60"/>
      <c r="V687" s="60"/>
    </row>
    <row r="688" spans="1:22" ht="13.8" thickBot="1">
      <c r="A688" s="23"/>
      <c r="B688" s="23"/>
      <c r="D688" s="23"/>
      <c r="F688" s="23"/>
      <c r="H688" s="45"/>
      <c r="J688" s="23"/>
      <c r="L688" s="45"/>
      <c r="N688" s="23"/>
      <c r="P688" s="45"/>
      <c r="R688" s="23"/>
      <c r="T688" s="60"/>
      <c r="V688" s="60"/>
    </row>
    <row r="689" spans="1:22" ht="13.8" thickBot="1">
      <c r="A689" s="23"/>
      <c r="B689" s="23"/>
      <c r="D689" s="23"/>
      <c r="F689" s="23"/>
      <c r="H689" s="45"/>
      <c r="J689" s="23"/>
      <c r="L689" s="45"/>
      <c r="N689" s="23"/>
      <c r="P689" s="45"/>
      <c r="R689" s="23"/>
      <c r="T689" s="60"/>
      <c r="V689" s="60"/>
    </row>
    <row r="690" spans="1:22" ht="13.8" thickBot="1">
      <c r="A690" s="23"/>
      <c r="B690" s="23"/>
      <c r="D690" s="23"/>
      <c r="F690" s="23"/>
      <c r="H690" s="45"/>
      <c r="J690" s="23"/>
      <c r="L690" s="45"/>
      <c r="N690" s="23"/>
      <c r="P690" s="45"/>
      <c r="R690" s="23"/>
      <c r="T690" s="60"/>
      <c r="V690" s="60"/>
    </row>
    <row r="691" spans="1:22" ht="13.8" thickBot="1">
      <c r="A691" s="23"/>
      <c r="B691" s="23"/>
      <c r="D691" s="23"/>
      <c r="F691" s="23"/>
      <c r="H691" s="45"/>
      <c r="J691" s="23"/>
      <c r="L691" s="45"/>
      <c r="N691" s="23"/>
      <c r="P691" s="45"/>
      <c r="R691" s="23"/>
      <c r="T691" s="60"/>
      <c r="V691" s="60"/>
    </row>
    <row r="692" spans="1:22" ht="13.8" thickBot="1">
      <c r="A692" s="23"/>
      <c r="B692" s="23"/>
      <c r="D692" s="23"/>
      <c r="F692" s="23"/>
      <c r="H692" s="45"/>
      <c r="J692" s="23"/>
      <c r="L692" s="45"/>
      <c r="N692" s="23"/>
      <c r="P692" s="45"/>
      <c r="R692" s="23"/>
      <c r="T692" s="60"/>
      <c r="V692" s="60"/>
    </row>
    <row r="693" spans="1:22" ht="13.8" thickBot="1">
      <c r="A693" s="23"/>
      <c r="B693" s="23"/>
      <c r="D693" s="23"/>
      <c r="F693" s="23"/>
      <c r="H693" s="45"/>
      <c r="J693" s="23"/>
      <c r="L693" s="45"/>
      <c r="N693" s="23"/>
      <c r="P693" s="45"/>
      <c r="R693" s="23"/>
      <c r="T693" s="60"/>
      <c r="V693" s="60"/>
    </row>
    <row r="694" spans="1:22" ht="13.8" thickBot="1">
      <c r="A694" s="23"/>
      <c r="B694" s="23"/>
      <c r="D694" s="23"/>
      <c r="F694" s="23"/>
      <c r="H694" s="45"/>
      <c r="J694" s="23"/>
      <c r="L694" s="45"/>
      <c r="N694" s="23"/>
      <c r="P694" s="45"/>
      <c r="R694" s="23"/>
      <c r="T694" s="60"/>
      <c r="V694" s="60"/>
    </row>
    <row r="695" spans="1:22" ht="13.8" thickBot="1">
      <c r="A695" s="23"/>
      <c r="B695" s="23"/>
      <c r="D695" s="23"/>
      <c r="F695" s="23"/>
      <c r="H695" s="45"/>
      <c r="J695" s="23"/>
      <c r="L695" s="45"/>
      <c r="N695" s="23"/>
      <c r="P695" s="45"/>
      <c r="R695" s="23"/>
      <c r="T695" s="60"/>
      <c r="V695" s="60"/>
    </row>
    <row r="696" spans="1:22" ht="13.8" thickBot="1">
      <c r="A696" s="23"/>
      <c r="B696" s="23"/>
      <c r="D696" s="23"/>
      <c r="F696" s="23"/>
      <c r="H696" s="45"/>
      <c r="J696" s="23"/>
      <c r="L696" s="45"/>
      <c r="N696" s="23"/>
      <c r="P696" s="45"/>
      <c r="R696" s="23"/>
      <c r="T696" s="60"/>
      <c r="V696" s="60"/>
    </row>
    <row r="697" spans="1:22" ht="13.8" thickBot="1">
      <c r="A697" s="23"/>
      <c r="B697" s="23"/>
      <c r="D697" s="23"/>
      <c r="F697" s="23"/>
      <c r="H697" s="45"/>
      <c r="J697" s="23"/>
      <c r="L697" s="45"/>
      <c r="N697" s="23"/>
      <c r="P697" s="45"/>
      <c r="R697" s="23"/>
      <c r="T697" s="60"/>
      <c r="V697" s="60"/>
    </row>
    <row r="698" spans="1:22" ht="13.8" thickBot="1">
      <c r="A698" s="23"/>
      <c r="B698" s="23"/>
      <c r="D698" s="23"/>
      <c r="F698" s="23"/>
      <c r="H698" s="45"/>
      <c r="J698" s="23"/>
      <c r="L698" s="45"/>
      <c r="N698" s="23"/>
      <c r="P698" s="45"/>
      <c r="R698" s="23"/>
      <c r="T698" s="60"/>
      <c r="V698" s="60"/>
    </row>
    <row r="699" spans="1:22" ht="13.8" thickBot="1">
      <c r="A699" s="23"/>
      <c r="B699" s="23"/>
      <c r="D699" s="23"/>
      <c r="F699" s="23"/>
      <c r="H699" s="45"/>
      <c r="J699" s="23"/>
      <c r="L699" s="45"/>
      <c r="N699" s="23"/>
      <c r="P699" s="45"/>
      <c r="R699" s="23"/>
      <c r="T699" s="60"/>
      <c r="V699" s="60"/>
    </row>
    <row r="700" spans="1:22" ht="13.8" thickBot="1">
      <c r="A700" s="23"/>
      <c r="B700" s="23"/>
      <c r="D700" s="23"/>
      <c r="F700" s="23"/>
      <c r="H700" s="45"/>
      <c r="J700" s="23"/>
      <c r="L700" s="45"/>
      <c r="N700" s="23"/>
      <c r="P700" s="45"/>
      <c r="R700" s="23"/>
      <c r="T700" s="60"/>
      <c r="V700" s="60"/>
    </row>
    <row r="701" spans="1:22" ht="13.8" thickBot="1">
      <c r="A701" s="23"/>
      <c r="B701" s="23"/>
      <c r="D701" s="23"/>
      <c r="F701" s="23"/>
      <c r="H701" s="45"/>
      <c r="J701" s="23"/>
      <c r="L701" s="45"/>
      <c r="N701" s="23"/>
      <c r="P701" s="45"/>
      <c r="R701" s="23"/>
      <c r="T701" s="60"/>
      <c r="V701" s="60"/>
    </row>
    <row r="702" spans="1:22" ht="13.8" thickBot="1">
      <c r="A702" s="23"/>
      <c r="B702" s="23"/>
      <c r="D702" s="23"/>
      <c r="F702" s="23"/>
      <c r="H702" s="45"/>
      <c r="J702" s="23"/>
      <c r="L702" s="45"/>
      <c r="N702" s="23"/>
      <c r="P702" s="45"/>
      <c r="R702" s="23"/>
      <c r="T702" s="60"/>
      <c r="V702" s="60"/>
    </row>
    <row r="703" spans="1:22" ht="13.8" thickBot="1">
      <c r="A703" s="23"/>
      <c r="B703" s="23"/>
      <c r="D703" s="23"/>
      <c r="F703" s="23"/>
      <c r="H703" s="45"/>
      <c r="J703" s="23"/>
      <c r="L703" s="45"/>
      <c r="N703" s="23"/>
      <c r="P703" s="45"/>
      <c r="R703" s="23"/>
      <c r="T703" s="60"/>
      <c r="V703" s="60"/>
    </row>
    <row r="704" spans="1:22" ht="13.8" thickBot="1">
      <c r="A704" s="23"/>
      <c r="B704" s="23"/>
      <c r="D704" s="23"/>
      <c r="F704" s="23"/>
      <c r="H704" s="45"/>
      <c r="J704" s="23"/>
      <c r="L704" s="45"/>
      <c r="N704" s="23"/>
      <c r="P704" s="45"/>
      <c r="R704" s="23"/>
      <c r="T704" s="60"/>
      <c r="V704" s="60"/>
    </row>
    <row r="705" spans="1:22" ht="13.8" thickBot="1">
      <c r="A705" s="23"/>
      <c r="B705" s="23"/>
      <c r="D705" s="23"/>
      <c r="F705" s="23"/>
      <c r="H705" s="45"/>
      <c r="J705" s="23"/>
      <c r="L705" s="45"/>
      <c r="N705" s="23"/>
      <c r="P705" s="45"/>
      <c r="R705" s="23"/>
      <c r="T705" s="60"/>
      <c r="V705" s="60"/>
    </row>
    <row r="706" spans="1:22" ht="13.8" thickBot="1">
      <c r="A706" s="23"/>
      <c r="B706" s="23"/>
      <c r="D706" s="23"/>
      <c r="F706" s="23"/>
      <c r="H706" s="45"/>
      <c r="J706" s="23"/>
      <c r="L706" s="45"/>
      <c r="N706" s="23"/>
      <c r="P706" s="45"/>
      <c r="R706" s="23"/>
      <c r="T706" s="60"/>
      <c r="V706" s="60"/>
    </row>
    <row r="707" spans="1:22" ht="13.8" thickBot="1">
      <c r="A707" s="23"/>
      <c r="B707" s="23"/>
      <c r="D707" s="23"/>
      <c r="F707" s="23"/>
      <c r="H707" s="45"/>
      <c r="J707" s="23"/>
      <c r="L707" s="45"/>
      <c r="N707" s="23"/>
      <c r="P707" s="45"/>
      <c r="R707" s="23"/>
      <c r="T707" s="60"/>
      <c r="V707" s="60"/>
    </row>
    <row r="708" spans="1:22" ht="13.8" thickBot="1">
      <c r="A708" s="23"/>
      <c r="B708" s="23"/>
      <c r="D708" s="23"/>
      <c r="F708" s="23"/>
      <c r="H708" s="45"/>
      <c r="J708" s="23"/>
      <c r="L708" s="45"/>
      <c r="N708" s="23"/>
      <c r="P708" s="45"/>
      <c r="R708" s="23"/>
      <c r="T708" s="60"/>
      <c r="V708" s="60"/>
    </row>
    <row r="709" spans="1:22" ht="13.8" thickBot="1">
      <c r="A709" s="23"/>
      <c r="B709" s="23"/>
      <c r="D709" s="23"/>
      <c r="F709" s="23"/>
      <c r="H709" s="45"/>
      <c r="J709" s="23"/>
      <c r="L709" s="45"/>
      <c r="N709" s="23"/>
      <c r="P709" s="45"/>
      <c r="R709" s="23"/>
      <c r="T709" s="60"/>
      <c r="V709" s="60"/>
    </row>
    <row r="710" spans="1:22" ht="13.8" thickBot="1">
      <c r="A710" s="23"/>
      <c r="B710" s="23"/>
      <c r="D710" s="23"/>
      <c r="F710" s="23"/>
      <c r="H710" s="45"/>
      <c r="J710" s="23"/>
      <c r="L710" s="45"/>
      <c r="N710" s="23"/>
      <c r="P710" s="45"/>
      <c r="R710" s="23"/>
      <c r="T710" s="60"/>
      <c r="V710" s="60"/>
    </row>
    <row r="711" spans="1:22" ht="13.8" thickBot="1">
      <c r="A711" s="23"/>
      <c r="B711" s="23"/>
      <c r="D711" s="23"/>
      <c r="F711" s="23"/>
      <c r="H711" s="45"/>
      <c r="J711" s="23"/>
      <c r="L711" s="45"/>
      <c r="N711" s="23"/>
      <c r="P711" s="45"/>
      <c r="R711" s="23"/>
      <c r="T711" s="60"/>
      <c r="V711" s="60"/>
    </row>
    <row r="712" spans="1:22" ht="13.8" thickBot="1">
      <c r="A712" s="23"/>
      <c r="B712" s="23"/>
      <c r="D712" s="23"/>
      <c r="F712" s="23"/>
      <c r="H712" s="45"/>
      <c r="J712" s="23"/>
      <c r="L712" s="45"/>
      <c r="N712" s="23"/>
      <c r="P712" s="45"/>
      <c r="R712" s="23"/>
      <c r="T712" s="60"/>
      <c r="V712" s="60"/>
    </row>
    <row r="713" spans="1:22" ht="13.8" thickBot="1">
      <c r="A713" s="23"/>
      <c r="B713" s="23"/>
      <c r="D713" s="23"/>
      <c r="F713" s="23"/>
      <c r="H713" s="45"/>
      <c r="J713" s="23"/>
      <c r="L713" s="45"/>
      <c r="N713" s="23"/>
      <c r="P713" s="45"/>
      <c r="R713" s="23"/>
      <c r="T713" s="60"/>
      <c r="V713" s="60"/>
    </row>
    <row r="714" spans="1:22" ht="13.8" thickBot="1">
      <c r="A714" s="23"/>
      <c r="B714" s="23"/>
      <c r="D714" s="23"/>
      <c r="F714" s="23"/>
      <c r="H714" s="45"/>
      <c r="J714" s="23"/>
      <c r="L714" s="45"/>
      <c r="N714" s="23"/>
      <c r="P714" s="45"/>
      <c r="R714" s="23"/>
      <c r="T714" s="60"/>
      <c r="V714" s="60"/>
    </row>
    <row r="715" spans="1:22" ht="13.8" thickBot="1">
      <c r="A715" s="23"/>
      <c r="B715" s="23"/>
      <c r="D715" s="23"/>
      <c r="F715" s="23"/>
      <c r="H715" s="45"/>
      <c r="J715" s="23"/>
      <c r="L715" s="45"/>
      <c r="N715" s="23"/>
      <c r="P715" s="45"/>
      <c r="R715" s="23"/>
      <c r="T715" s="60"/>
      <c r="V715" s="60"/>
    </row>
    <row r="716" spans="1:22" ht="13.8" thickBot="1">
      <c r="A716" s="23"/>
      <c r="B716" s="23"/>
      <c r="D716" s="23"/>
      <c r="F716" s="23"/>
      <c r="H716" s="45"/>
      <c r="J716" s="23"/>
      <c r="L716" s="45"/>
      <c r="N716" s="23"/>
      <c r="P716" s="45"/>
      <c r="R716" s="23"/>
      <c r="T716" s="60"/>
      <c r="V716" s="60"/>
    </row>
    <row r="717" spans="1:22" ht="13.8" thickBot="1">
      <c r="A717" s="23"/>
      <c r="B717" s="23"/>
      <c r="D717" s="23"/>
      <c r="F717" s="23"/>
      <c r="H717" s="45"/>
      <c r="J717" s="23"/>
      <c r="L717" s="45"/>
      <c r="N717" s="23"/>
      <c r="P717" s="45"/>
      <c r="R717" s="23"/>
      <c r="T717" s="60"/>
      <c r="V717" s="60"/>
    </row>
    <row r="718" spans="1:22" ht="13.8" thickBot="1">
      <c r="A718" s="23"/>
      <c r="B718" s="23"/>
      <c r="D718" s="23"/>
      <c r="F718" s="23"/>
      <c r="H718" s="45"/>
      <c r="J718" s="23"/>
      <c r="L718" s="45"/>
      <c r="N718" s="23"/>
      <c r="P718" s="45"/>
      <c r="R718" s="23"/>
      <c r="T718" s="60"/>
      <c r="V718" s="60"/>
    </row>
    <row r="719" spans="1:22" ht="13.8" thickBot="1">
      <c r="A719" s="23"/>
      <c r="B719" s="23"/>
      <c r="D719" s="23"/>
      <c r="F719" s="23"/>
      <c r="H719" s="45"/>
      <c r="J719" s="23"/>
      <c r="L719" s="45"/>
      <c r="N719" s="23"/>
      <c r="P719" s="45"/>
      <c r="R719" s="23"/>
      <c r="T719" s="60"/>
      <c r="V719" s="60"/>
    </row>
    <row r="720" spans="1:22" ht="13.8" thickBot="1">
      <c r="A720" s="23"/>
      <c r="B720" s="23"/>
      <c r="D720" s="23"/>
      <c r="F720" s="23"/>
      <c r="H720" s="45"/>
      <c r="J720" s="23"/>
      <c r="L720" s="45"/>
      <c r="N720" s="23"/>
      <c r="P720" s="45"/>
      <c r="R720" s="23"/>
      <c r="T720" s="60"/>
      <c r="V720" s="60"/>
    </row>
    <row r="721" spans="1:22" ht="13.8" thickBot="1">
      <c r="A721" s="23"/>
      <c r="B721" s="23"/>
      <c r="D721" s="23"/>
      <c r="F721" s="23"/>
      <c r="H721" s="45"/>
      <c r="J721" s="23"/>
      <c r="L721" s="45"/>
      <c r="N721" s="23"/>
      <c r="P721" s="45"/>
      <c r="R721" s="23"/>
      <c r="T721" s="60"/>
      <c r="V721" s="60"/>
    </row>
    <row r="722" spans="1:22" ht="13.8" thickBot="1">
      <c r="A722" s="23"/>
      <c r="B722" s="23"/>
      <c r="D722" s="23"/>
      <c r="F722" s="23"/>
      <c r="H722" s="45"/>
      <c r="J722" s="23"/>
      <c r="L722" s="45"/>
      <c r="N722" s="23"/>
      <c r="P722" s="45"/>
      <c r="R722" s="23"/>
      <c r="T722" s="60"/>
      <c r="V722" s="60"/>
    </row>
    <row r="723" spans="1:22" ht="13.8" thickBot="1">
      <c r="A723" s="23"/>
      <c r="B723" s="23"/>
      <c r="D723" s="23"/>
      <c r="F723" s="23"/>
      <c r="H723" s="45"/>
      <c r="J723" s="23"/>
      <c r="L723" s="45"/>
      <c r="N723" s="23"/>
      <c r="P723" s="45"/>
      <c r="R723" s="23"/>
      <c r="T723" s="60"/>
      <c r="V723" s="60"/>
    </row>
    <row r="724" spans="1:22" ht="13.8" thickBot="1">
      <c r="A724" s="23"/>
      <c r="B724" s="23"/>
      <c r="D724" s="23"/>
      <c r="F724" s="23"/>
      <c r="H724" s="45"/>
      <c r="J724" s="23"/>
      <c r="L724" s="45"/>
      <c r="N724" s="23"/>
      <c r="P724" s="45"/>
      <c r="R724" s="23"/>
      <c r="T724" s="60"/>
      <c r="V724" s="60"/>
    </row>
    <row r="725" spans="1:22" ht="13.8" thickBot="1">
      <c r="A725" s="23"/>
      <c r="B725" s="23"/>
      <c r="D725" s="23"/>
      <c r="F725" s="23"/>
      <c r="H725" s="45"/>
      <c r="J725" s="23"/>
      <c r="L725" s="45"/>
      <c r="N725" s="23"/>
      <c r="P725" s="45"/>
      <c r="R725" s="23"/>
      <c r="T725" s="60"/>
      <c r="V725" s="60"/>
    </row>
    <row r="726" spans="1:22" ht="13.8" thickBot="1">
      <c r="A726" s="23"/>
      <c r="B726" s="23"/>
      <c r="D726" s="23"/>
      <c r="F726" s="23"/>
      <c r="H726" s="45"/>
      <c r="J726" s="23"/>
      <c r="L726" s="45"/>
      <c r="N726" s="23"/>
      <c r="P726" s="45"/>
      <c r="R726" s="23"/>
      <c r="T726" s="60"/>
      <c r="V726" s="60"/>
    </row>
    <row r="727" spans="1:22" ht="13.8" thickBot="1">
      <c r="A727" s="23"/>
      <c r="B727" s="23"/>
      <c r="D727" s="23"/>
      <c r="F727" s="23"/>
      <c r="H727" s="45"/>
      <c r="J727" s="23"/>
      <c r="L727" s="45"/>
      <c r="N727" s="23"/>
      <c r="P727" s="45"/>
      <c r="R727" s="23"/>
      <c r="T727" s="60"/>
      <c r="V727" s="60"/>
    </row>
    <row r="728" spans="1:22" ht="13.8" thickBot="1">
      <c r="A728" s="23"/>
      <c r="B728" s="23"/>
      <c r="D728" s="23"/>
      <c r="F728" s="23"/>
      <c r="H728" s="45"/>
      <c r="J728" s="23"/>
      <c r="L728" s="45"/>
      <c r="N728" s="23"/>
      <c r="P728" s="45"/>
      <c r="R728" s="23"/>
      <c r="T728" s="60"/>
      <c r="V728" s="60"/>
    </row>
    <row r="729" spans="1:22" ht="13.8" thickBot="1">
      <c r="A729" s="23"/>
      <c r="B729" s="23"/>
      <c r="D729" s="23"/>
      <c r="F729" s="23"/>
      <c r="H729" s="45"/>
      <c r="J729" s="23"/>
      <c r="L729" s="45"/>
      <c r="N729" s="23"/>
      <c r="P729" s="45"/>
      <c r="R729" s="23"/>
      <c r="T729" s="60"/>
      <c r="V729" s="60"/>
    </row>
    <row r="730" spans="1:22" ht="13.8" thickBot="1">
      <c r="A730" s="23"/>
      <c r="B730" s="23"/>
      <c r="D730" s="23"/>
      <c r="F730" s="23"/>
      <c r="H730" s="45"/>
      <c r="J730" s="23"/>
      <c r="L730" s="45"/>
      <c r="N730" s="23"/>
      <c r="P730" s="45"/>
      <c r="R730" s="23"/>
      <c r="T730" s="60"/>
      <c r="V730" s="60"/>
    </row>
    <row r="731" spans="1:22" ht="13.8" thickBot="1">
      <c r="A731" s="23"/>
      <c r="B731" s="23"/>
      <c r="D731" s="23"/>
      <c r="F731" s="23"/>
      <c r="H731" s="45"/>
      <c r="J731" s="23"/>
      <c r="L731" s="45"/>
      <c r="N731" s="23"/>
      <c r="P731" s="45"/>
      <c r="R731" s="23"/>
      <c r="T731" s="60"/>
      <c r="V731" s="60"/>
    </row>
    <row r="732" spans="1:22" ht="13.8" thickBot="1">
      <c r="A732" s="23"/>
      <c r="B732" s="23"/>
      <c r="D732" s="23"/>
      <c r="F732" s="23"/>
      <c r="H732" s="45"/>
      <c r="J732" s="23"/>
      <c r="L732" s="45"/>
      <c r="N732" s="23"/>
      <c r="P732" s="45"/>
      <c r="R732" s="23"/>
      <c r="T732" s="60"/>
      <c r="V732" s="60"/>
    </row>
    <row r="733" spans="1:22" ht="13.8" thickBot="1">
      <c r="A733" s="23"/>
      <c r="B733" s="23"/>
      <c r="D733" s="23"/>
      <c r="F733" s="23"/>
      <c r="H733" s="45"/>
      <c r="J733" s="23"/>
      <c r="L733" s="45"/>
      <c r="N733" s="23"/>
      <c r="P733" s="45"/>
      <c r="R733" s="23"/>
      <c r="T733" s="60"/>
      <c r="V733" s="60"/>
    </row>
    <row r="734" spans="1:22" ht="13.8" thickBot="1">
      <c r="A734" s="23"/>
      <c r="B734" s="23"/>
      <c r="D734" s="23"/>
      <c r="F734" s="23"/>
      <c r="H734" s="45"/>
      <c r="J734" s="23"/>
      <c r="L734" s="45"/>
      <c r="N734" s="23"/>
      <c r="P734" s="45"/>
      <c r="R734" s="23"/>
      <c r="T734" s="60"/>
      <c r="V734" s="60"/>
    </row>
    <row r="735" spans="1:22" ht="13.8" thickBot="1">
      <c r="A735" s="23"/>
      <c r="B735" s="23"/>
      <c r="D735" s="23"/>
      <c r="F735" s="23"/>
      <c r="H735" s="45"/>
      <c r="J735" s="23"/>
      <c r="L735" s="45"/>
      <c r="N735" s="23"/>
      <c r="P735" s="45"/>
      <c r="R735" s="23"/>
      <c r="T735" s="60"/>
      <c r="V735" s="60"/>
    </row>
    <row r="736" spans="1:22" ht="13.8" thickBot="1">
      <c r="A736" s="23"/>
      <c r="B736" s="23"/>
      <c r="D736" s="23"/>
      <c r="F736" s="23"/>
      <c r="H736" s="45"/>
      <c r="J736" s="23"/>
      <c r="L736" s="45"/>
      <c r="N736" s="23"/>
      <c r="P736" s="45"/>
      <c r="R736" s="23"/>
      <c r="T736" s="60"/>
      <c r="V736" s="60"/>
    </row>
    <row r="737" spans="1:22" ht="13.8" thickBot="1">
      <c r="A737" s="23"/>
      <c r="B737" s="23"/>
      <c r="D737" s="23"/>
      <c r="F737" s="23"/>
      <c r="H737" s="45"/>
      <c r="J737" s="23"/>
      <c r="L737" s="45"/>
      <c r="N737" s="23"/>
      <c r="P737" s="45"/>
      <c r="R737" s="23"/>
      <c r="T737" s="60"/>
      <c r="V737" s="60"/>
    </row>
    <row r="738" spans="1:22" ht="13.8" thickBot="1">
      <c r="A738" s="23"/>
      <c r="B738" s="23"/>
      <c r="D738" s="23"/>
      <c r="F738" s="23"/>
      <c r="H738" s="45"/>
      <c r="J738" s="23"/>
      <c r="L738" s="45"/>
      <c r="N738" s="23"/>
      <c r="P738" s="45"/>
      <c r="R738" s="23"/>
      <c r="T738" s="60"/>
      <c r="V738" s="60"/>
    </row>
    <row r="739" spans="1:22" ht="13.8" thickBot="1">
      <c r="A739" s="23"/>
      <c r="B739" s="23"/>
      <c r="D739" s="23"/>
      <c r="F739" s="23"/>
      <c r="H739" s="45"/>
      <c r="J739" s="23"/>
      <c r="L739" s="45"/>
      <c r="N739" s="23"/>
      <c r="P739" s="45"/>
      <c r="R739" s="23"/>
      <c r="T739" s="60"/>
      <c r="V739" s="60"/>
    </row>
    <row r="740" spans="1:22" ht="13.8" thickBot="1">
      <c r="A740" s="23"/>
      <c r="B740" s="23"/>
      <c r="D740" s="23"/>
      <c r="F740" s="23"/>
      <c r="H740" s="45"/>
      <c r="J740" s="23"/>
      <c r="L740" s="45"/>
      <c r="N740" s="23"/>
      <c r="P740" s="45"/>
      <c r="R740" s="23"/>
      <c r="T740" s="60"/>
      <c r="V740" s="60"/>
    </row>
    <row r="741" spans="1:22" ht="13.8" thickBot="1">
      <c r="A741" s="23"/>
      <c r="B741" s="23"/>
      <c r="D741" s="23"/>
      <c r="F741" s="23"/>
      <c r="H741" s="45"/>
      <c r="J741" s="23"/>
      <c r="L741" s="45"/>
      <c r="N741" s="23"/>
      <c r="P741" s="45"/>
      <c r="R741" s="23"/>
      <c r="T741" s="60"/>
      <c r="V741" s="60"/>
    </row>
    <row r="742" spans="1:22" ht="13.8" thickBot="1">
      <c r="A742" s="23"/>
      <c r="B742" s="23"/>
      <c r="D742" s="23"/>
      <c r="F742" s="23"/>
      <c r="H742" s="45"/>
      <c r="J742" s="23"/>
      <c r="L742" s="45"/>
      <c r="N742" s="23"/>
      <c r="P742" s="45"/>
      <c r="R742" s="23"/>
      <c r="T742" s="60"/>
      <c r="V742" s="60"/>
    </row>
    <row r="743" spans="1:22" ht="13.8" thickBot="1">
      <c r="A743" s="23"/>
      <c r="B743" s="23"/>
      <c r="D743" s="23"/>
      <c r="F743" s="23"/>
      <c r="H743" s="45"/>
      <c r="J743" s="23"/>
      <c r="L743" s="45"/>
      <c r="N743" s="23"/>
      <c r="P743" s="45"/>
      <c r="R743" s="23"/>
      <c r="T743" s="60"/>
      <c r="V743" s="60"/>
    </row>
    <row r="744" spans="1:22" ht="13.8" thickBot="1">
      <c r="A744" s="23"/>
      <c r="B744" s="23"/>
      <c r="D744" s="23"/>
      <c r="F744" s="23"/>
      <c r="H744" s="45"/>
      <c r="J744" s="23"/>
      <c r="L744" s="45"/>
      <c r="N744" s="23"/>
      <c r="P744" s="45"/>
      <c r="R744" s="23"/>
      <c r="T744" s="60"/>
      <c r="V744" s="60"/>
    </row>
    <row r="745" spans="1:22" ht="13.8" thickBot="1">
      <c r="A745" s="23"/>
      <c r="B745" s="23"/>
      <c r="D745" s="23"/>
      <c r="F745" s="23"/>
      <c r="H745" s="45"/>
      <c r="J745" s="23"/>
      <c r="L745" s="45"/>
      <c r="N745" s="23"/>
      <c r="P745" s="45"/>
      <c r="R745" s="23"/>
      <c r="T745" s="60"/>
      <c r="V745" s="60"/>
    </row>
    <row r="746" spans="1:22" ht="13.8" thickBot="1">
      <c r="A746" s="23"/>
      <c r="B746" s="23"/>
      <c r="D746" s="23"/>
      <c r="F746" s="23"/>
      <c r="H746" s="45"/>
      <c r="J746" s="23"/>
      <c r="L746" s="45"/>
      <c r="N746" s="23"/>
      <c r="P746" s="45"/>
      <c r="R746" s="23"/>
      <c r="T746" s="60"/>
      <c r="V746" s="60"/>
    </row>
    <row r="747" spans="1:22" ht="13.8" thickBot="1">
      <c r="A747" s="23"/>
      <c r="B747" s="23"/>
      <c r="D747" s="23"/>
      <c r="F747" s="23"/>
      <c r="H747" s="45"/>
      <c r="J747" s="23"/>
      <c r="L747" s="45"/>
      <c r="N747" s="23"/>
      <c r="P747" s="45"/>
      <c r="R747" s="23"/>
      <c r="T747" s="60"/>
      <c r="V747" s="60"/>
    </row>
    <row r="748" spans="1:22" ht="13.8" thickBot="1">
      <c r="A748" s="23"/>
      <c r="B748" s="23"/>
      <c r="D748" s="23"/>
      <c r="F748" s="23"/>
      <c r="H748" s="45"/>
      <c r="J748" s="23"/>
      <c r="L748" s="45"/>
      <c r="N748" s="23"/>
      <c r="P748" s="45"/>
      <c r="R748" s="23"/>
      <c r="T748" s="60"/>
      <c r="V748" s="60"/>
    </row>
    <row r="749" spans="1:22" ht="13.8" thickBot="1">
      <c r="A749" s="23"/>
      <c r="B749" s="23"/>
      <c r="D749" s="23"/>
      <c r="F749" s="23"/>
      <c r="H749" s="45"/>
      <c r="J749" s="23"/>
      <c r="L749" s="45"/>
      <c r="N749" s="23"/>
      <c r="P749" s="45"/>
      <c r="R749" s="23"/>
      <c r="T749" s="60"/>
      <c r="V749" s="60"/>
    </row>
    <row r="750" spans="1:22" ht="13.8" thickBot="1">
      <c r="A750" s="23"/>
      <c r="B750" s="23"/>
      <c r="D750" s="23"/>
      <c r="F750" s="23"/>
      <c r="H750" s="45"/>
      <c r="J750" s="23"/>
      <c r="L750" s="45"/>
      <c r="N750" s="23"/>
      <c r="P750" s="45"/>
      <c r="R750" s="23"/>
      <c r="T750" s="60"/>
      <c r="V750" s="60"/>
    </row>
    <row r="751" spans="1:22" ht="13.8" thickBot="1">
      <c r="A751" s="23"/>
      <c r="B751" s="23"/>
      <c r="D751" s="23"/>
      <c r="F751" s="23"/>
      <c r="H751" s="45"/>
      <c r="J751" s="23"/>
      <c r="L751" s="45"/>
      <c r="N751" s="23"/>
      <c r="P751" s="45"/>
      <c r="R751" s="23"/>
      <c r="T751" s="60"/>
      <c r="V751" s="60"/>
    </row>
    <row r="752" spans="1:22" ht="13.8" thickBot="1">
      <c r="A752" s="23"/>
      <c r="B752" s="23"/>
      <c r="D752" s="23"/>
      <c r="F752" s="23"/>
      <c r="H752" s="45"/>
      <c r="J752" s="23"/>
      <c r="L752" s="45"/>
      <c r="N752" s="23"/>
      <c r="P752" s="45"/>
      <c r="R752" s="23"/>
      <c r="T752" s="60"/>
      <c r="V752" s="60"/>
    </row>
    <row r="753" spans="1:22" ht="13.8" thickBot="1">
      <c r="A753" s="23"/>
      <c r="B753" s="23"/>
      <c r="D753" s="23"/>
      <c r="F753" s="23"/>
      <c r="H753" s="45"/>
      <c r="J753" s="23"/>
      <c r="L753" s="45"/>
      <c r="N753" s="23"/>
      <c r="P753" s="45"/>
      <c r="R753" s="23"/>
      <c r="T753" s="60"/>
      <c r="V753" s="60"/>
    </row>
    <row r="754" spans="1:22" ht="13.8" thickBot="1">
      <c r="A754" s="23"/>
      <c r="B754" s="23"/>
      <c r="D754" s="23"/>
      <c r="F754" s="23"/>
      <c r="H754" s="45"/>
      <c r="J754" s="23"/>
      <c r="L754" s="45"/>
      <c r="N754" s="23"/>
      <c r="P754" s="45"/>
      <c r="R754" s="23"/>
      <c r="T754" s="60"/>
      <c r="V754" s="60"/>
    </row>
    <row r="755" spans="1:22" ht="13.8" thickBot="1">
      <c r="A755" s="23"/>
      <c r="B755" s="23"/>
      <c r="D755" s="23"/>
      <c r="F755" s="23"/>
      <c r="H755" s="45"/>
      <c r="J755" s="23"/>
      <c r="L755" s="45"/>
      <c r="N755" s="23"/>
      <c r="P755" s="45"/>
      <c r="R755" s="23"/>
      <c r="T755" s="60"/>
      <c r="V755" s="60"/>
    </row>
    <row r="756" spans="1:22" ht="13.8" thickBot="1">
      <c r="A756" s="23"/>
      <c r="B756" s="23"/>
      <c r="D756" s="23"/>
      <c r="F756" s="23"/>
      <c r="H756" s="45"/>
      <c r="J756" s="23"/>
      <c r="L756" s="45"/>
      <c r="N756" s="23"/>
      <c r="P756" s="45"/>
      <c r="R756" s="23"/>
      <c r="T756" s="60"/>
      <c r="V756" s="60"/>
    </row>
    <row r="757" spans="1:22" ht="13.8" thickBot="1">
      <c r="A757" s="23"/>
      <c r="B757" s="23"/>
      <c r="D757" s="23"/>
      <c r="F757" s="23"/>
      <c r="H757" s="45"/>
      <c r="J757" s="23"/>
      <c r="L757" s="45"/>
      <c r="N757" s="23"/>
      <c r="P757" s="45"/>
      <c r="R757" s="23"/>
      <c r="T757" s="60"/>
      <c r="V757" s="60"/>
    </row>
    <row r="758" spans="1:22" ht="13.8" thickBot="1">
      <c r="A758" s="23"/>
      <c r="B758" s="23"/>
      <c r="D758" s="23"/>
      <c r="F758" s="23"/>
      <c r="H758" s="45"/>
      <c r="J758" s="23"/>
      <c r="L758" s="45"/>
      <c r="N758" s="23"/>
      <c r="P758" s="45"/>
      <c r="R758" s="23"/>
      <c r="T758" s="60"/>
      <c r="V758" s="60"/>
    </row>
    <row r="759" spans="1:22" ht="13.8" thickBot="1">
      <c r="A759" s="23"/>
      <c r="B759" s="23"/>
      <c r="D759" s="23"/>
      <c r="F759" s="23"/>
      <c r="H759" s="45"/>
      <c r="J759" s="23"/>
      <c r="L759" s="45"/>
      <c r="N759" s="23"/>
      <c r="P759" s="45"/>
      <c r="R759" s="23"/>
      <c r="T759" s="60"/>
      <c r="V759" s="60"/>
    </row>
    <row r="760" spans="1:22" ht="13.8" thickBot="1">
      <c r="A760" s="23"/>
      <c r="B760" s="23"/>
      <c r="D760" s="23"/>
      <c r="F760" s="23"/>
      <c r="H760" s="45"/>
      <c r="J760" s="23"/>
      <c r="L760" s="45"/>
      <c r="N760" s="23"/>
      <c r="P760" s="45"/>
      <c r="R760" s="23"/>
      <c r="T760" s="60"/>
      <c r="V760" s="60"/>
    </row>
    <row r="761" spans="1:22" ht="13.8" thickBot="1">
      <c r="A761" s="23"/>
      <c r="B761" s="23"/>
      <c r="D761" s="23"/>
      <c r="F761" s="23"/>
      <c r="H761" s="45"/>
      <c r="J761" s="23"/>
      <c r="L761" s="45"/>
      <c r="N761" s="23"/>
      <c r="P761" s="45"/>
      <c r="R761" s="23"/>
      <c r="T761" s="60"/>
      <c r="V761" s="60"/>
    </row>
    <row r="762" spans="1:22" ht="13.8" thickBot="1">
      <c r="A762" s="23"/>
      <c r="B762" s="23"/>
      <c r="D762" s="23"/>
      <c r="F762" s="23"/>
      <c r="H762" s="45"/>
      <c r="J762" s="23"/>
      <c r="L762" s="45"/>
      <c r="N762" s="23"/>
      <c r="P762" s="45"/>
      <c r="R762" s="23"/>
      <c r="T762" s="60"/>
      <c r="V762" s="60"/>
    </row>
    <row r="763" spans="1:22" ht="13.8" thickBot="1">
      <c r="A763" s="23"/>
      <c r="B763" s="23"/>
      <c r="D763" s="23"/>
      <c r="F763" s="23"/>
      <c r="H763" s="45"/>
      <c r="J763" s="23"/>
      <c r="L763" s="45"/>
      <c r="N763" s="23"/>
      <c r="P763" s="45"/>
      <c r="R763" s="23"/>
      <c r="T763" s="60"/>
      <c r="V763" s="60"/>
    </row>
    <row r="764" spans="1:22" ht="13.8" thickBot="1">
      <c r="A764" s="23"/>
      <c r="B764" s="23"/>
      <c r="D764" s="23"/>
      <c r="F764" s="23"/>
      <c r="H764" s="45"/>
      <c r="J764" s="23"/>
      <c r="L764" s="45"/>
      <c r="N764" s="23"/>
      <c r="P764" s="45"/>
      <c r="R764" s="23"/>
      <c r="T764" s="60"/>
      <c r="V764" s="60"/>
    </row>
    <row r="765" spans="1:22" ht="13.8" thickBot="1">
      <c r="A765" s="23"/>
      <c r="B765" s="23"/>
      <c r="D765" s="23"/>
      <c r="F765" s="23"/>
      <c r="H765" s="45"/>
      <c r="J765" s="23"/>
      <c r="L765" s="45"/>
      <c r="N765" s="23"/>
      <c r="P765" s="45"/>
      <c r="R765" s="23"/>
      <c r="T765" s="60"/>
      <c r="V765" s="60"/>
    </row>
    <row r="766" spans="1:22" ht="13.8" thickBot="1">
      <c r="A766" s="23"/>
      <c r="B766" s="23"/>
      <c r="D766" s="23"/>
      <c r="F766" s="23"/>
      <c r="H766" s="45"/>
      <c r="J766" s="23"/>
      <c r="L766" s="45"/>
      <c r="N766" s="23"/>
      <c r="P766" s="45"/>
      <c r="R766" s="23"/>
      <c r="T766" s="60"/>
      <c r="V766" s="60"/>
    </row>
    <row r="767" spans="1:22" ht="13.8" thickBot="1">
      <c r="A767" s="23"/>
      <c r="B767" s="23"/>
      <c r="D767" s="23"/>
      <c r="F767" s="23"/>
      <c r="H767" s="45"/>
      <c r="J767" s="23"/>
      <c r="L767" s="45"/>
      <c r="N767" s="23"/>
      <c r="P767" s="45"/>
      <c r="R767" s="23"/>
      <c r="T767" s="60"/>
      <c r="V767" s="60"/>
    </row>
    <row r="768" spans="1:22" ht="13.8" thickBot="1">
      <c r="A768" s="23"/>
      <c r="B768" s="23"/>
      <c r="D768" s="23"/>
      <c r="F768" s="23"/>
      <c r="H768" s="45"/>
      <c r="J768" s="23"/>
      <c r="L768" s="45"/>
      <c r="N768" s="23"/>
      <c r="P768" s="45"/>
      <c r="R768" s="23"/>
      <c r="T768" s="60"/>
      <c r="V768" s="60"/>
    </row>
    <row r="769" spans="1:22" ht="13.8" thickBot="1">
      <c r="A769" s="23"/>
      <c r="B769" s="23"/>
      <c r="D769" s="23"/>
      <c r="F769" s="23"/>
      <c r="H769" s="45"/>
      <c r="J769" s="23"/>
      <c r="L769" s="45"/>
      <c r="N769" s="23"/>
      <c r="P769" s="45"/>
      <c r="R769" s="23"/>
      <c r="T769" s="60"/>
      <c r="V769" s="60"/>
    </row>
    <row r="770" spans="1:22" ht="13.8" thickBot="1">
      <c r="A770" s="23"/>
      <c r="B770" s="23"/>
      <c r="D770" s="23"/>
      <c r="F770" s="23"/>
      <c r="H770" s="45"/>
      <c r="J770" s="23"/>
      <c r="L770" s="45"/>
      <c r="N770" s="23"/>
      <c r="P770" s="45"/>
      <c r="R770" s="23"/>
      <c r="T770" s="60"/>
      <c r="V770" s="60"/>
    </row>
    <row r="771" spans="1:22" ht="13.8" thickBot="1">
      <c r="A771" s="23"/>
      <c r="B771" s="23"/>
      <c r="D771" s="23"/>
      <c r="F771" s="23"/>
      <c r="H771" s="45"/>
      <c r="J771" s="23"/>
      <c r="L771" s="45"/>
      <c r="N771" s="23"/>
      <c r="P771" s="45"/>
      <c r="R771" s="23"/>
      <c r="T771" s="60"/>
      <c r="V771" s="60"/>
    </row>
    <row r="772" spans="1:22" ht="13.8" thickBot="1">
      <c r="A772" s="23"/>
      <c r="B772" s="23"/>
      <c r="D772" s="23"/>
      <c r="F772" s="23"/>
      <c r="H772" s="45"/>
      <c r="J772" s="23"/>
      <c r="L772" s="45"/>
      <c r="N772" s="23"/>
      <c r="P772" s="45"/>
      <c r="R772" s="23"/>
      <c r="T772" s="60"/>
      <c r="V772" s="60"/>
    </row>
    <row r="773" spans="1:22" ht="13.8" thickBot="1">
      <c r="A773" s="23"/>
      <c r="B773" s="23"/>
      <c r="D773" s="23"/>
      <c r="F773" s="23"/>
      <c r="H773" s="45"/>
      <c r="J773" s="23"/>
      <c r="L773" s="45"/>
      <c r="N773" s="23"/>
      <c r="P773" s="45"/>
      <c r="R773" s="23"/>
      <c r="T773" s="60"/>
      <c r="V773" s="60"/>
    </row>
    <row r="774" spans="1:22" ht="13.8" thickBot="1">
      <c r="A774" s="23"/>
      <c r="B774" s="23"/>
      <c r="D774" s="23"/>
      <c r="F774" s="23"/>
      <c r="H774" s="45"/>
      <c r="J774" s="23"/>
      <c r="L774" s="45"/>
      <c r="N774" s="23"/>
      <c r="P774" s="45"/>
      <c r="R774" s="23"/>
      <c r="T774" s="60"/>
      <c r="V774" s="60"/>
    </row>
    <row r="775" spans="1:22" ht="13.8" thickBot="1">
      <c r="A775" s="23"/>
      <c r="B775" s="23"/>
      <c r="D775" s="23"/>
      <c r="F775" s="23"/>
      <c r="H775" s="45"/>
      <c r="J775" s="23"/>
      <c r="L775" s="45"/>
      <c r="N775" s="23"/>
      <c r="P775" s="45"/>
      <c r="R775" s="23"/>
      <c r="T775" s="60"/>
      <c r="V775" s="60"/>
    </row>
    <row r="776" spans="1:22" ht="13.8" thickBot="1">
      <c r="A776" s="23"/>
      <c r="B776" s="23"/>
      <c r="D776" s="23"/>
      <c r="F776" s="23"/>
      <c r="H776" s="45"/>
      <c r="J776" s="23"/>
      <c r="L776" s="45"/>
      <c r="N776" s="23"/>
      <c r="P776" s="45"/>
      <c r="R776" s="23"/>
      <c r="T776" s="60"/>
      <c r="V776" s="60"/>
    </row>
    <row r="777" spans="1:22" ht="13.8" thickBot="1">
      <c r="A777" s="23"/>
      <c r="B777" s="23"/>
      <c r="D777" s="23"/>
      <c r="F777" s="23"/>
      <c r="H777" s="45"/>
      <c r="J777" s="23"/>
      <c r="L777" s="45"/>
      <c r="N777" s="23"/>
      <c r="P777" s="45"/>
      <c r="R777" s="23"/>
      <c r="T777" s="60"/>
      <c r="V777" s="60"/>
    </row>
    <row r="778" spans="1:22" ht="13.8" thickBot="1">
      <c r="A778" s="23"/>
      <c r="B778" s="23"/>
      <c r="D778" s="23"/>
      <c r="F778" s="23"/>
      <c r="H778" s="45"/>
      <c r="J778" s="23"/>
      <c r="L778" s="45"/>
      <c r="N778" s="23"/>
      <c r="P778" s="45"/>
      <c r="R778" s="23"/>
      <c r="T778" s="60"/>
      <c r="V778" s="60"/>
    </row>
    <row r="779" spans="1:22" ht="13.8" thickBot="1">
      <c r="A779" s="23"/>
      <c r="B779" s="23"/>
      <c r="D779" s="23"/>
      <c r="F779" s="23"/>
      <c r="H779" s="45"/>
      <c r="J779" s="23"/>
      <c r="L779" s="45"/>
      <c r="N779" s="23"/>
      <c r="P779" s="45"/>
      <c r="R779" s="23"/>
      <c r="T779" s="60"/>
      <c r="V779" s="60"/>
    </row>
    <row r="780" spans="1:22" ht="13.8" thickBot="1">
      <c r="A780" s="23"/>
      <c r="B780" s="23"/>
      <c r="D780" s="23"/>
      <c r="F780" s="23"/>
      <c r="H780" s="45"/>
      <c r="J780" s="23"/>
      <c r="L780" s="45"/>
      <c r="N780" s="23"/>
      <c r="P780" s="45"/>
      <c r="R780" s="23"/>
      <c r="T780" s="60"/>
      <c r="V780" s="60"/>
    </row>
    <row r="781" spans="1:22" ht="13.8" thickBot="1">
      <c r="A781" s="23"/>
      <c r="B781" s="23"/>
      <c r="D781" s="23"/>
      <c r="F781" s="23"/>
      <c r="H781" s="45"/>
      <c r="J781" s="23"/>
      <c r="L781" s="45"/>
      <c r="N781" s="23"/>
      <c r="P781" s="45"/>
      <c r="R781" s="23"/>
      <c r="T781" s="60"/>
      <c r="V781" s="60"/>
    </row>
    <row r="782" spans="1:22" ht="13.8" thickBot="1">
      <c r="A782" s="23"/>
      <c r="B782" s="23"/>
      <c r="D782" s="23"/>
      <c r="F782" s="23"/>
      <c r="H782" s="45"/>
      <c r="J782" s="23"/>
      <c r="L782" s="45"/>
      <c r="N782" s="23"/>
      <c r="P782" s="45"/>
      <c r="R782" s="23"/>
      <c r="T782" s="60"/>
      <c r="V782" s="60"/>
    </row>
    <row r="783" spans="1:22" ht="13.8" thickBot="1">
      <c r="A783" s="23"/>
      <c r="B783" s="23"/>
      <c r="D783" s="23"/>
      <c r="F783" s="23"/>
      <c r="H783" s="45"/>
      <c r="J783" s="23"/>
      <c r="L783" s="45"/>
      <c r="N783" s="23"/>
      <c r="P783" s="45"/>
      <c r="R783" s="23"/>
      <c r="T783" s="60"/>
      <c r="V783" s="60"/>
    </row>
    <row r="784" spans="1:22" ht="13.8" thickBot="1">
      <c r="A784" s="23"/>
      <c r="B784" s="23"/>
      <c r="D784" s="23"/>
      <c r="F784" s="23"/>
      <c r="H784" s="45"/>
      <c r="J784" s="23"/>
      <c r="L784" s="45"/>
      <c r="N784" s="23"/>
      <c r="P784" s="45"/>
      <c r="R784" s="23"/>
      <c r="T784" s="60"/>
      <c r="V784" s="60"/>
    </row>
    <row r="785" spans="1:22" ht="13.8" thickBot="1">
      <c r="A785" s="23"/>
      <c r="B785" s="23"/>
      <c r="D785" s="23"/>
      <c r="F785" s="23"/>
      <c r="H785" s="45"/>
      <c r="J785" s="23"/>
      <c r="L785" s="45"/>
      <c r="N785" s="23"/>
      <c r="P785" s="45"/>
      <c r="R785" s="23"/>
      <c r="T785" s="60"/>
      <c r="V785" s="60"/>
    </row>
    <row r="786" spans="1:22" ht="13.8" thickBot="1">
      <c r="A786" s="23"/>
      <c r="B786" s="23"/>
      <c r="D786" s="23"/>
      <c r="F786" s="23"/>
      <c r="H786" s="45"/>
      <c r="J786" s="23"/>
      <c r="L786" s="45"/>
      <c r="N786" s="23"/>
      <c r="P786" s="45"/>
      <c r="R786" s="23"/>
      <c r="T786" s="60"/>
      <c r="V786" s="60"/>
    </row>
    <row r="787" spans="1:22" ht="13.8" thickBot="1">
      <c r="A787" s="23"/>
      <c r="B787" s="23"/>
      <c r="D787" s="23"/>
      <c r="F787" s="23"/>
      <c r="H787" s="45"/>
      <c r="J787" s="23"/>
      <c r="L787" s="45"/>
      <c r="N787" s="23"/>
      <c r="P787" s="45"/>
      <c r="R787" s="23"/>
      <c r="T787" s="60"/>
      <c r="V787" s="60"/>
    </row>
    <row r="788" spans="1:22" ht="13.8" thickBot="1">
      <c r="A788" s="23"/>
      <c r="B788" s="23"/>
      <c r="D788" s="23"/>
      <c r="F788" s="23"/>
      <c r="H788" s="45"/>
      <c r="J788" s="23"/>
      <c r="L788" s="45"/>
      <c r="N788" s="23"/>
      <c r="P788" s="45"/>
      <c r="R788" s="23"/>
      <c r="T788" s="60"/>
      <c r="V788" s="60"/>
    </row>
    <row r="789" spans="1:22" ht="13.8" thickBot="1">
      <c r="A789" s="23"/>
      <c r="B789" s="23"/>
      <c r="D789" s="23"/>
      <c r="F789" s="23"/>
      <c r="H789" s="45"/>
      <c r="J789" s="23"/>
      <c r="L789" s="45"/>
      <c r="N789" s="23"/>
      <c r="P789" s="45"/>
      <c r="R789" s="23"/>
      <c r="T789" s="60"/>
      <c r="V789" s="60"/>
    </row>
    <row r="790" spans="1:22" ht="13.8" thickBot="1">
      <c r="A790" s="23"/>
      <c r="B790" s="23"/>
      <c r="D790" s="23"/>
      <c r="F790" s="23"/>
      <c r="H790" s="45"/>
      <c r="J790" s="23"/>
      <c r="L790" s="45"/>
      <c r="N790" s="23"/>
      <c r="P790" s="45"/>
      <c r="R790" s="23"/>
      <c r="T790" s="60"/>
      <c r="V790" s="60"/>
    </row>
    <row r="791" spans="1:22" ht="13.8" thickBot="1">
      <c r="A791" s="23"/>
      <c r="B791" s="23"/>
      <c r="D791" s="23"/>
      <c r="F791" s="23"/>
      <c r="H791" s="45"/>
      <c r="J791" s="23"/>
      <c r="L791" s="45"/>
      <c r="N791" s="23"/>
      <c r="P791" s="45"/>
      <c r="R791" s="23"/>
      <c r="T791" s="60"/>
      <c r="V791" s="60"/>
    </row>
    <row r="792" spans="1:22" ht="13.8" thickBot="1">
      <c r="A792" s="23"/>
      <c r="B792" s="23"/>
      <c r="D792" s="23"/>
      <c r="F792" s="23"/>
      <c r="H792" s="45"/>
      <c r="J792" s="23"/>
      <c r="L792" s="45"/>
      <c r="N792" s="23"/>
      <c r="P792" s="45"/>
      <c r="R792" s="23"/>
      <c r="T792" s="60"/>
      <c r="V792" s="60"/>
    </row>
    <row r="793" spans="1:22" ht="13.8" thickBot="1">
      <c r="A793" s="23"/>
      <c r="B793" s="23"/>
      <c r="D793" s="23"/>
      <c r="F793" s="23"/>
      <c r="H793" s="45"/>
      <c r="J793" s="23"/>
      <c r="L793" s="45"/>
      <c r="N793" s="23"/>
      <c r="P793" s="45"/>
      <c r="R793" s="23"/>
      <c r="T793" s="60"/>
      <c r="V793" s="60"/>
    </row>
    <row r="794" spans="1:22" ht="13.8" thickBot="1">
      <c r="A794" s="23"/>
      <c r="B794" s="23"/>
      <c r="D794" s="23"/>
      <c r="F794" s="23"/>
      <c r="H794" s="45"/>
      <c r="J794" s="23"/>
      <c r="L794" s="45"/>
      <c r="N794" s="23"/>
      <c r="P794" s="45"/>
      <c r="R794" s="23"/>
      <c r="T794" s="60"/>
      <c r="V794" s="60"/>
    </row>
    <row r="795" spans="1:22" ht="13.8" thickBot="1">
      <c r="A795" s="23"/>
      <c r="B795" s="23"/>
      <c r="D795" s="23"/>
      <c r="F795" s="23"/>
      <c r="H795" s="45"/>
      <c r="J795" s="23"/>
      <c r="L795" s="45"/>
      <c r="N795" s="23"/>
      <c r="P795" s="45"/>
      <c r="R795" s="23"/>
      <c r="T795" s="60"/>
      <c r="V795" s="60"/>
    </row>
    <row r="796" spans="1:22" ht="13.8" thickBot="1">
      <c r="A796" s="23"/>
      <c r="B796" s="23"/>
      <c r="D796" s="23"/>
      <c r="F796" s="23"/>
      <c r="H796" s="45"/>
      <c r="J796" s="23"/>
      <c r="L796" s="45"/>
      <c r="N796" s="23"/>
      <c r="P796" s="45"/>
      <c r="R796" s="23"/>
      <c r="T796" s="60"/>
      <c r="V796" s="60"/>
    </row>
    <row r="797" spans="1:22" ht="13.8" thickBot="1">
      <c r="A797" s="23"/>
      <c r="B797" s="23"/>
      <c r="D797" s="23"/>
      <c r="F797" s="23"/>
      <c r="H797" s="45"/>
      <c r="J797" s="23"/>
      <c r="L797" s="45"/>
      <c r="N797" s="23"/>
      <c r="P797" s="45"/>
      <c r="R797" s="23"/>
      <c r="T797" s="60"/>
      <c r="V797" s="60"/>
    </row>
    <row r="798" spans="1:22" ht="13.8" thickBot="1">
      <c r="A798" s="23"/>
      <c r="B798" s="23"/>
      <c r="D798" s="23"/>
      <c r="F798" s="23"/>
      <c r="H798" s="45"/>
      <c r="J798" s="23"/>
      <c r="L798" s="45"/>
      <c r="N798" s="23"/>
      <c r="P798" s="45"/>
      <c r="R798" s="23"/>
      <c r="T798" s="60"/>
      <c r="V798" s="60"/>
    </row>
    <row r="799" spans="1:22" ht="13.8" thickBot="1">
      <c r="A799" s="23"/>
      <c r="B799" s="23"/>
      <c r="D799" s="23"/>
      <c r="F799" s="23"/>
      <c r="H799" s="45"/>
      <c r="J799" s="23"/>
      <c r="L799" s="45"/>
      <c r="N799" s="23"/>
      <c r="P799" s="45"/>
      <c r="R799" s="23"/>
      <c r="T799" s="60"/>
      <c r="V799" s="60"/>
    </row>
    <row r="800" spans="1:22" ht="13.8" thickBot="1">
      <c r="A800" s="23"/>
      <c r="B800" s="23"/>
      <c r="D800" s="23"/>
      <c r="F800" s="23"/>
      <c r="H800" s="45"/>
      <c r="J800" s="23"/>
      <c r="L800" s="45"/>
      <c r="N800" s="23"/>
      <c r="P800" s="45"/>
      <c r="R800" s="23"/>
      <c r="T800" s="60"/>
      <c r="V800" s="60"/>
    </row>
    <row r="801" spans="1:22" ht="13.8" thickBot="1">
      <c r="A801" s="23"/>
      <c r="B801" s="23"/>
      <c r="D801" s="23"/>
      <c r="F801" s="23"/>
      <c r="H801" s="45"/>
      <c r="J801" s="23"/>
      <c r="L801" s="45"/>
      <c r="N801" s="23"/>
      <c r="P801" s="45"/>
      <c r="R801" s="23"/>
      <c r="T801" s="60"/>
      <c r="V801" s="60"/>
    </row>
    <row r="802" spans="1:22" ht="13.8" thickBot="1">
      <c r="A802" s="23"/>
      <c r="B802" s="23"/>
      <c r="D802" s="23"/>
      <c r="F802" s="23"/>
      <c r="H802" s="45"/>
      <c r="J802" s="23"/>
      <c r="L802" s="45"/>
      <c r="N802" s="23"/>
      <c r="P802" s="45"/>
      <c r="R802" s="23"/>
      <c r="T802" s="60"/>
      <c r="V802" s="60"/>
    </row>
    <row r="803" spans="1:22" ht="13.8" thickBot="1">
      <c r="A803" s="23"/>
      <c r="B803" s="23"/>
      <c r="D803" s="23"/>
      <c r="F803" s="23"/>
      <c r="H803" s="45"/>
      <c r="J803" s="23"/>
      <c r="L803" s="45"/>
      <c r="N803" s="23"/>
      <c r="P803" s="45"/>
      <c r="R803" s="23"/>
      <c r="T803" s="60"/>
      <c r="V803" s="60"/>
    </row>
    <row r="804" spans="1:22" ht="13.8" thickBot="1">
      <c r="A804" s="23"/>
      <c r="B804" s="23"/>
      <c r="D804" s="23"/>
      <c r="F804" s="23"/>
      <c r="H804" s="45"/>
      <c r="J804" s="23"/>
      <c r="L804" s="45"/>
      <c r="N804" s="23"/>
      <c r="P804" s="45"/>
      <c r="R804" s="23"/>
      <c r="T804" s="60"/>
      <c r="V804" s="60"/>
    </row>
    <row r="805" spans="1:22" ht="13.8" thickBot="1">
      <c r="A805" s="23"/>
      <c r="B805" s="23"/>
      <c r="D805" s="23"/>
      <c r="F805" s="23"/>
      <c r="H805" s="45"/>
      <c r="J805" s="23"/>
      <c r="L805" s="45"/>
      <c r="N805" s="23"/>
      <c r="P805" s="45"/>
      <c r="R805" s="23"/>
      <c r="T805" s="60"/>
      <c r="V805" s="60"/>
    </row>
    <row r="806" spans="1:22" ht="13.8" thickBot="1">
      <c r="A806" s="23"/>
      <c r="B806" s="23"/>
      <c r="D806" s="23"/>
      <c r="F806" s="23"/>
      <c r="H806" s="45"/>
      <c r="J806" s="23"/>
      <c r="L806" s="45"/>
      <c r="N806" s="23"/>
      <c r="P806" s="45"/>
      <c r="R806" s="23"/>
      <c r="T806" s="60"/>
      <c r="V806" s="60"/>
    </row>
    <row r="807" spans="1:22" ht="13.8" thickBot="1">
      <c r="A807" s="23"/>
      <c r="B807" s="23"/>
      <c r="D807" s="23"/>
      <c r="F807" s="23"/>
      <c r="H807" s="45"/>
      <c r="J807" s="23"/>
      <c r="L807" s="45"/>
      <c r="N807" s="23"/>
      <c r="P807" s="45"/>
      <c r="R807" s="23"/>
      <c r="T807" s="60"/>
      <c r="V807" s="60"/>
    </row>
    <row r="808" spans="1:22" ht="13.8" thickBot="1">
      <c r="A808" s="23"/>
      <c r="B808" s="23"/>
      <c r="D808" s="23"/>
      <c r="F808" s="23"/>
      <c r="H808" s="45"/>
      <c r="J808" s="23"/>
      <c r="L808" s="45"/>
      <c r="N808" s="23"/>
      <c r="P808" s="45"/>
      <c r="R808" s="23"/>
      <c r="T808" s="60"/>
      <c r="V808" s="60"/>
    </row>
    <row r="809" spans="1:22" ht="13.8" thickBot="1">
      <c r="A809" s="23"/>
      <c r="B809" s="23"/>
      <c r="D809" s="23"/>
      <c r="F809" s="23"/>
      <c r="H809" s="45"/>
      <c r="J809" s="23"/>
      <c r="L809" s="45"/>
      <c r="N809" s="23"/>
      <c r="P809" s="45"/>
      <c r="R809" s="23"/>
      <c r="T809" s="60"/>
      <c r="V809" s="60"/>
    </row>
    <row r="810" spans="1:22" ht="13.8" thickBot="1">
      <c r="A810" s="23"/>
      <c r="B810" s="23"/>
      <c r="D810" s="23"/>
      <c r="F810" s="23"/>
      <c r="H810" s="45"/>
      <c r="J810" s="23"/>
      <c r="L810" s="45"/>
      <c r="N810" s="23"/>
      <c r="P810" s="45"/>
      <c r="R810" s="23"/>
      <c r="T810" s="60"/>
      <c r="V810" s="60"/>
    </row>
    <row r="811" spans="1:22" ht="13.8" thickBot="1">
      <c r="A811" s="23"/>
      <c r="B811" s="23"/>
      <c r="D811" s="23"/>
      <c r="F811" s="23"/>
      <c r="H811" s="45"/>
      <c r="J811" s="23"/>
      <c r="L811" s="45"/>
      <c r="N811" s="23"/>
      <c r="P811" s="45"/>
      <c r="R811" s="23"/>
      <c r="T811" s="60"/>
      <c r="V811" s="60"/>
    </row>
    <row r="812" spans="1:22" ht="13.8" thickBot="1">
      <c r="A812" s="23"/>
      <c r="B812" s="23"/>
      <c r="D812" s="23"/>
      <c r="F812" s="23"/>
      <c r="H812" s="45"/>
      <c r="J812" s="23"/>
      <c r="L812" s="45"/>
      <c r="N812" s="23"/>
      <c r="P812" s="45"/>
      <c r="R812" s="23"/>
      <c r="T812" s="60"/>
      <c r="V812" s="60"/>
    </row>
    <row r="813" spans="1:22" ht="13.8" thickBot="1">
      <c r="A813" s="23"/>
      <c r="B813" s="23"/>
      <c r="D813" s="23"/>
      <c r="F813" s="23"/>
      <c r="H813" s="45"/>
      <c r="J813" s="23"/>
      <c r="L813" s="45"/>
      <c r="N813" s="23"/>
      <c r="P813" s="45"/>
      <c r="R813" s="23"/>
      <c r="T813" s="60"/>
      <c r="V813" s="60"/>
    </row>
    <row r="814" spans="1:22" ht="13.8" thickBot="1">
      <c r="A814" s="23"/>
      <c r="B814" s="23"/>
      <c r="D814" s="23"/>
      <c r="F814" s="23"/>
      <c r="H814" s="45"/>
      <c r="J814" s="23"/>
      <c r="L814" s="45"/>
      <c r="N814" s="23"/>
      <c r="P814" s="45"/>
      <c r="R814" s="23"/>
      <c r="T814" s="60"/>
      <c r="V814" s="60"/>
    </row>
    <row r="815" spans="1:22" ht="13.8" thickBot="1">
      <c r="A815" s="23"/>
      <c r="B815" s="23"/>
      <c r="D815" s="23"/>
      <c r="F815" s="23"/>
      <c r="H815" s="45"/>
      <c r="J815" s="23"/>
      <c r="L815" s="45"/>
      <c r="N815" s="23"/>
      <c r="P815" s="45"/>
      <c r="R815" s="23"/>
      <c r="T815" s="60"/>
      <c r="V815" s="60"/>
    </row>
    <row r="816" spans="1:22" ht="13.8" thickBot="1">
      <c r="A816" s="23"/>
      <c r="B816" s="23"/>
      <c r="D816" s="23"/>
      <c r="F816" s="23"/>
      <c r="H816" s="45"/>
      <c r="J816" s="23"/>
      <c r="L816" s="45"/>
      <c r="N816" s="23"/>
      <c r="P816" s="45"/>
      <c r="R816" s="23"/>
      <c r="T816" s="60"/>
      <c r="V816" s="60"/>
    </row>
    <row r="817" spans="1:22" ht="13.8" thickBot="1">
      <c r="A817" s="23"/>
      <c r="B817" s="23"/>
      <c r="D817" s="23"/>
      <c r="F817" s="23"/>
      <c r="H817" s="45"/>
      <c r="J817" s="23"/>
      <c r="L817" s="45"/>
      <c r="N817" s="23"/>
      <c r="P817" s="45"/>
      <c r="R817" s="23"/>
      <c r="T817" s="60"/>
      <c r="V817" s="60"/>
    </row>
    <row r="818" spans="1:22" ht="13.8" thickBot="1">
      <c r="A818" s="23"/>
      <c r="B818" s="23"/>
      <c r="D818" s="23"/>
      <c r="F818" s="23"/>
      <c r="H818" s="45"/>
      <c r="J818" s="23"/>
      <c r="L818" s="45"/>
      <c r="N818" s="23"/>
      <c r="P818" s="45"/>
      <c r="R818" s="23"/>
      <c r="T818" s="60"/>
      <c r="V818" s="60"/>
    </row>
    <row r="819" spans="1:22" ht="13.8" thickBot="1">
      <c r="A819" s="23"/>
      <c r="B819" s="23"/>
      <c r="D819" s="23"/>
      <c r="F819" s="23"/>
      <c r="H819" s="45"/>
      <c r="J819" s="23"/>
      <c r="L819" s="45"/>
      <c r="N819" s="23"/>
      <c r="P819" s="45"/>
      <c r="R819" s="23"/>
      <c r="T819" s="60"/>
      <c r="V819" s="60"/>
    </row>
    <row r="820" spans="1:22" ht="13.8" thickBot="1">
      <c r="A820" s="23"/>
      <c r="B820" s="23"/>
      <c r="D820" s="23"/>
      <c r="F820" s="23"/>
      <c r="H820" s="45"/>
      <c r="J820" s="23"/>
      <c r="L820" s="45"/>
      <c r="N820" s="23"/>
      <c r="P820" s="45"/>
      <c r="R820" s="23"/>
      <c r="T820" s="60"/>
      <c r="V820" s="60"/>
    </row>
    <row r="821" spans="1:22" ht="13.8" thickBot="1">
      <c r="A821" s="23"/>
      <c r="B821" s="23"/>
      <c r="D821" s="23"/>
      <c r="F821" s="23"/>
      <c r="H821" s="45"/>
      <c r="J821" s="23"/>
      <c r="L821" s="45"/>
      <c r="N821" s="23"/>
      <c r="P821" s="45"/>
      <c r="R821" s="23"/>
      <c r="T821" s="60"/>
      <c r="V821" s="60"/>
    </row>
    <row r="822" spans="1:22" ht="13.8" thickBot="1">
      <c r="A822" s="23"/>
      <c r="B822" s="23"/>
      <c r="D822" s="23"/>
      <c r="F822" s="23"/>
      <c r="H822" s="45"/>
      <c r="J822" s="23"/>
      <c r="L822" s="45"/>
      <c r="N822" s="23"/>
      <c r="P822" s="45"/>
      <c r="R822" s="23"/>
      <c r="T822" s="60"/>
      <c r="V822" s="60"/>
    </row>
    <row r="823" spans="1:22" ht="13.8" thickBot="1">
      <c r="A823" s="23"/>
      <c r="B823" s="23"/>
      <c r="D823" s="23"/>
      <c r="F823" s="23"/>
      <c r="H823" s="45"/>
      <c r="J823" s="23"/>
      <c r="L823" s="45"/>
      <c r="N823" s="23"/>
      <c r="P823" s="45"/>
      <c r="R823" s="23"/>
      <c r="T823" s="60"/>
      <c r="V823" s="60"/>
    </row>
    <row r="824" spans="1:22" ht="13.8" thickBot="1">
      <c r="A824" s="23"/>
      <c r="B824" s="23"/>
      <c r="D824" s="23"/>
      <c r="F824" s="23"/>
      <c r="H824" s="45"/>
      <c r="J824" s="23"/>
      <c r="L824" s="45"/>
      <c r="N824" s="23"/>
      <c r="P824" s="45"/>
      <c r="R824" s="23"/>
      <c r="T824" s="60"/>
      <c r="V824" s="60"/>
    </row>
    <row r="825" spans="1:22" ht="13.8" thickBot="1">
      <c r="A825" s="23"/>
      <c r="B825" s="23"/>
      <c r="D825" s="23"/>
      <c r="F825" s="23"/>
      <c r="H825" s="45"/>
      <c r="J825" s="23"/>
      <c r="L825" s="45"/>
      <c r="N825" s="23"/>
      <c r="P825" s="45"/>
      <c r="R825" s="23"/>
      <c r="T825" s="60"/>
      <c r="V825" s="60"/>
    </row>
    <row r="826" spans="1:22" ht="13.8" thickBot="1">
      <c r="A826" s="23"/>
      <c r="B826" s="23"/>
      <c r="D826" s="23"/>
      <c r="F826" s="23"/>
      <c r="H826" s="45"/>
      <c r="J826" s="23"/>
      <c r="L826" s="45"/>
      <c r="N826" s="23"/>
      <c r="P826" s="45"/>
      <c r="R826" s="23"/>
      <c r="T826" s="60"/>
      <c r="V826" s="60"/>
    </row>
    <row r="827" spans="1:22" ht="13.8" thickBot="1">
      <c r="A827" s="23"/>
      <c r="B827" s="23"/>
      <c r="D827" s="23"/>
      <c r="F827" s="23"/>
      <c r="H827" s="45"/>
      <c r="J827" s="23"/>
      <c r="L827" s="45"/>
      <c r="N827" s="23"/>
      <c r="P827" s="45"/>
      <c r="R827" s="23"/>
      <c r="T827" s="60"/>
      <c r="V827" s="60"/>
    </row>
    <row r="828" spans="1:22" ht="13.8" thickBot="1">
      <c r="A828" s="23"/>
      <c r="B828" s="23"/>
      <c r="D828" s="23"/>
      <c r="F828" s="23"/>
      <c r="H828" s="45"/>
      <c r="J828" s="23"/>
      <c r="L828" s="45"/>
      <c r="N828" s="23"/>
      <c r="P828" s="45"/>
      <c r="R828" s="23"/>
      <c r="T828" s="60"/>
      <c r="V828" s="60"/>
    </row>
    <row r="829" spans="1:22" ht="13.8" thickBot="1">
      <c r="A829" s="23"/>
      <c r="B829" s="23"/>
      <c r="D829" s="23"/>
      <c r="F829" s="23"/>
      <c r="H829" s="45"/>
      <c r="J829" s="23"/>
      <c r="L829" s="45"/>
      <c r="N829" s="23"/>
      <c r="P829" s="45"/>
      <c r="R829" s="23"/>
      <c r="T829" s="60"/>
      <c r="V829" s="60"/>
    </row>
    <row r="830" spans="1:22" ht="13.8" thickBot="1">
      <c r="A830" s="23"/>
      <c r="B830" s="23"/>
      <c r="D830" s="23"/>
      <c r="F830" s="23"/>
      <c r="H830" s="45"/>
      <c r="J830" s="23"/>
      <c r="L830" s="45"/>
      <c r="N830" s="23"/>
      <c r="P830" s="45"/>
      <c r="R830" s="23"/>
      <c r="T830" s="60"/>
      <c r="V830" s="60"/>
    </row>
    <row r="831" spans="1:22" ht="13.8" thickBot="1">
      <c r="A831" s="23"/>
      <c r="B831" s="23"/>
      <c r="D831" s="23"/>
      <c r="F831" s="23"/>
      <c r="H831" s="45"/>
      <c r="J831" s="23"/>
      <c r="L831" s="45"/>
      <c r="N831" s="23"/>
      <c r="P831" s="45"/>
      <c r="R831" s="23"/>
      <c r="T831" s="60"/>
      <c r="V831" s="60"/>
    </row>
    <row r="832" spans="1:22" ht="13.8" thickBot="1">
      <c r="A832" s="23"/>
      <c r="B832" s="23"/>
      <c r="D832" s="23"/>
      <c r="F832" s="23"/>
      <c r="H832" s="45"/>
      <c r="J832" s="23"/>
      <c r="L832" s="45"/>
      <c r="N832" s="23"/>
      <c r="P832" s="45"/>
      <c r="R832" s="23"/>
      <c r="T832" s="60"/>
      <c r="V832" s="60"/>
    </row>
    <row r="833" spans="1:22" ht="13.8" thickBot="1">
      <c r="A833" s="23"/>
      <c r="B833" s="23"/>
      <c r="D833" s="23"/>
      <c r="F833" s="23"/>
      <c r="H833" s="45"/>
      <c r="J833" s="23"/>
      <c r="L833" s="45"/>
      <c r="N833" s="23"/>
      <c r="P833" s="45"/>
      <c r="R833" s="23"/>
      <c r="T833" s="60"/>
      <c r="V833" s="60"/>
    </row>
    <row r="834" spans="1:22" ht="13.8" thickBot="1">
      <c r="A834" s="23"/>
      <c r="B834" s="23"/>
      <c r="D834" s="23"/>
      <c r="F834" s="23"/>
      <c r="H834" s="45"/>
      <c r="J834" s="23"/>
      <c r="L834" s="45"/>
      <c r="N834" s="23"/>
      <c r="P834" s="45"/>
      <c r="R834" s="23"/>
      <c r="T834" s="60"/>
      <c r="V834" s="60"/>
    </row>
    <row r="835" spans="1:22" ht="13.8" thickBot="1">
      <c r="A835" s="23"/>
      <c r="B835" s="23"/>
      <c r="D835" s="23"/>
      <c r="F835" s="23"/>
      <c r="H835" s="45"/>
      <c r="J835" s="23"/>
      <c r="L835" s="45"/>
      <c r="N835" s="23"/>
      <c r="P835" s="45"/>
      <c r="R835" s="23"/>
      <c r="T835" s="60"/>
      <c r="V835" s="60"/>
    </row>
    <row r="836" spans="1:22" ht="13.8" thickBot="1">
      <c r="A836" s="23"/>
      <c r="B836" s="23"/>
      <c r="D836" s="23"/>
      <c r="F836" s="23"/>
      <c r="H836" s="45"/>
      <c r="J836" s="23"/>
      <c r="L836" s="45"/>
      <c r="N836" s="23"/>
      <c r="P836" s="45"/>
      <c r="R836" s="23"/>
      <c r="T836" s="60"/>
      <c r="V836" s="60"/>
    </row>
    <row r="837" spans="1:22" ht="13.8" thickBot="1">
      <c r="A837" s="23"/>
      <c r="B837" s="23"/>
      <c r="D837" s="23"/>
      <c r="F837" s="23"/>
      <c r="H837" s="45"/>
      <c r="J837" s="23"/>
      <c r="L837" s="45"/>
      <c r="N837" s="23"/>
      <c r="P837" s="45"/>
      <c r="R837" s="23"/>
      <c r="T837" s="60"/>
      <c r="V837" s="60"/>
    </row>
    <row r="838" spans="1:22" ht="13.8" thickBot="1">
      <c r="A838" s="23"/>
      <c r="B838" s="23"/>
      <c r="D838" s="23"/>
      <c r="F838" s="23"/>
      <c r="H838" s="45"/>
      <c r="J838" s="23"/>
      <c r="L838" s="45"/>
      <c r="N838" s="23"/>
      <c r="P838" s="45"/>
      <c r="R838" s="23"/>
      <c r="T838" s="60"/>
      <c r="V838" s="60"/>
    </row>
    <row r="839" spans="1:22" ht="13.8" thickBot="1">
      <c r="A839" s="23"/>
      <c r="B839" s="23"/>
      <c r="D839" s="23"/>
      <c r="F839" s="23"/>
      <c r="H839" s="45"/>
      <c r="J839" s="23"/>
      <c r="L839" s="45"/>
      <c r="N839" s="23"/>
      <c r="P839" s="45"/>
      <c r="R839" s="23"/>
      <c r="T839" s="60"/>
      <c r="V839" s="60"/>
    </row>
    <row r="840" spans="1:22" ht="13.8" thickBot="1">
      <c r="A840" s="23"/>
      <c r="B840" s="23"/>
      <c r="D840" s="23"/>
      <c r="F840" s="23"/>
      <c r="H840" s="45"/>
      <c r="J840" s="23"/>
      <c r="L840" s="45"/>
      <c r="N840" s="23"/>
      <c r="P840" s="45"/>
      <c r="R840" s="23"/>
      <c r="T840" s="60"/>
      <c r="V840" s="60"/>
    </row>
    <row r="841" spans="1:22" ht="13.8" thickBot="1">
      <c r="A841" s="23"/>
      <c r="B841" s="23"/>
      <c r="D841" s="23"/>
      <c r="F841" s="23"/>
      <c r="H841" s="45"/>
      <c r="J841" s="23"/>
      <c r="L841" s="45"/>
      <c r="N841" s="23"/>
      <c r="P841" s="45"/>
      <c r="R841" s="23"/>
      <c r="T841" s="60"/>
      <c r="V841" s="60"/>
    </row>
    <row r="842" spans="1:22" ht="13.8" thickBot="1">
      <c r="A842" s="23"/>
      <c r="B842" s="23"/>
      <c r="D842" s="23"/>
      <c r="F842" s="23"/>
      <c r="H842" s="45"/>
      <c r="J842" s="23"/>
      <c r="L842" s="45"/>
      <c r="N842" s="23"/>
      <c r="P842" s="45"/>
      <c r="R842" s="23"/>
      <c r="T842" s="60"/>
      <c r="V842" s="60"/>
    </row>
    <row r="843" spans="1:22" ht="13.8" thickBot="1">
      <c r="A843" s="23"/>
      <c r="B843" s="23"/>
      <c r="D843" s="23"/>
      <c r="F843" s="23"/>
      <c r="H843" s="45"/>
      <c r="J843" s="23"/>
      <c r="L843" s="45"/>
      <c r="N843" s="23"/>
      <c r="P843" s="45"/>
      <c r="R843" s="23"/>
      <c r="T843" s="60"/>
      <c r="V843" s="60"/>
    </row>
    <row r="844" spans="1:22" ht="13.8" thickBot="1">
      <c r="A844" s="23"/>
      <c r="B844" s="23"/>
      <c r="D844" s="23"/>
      <c r="F844" s="23"/>
      <c r="H844" s="45"/>
      <c r="J844" s="23"/>
      <c r="L844" s="45"/>
      <c r="N844" s="23"/>
      <c r="P844" s="45"/>
      <c r="R844" s="23"/>
      <c r="T844" s="60"/>
      <c r="V844" s="60"/>
    </row>
    <row r="845" spans="1:22" ht="13.8" thickBot="1">
      <c r="A845" s="23"/>
      <c r="B845" s="23"/>
      <c r="D845" s="23"/>
      <c r="F845" s="23"/>
      <c r="H845" s="45"/>
      <c r="J845" s="23"/>
      <c r="L845" s="45"/>
      <c r="N845" s="23"/>
      <c r="P845" s="45"/>
      <c r="R845" s="23"/>
      <c r="T845" s="60"/>
      <c r="V845" s="60"/>
    </row>
    <row r="846" spans="1:22" ht="13.8" thickBot="1">
      <c r="A846" s="23"/>
      <c r="B846" s="23"/>
      <c r="D846" s="23"/>
      <c r="F846" s="23"/>
      <c r="H846" s="45"/>
      <c r="J846" s="23"/>
      <c r="L846" s="45"/>
      <c r="N846" s="23"/>
      <c r="P846" s="45"/>
      <c r="R846" s="23"/>
      <c r="T846" s="60"/>
      <c r="V846" s="60"/>
    </row>
    <row r="847" spans="1:22" ht="13.8" thickBot="1">
      <c r="A847" s="23"/>
      <c r="B847" s="23"/>
      <c r="D847" s="23"/>
      <c r="F847" s="23"/>
      <c r="H847" s="45"/>
      <c r="J847" s="23"/>
      <c r="L847" s="45"/>
      <c r="N847" s="23"/>
      <c r="P847" s="45"/>
      <c r="R847" s="23"/>
      <c r="T847" s="60"/>
      <c r="V847" s="60"/>
    </row>
    <row r="848" spans="1:22" ht="13.8" thickBot="1">
      <c r="A848" s="23"/>
      <c r="B848" s="23"/>
      <c r="D848" s="23"/>
      <c r="F848" s="23"/>
      <c r="H848" s="45"/>
      <c r="J848" s="23"/>
      <c r="L848" s="45"/>
      <c r="N848" s="23"/>
      <c r="P848" s="45"/>
      <c r="R848" s="23"/>
      <c r="T848" s="60"/>
      <c r="V848" s="60"/>
    </row>
    <row r="849" spans="1:22" ht="13.8" thickBot="1">
      <c r="A849" s="23"/>
      <c r="B849" s="23"/>
      <c r="D849" s="23"/>
      <c r="F849" s="23"/>
      <c r="H849" s="45"/>
      <c r="J849" s="23"/>
      <c r="L849" s="45"/>
      <c r="N849" s="23"/>
      <c r="P849" s="45"/>
      <c r="R849" s="23"/>
      <c r="T849" s="60"/>
      <c r="V849" s="60"/>
    </row>
    <row r="850" spans="1:22" ht="13.8" thickBot="1">
      <c r="A850" s="23"/>
      <c r="B850" s="23"/>
      <c r="D850" s="23"/>
      <c r="F850" s="23"/>
      <c r="H850" s="45"/>
      <c r="J850" s="23"/>
      <c r="L850" s="45"/>
      <c r="N850" s="23"/>
      <c r="P850" s="45"/>
      <c r="R850" s="23"/>
      <c r="T850" s="60"/>
      <c r="V850" s="60"/>
    </row>
    <row r="851" spans="1:22" ht="13.8" thickBot="1">
      <c r="A851" s="23"/>
      <c r="B851" s="23"/>
      <c r="D851" s="23"/>
      <c r="F851" s="23"/>
      <c r="H851" s="45"/>
      <c r="J851" s="23"/>
      <c r="L851" s="45"/>
      <c r="N851" s="23"/>
      <c r="P851" s="45"/>
      <c r="R851" s="23"/>
      <c r="T851" s="60"/>
      <c r="V851" s="60"/>
    </row>
    <row r="852" spans="1:22" ht="13.8" thickBot="1">
      <c r="A852" s="23"/>
      <c r="B852" s="23"/>
      <c r="D852" s="23"/>
      <c r="F852" s="23"/>
      <c r="H852" s="45"/>
      <c r="J852" s="23"/>
      <c r="L852" s="45"/>
      <c r="N852" s="23"/>
      <c r="P852" s="45"/>
      <c r="R852" s="23"/>
      <c r="T852" s="60"/>
      <c r="V852" s="60"/>
    </row>
    <row r="853" spans="1:22" ht="13.8" thickBot="1">
      <c r="A853" s="23"/>
      <c r="B853" s="23"/>
      <c r="D853" s="23"/>
      <c r="F853" s="23"/>
      <c r="H853" s="45"/>
      <c r="J853" s="23"/>
      <c r="L853" s="45"/>
      <c r="N853" s="23"/>
      <c r="P853" s="45"/>
      <c r="R853" s="23"/>
      <c r="T853" s="60"/>
      <c r="V853" s="60"/>
    </row>
    <row r="854" spans="1:22" ht="13.8" thickBot="1">
      <c r="A854" s="23"/>
      <c r="B854" s="23"/>
      <c r="D854" s="23"/>
      <c r="F854" s="23"/>
      <c r="H854" s="45"/>
      <c r="J854" s="23"/>
      <c r="L854" s="45"/>
      <c r="N854" s="23"/>
      <c r="P854" s="45"/>
      <c r="R854" s="23"/>
      <c r="T854" s="60"/>
      <c r="V854" s="60"/>
    </row>
    <row r="855" spans="1:22" ht="13.8" thickBot="1">
      <c r="A855" s="23"/>
      <c r="B855" s="23"/>
      <c r="D855" s="23"/>
      <c r="F855" s="23"/>
      <c r="H855" s="45"/>
      <c r="J855" s="23"/>
      <c r="L855" s="45"/>
      <c r="N855" s="23"/>
      <c r="P855" s="45"/>
      <c r="R855" s="23"/>
      <c r="T855" s="60"/>
      <c r="V855" s="60"/>
    </row>
    <row r="856" spans="1:22" ht="13.8" thickBot="1">
      <c r="A856" s="23"/>
      <c r="B856" s="23"/>
      <c r="D856" s="23"/>
      <c r="F856" s="23"/>
      <c r="H856" s="45"/>
      <c r="J856" s="23"/>
      <c r="L856" s="45"/>
      <c r="N856" s="23"/>
      <c r="P856" s="45"/>
      <c r="R856" s="23"/>
      <c r="T856" s="60"/>
      <c r="V856" s="60"/>
    </row>
    <row r="857" spans="1:22" ht="13.8" thickBot="1">
      <c r="A857" s="23"/>
      <c r="B857" s="23"/>
      <c r="D857" s="23"/>
      <c r="F857" s="23"/>
      <c r="H857" s="45"/>
      <c r="J857" s="23"/>
      <c r="L857" s="45"/>
      <c r="N857" s="23"/>
      <c r="P857" s="45"/>
      <c r="R857" s="23"/>
      <c r="T857" s="60"/>
      <c r="V857" s="60"/>
    </row>
    <row r="858" spans="1:22" ht="13.8" thickBot="1">
      <c r="A858" s="23"/>
      <c r="B858" s="23"/>
      <c r="D858" s="23"/>
      <c r="F858" s="23"/>
      <c r="H858" s="45"/>
      <c r="J858" s="23"/>
      <c r="L858" s="45"/>
      <c r="N858" s="23"/>
      <c r="P858" s="45"/>
      <c r="R858" s="23"/>
      <c r="T858" s="60"/>
      <c r="V858" s="60"/>
    </row>
    <row r="859" spans="1:22" ht="13.8" thickBot="1">
      <c r="A859" s="23"/>
      <c r="B859" s="23"/>
      <c r="D859" s="23"/>
      <c r="F859" s="23"/>
      <c r="H859" s="45"/>
      <c r="J859" s="23"/>
      <c r="L859" s="45"/>
      <c r="N859" s="23"/>
      <c r="P859" s="45"/>
      <c r="R859" s="23"/>
      <c r="T859" s="60"/>
      <c r="V859" s="60"/>
    </row>
    <row r="860" spans="1:22" ht="13.8" thickBot="1">
      <c r="A860" s="23"/>
      <c r="B860" s="23"/>
      <c r="D860" s="23"/>
      <c r="F860" s="23"/>
      <c r="H860" s="45"/>
      <c r="J860" s="23"/>
      <c r="L860" s="45"/>
      <c r="N860" s="23"/>
      <c r="P860" s="45"/>
      <c r="R860" s="23"/>
      <c r="T860" s="60"/>
      <c r="V860" s="60"/>
    </row>
    <row r="861" spans="1:22" ht="13.8" thickBot="1">
      <c r="A861" s="23"/>
      <c r="B861" s="23"/>
      <c r="D861" s="23"/>
      <c r="F861" s="23"/>
      <c r="H861" s="45"/>
      <c r="J861" s="23"/>
      <c r="L861" s="45"/>
      <c r="N861" s="23"/>
      <c r="P861" s="45"/>
      <c r="R861" s="23"/>
      <c r="T861" s="60"/>
      <c r="V861" s="60"/>
    </row>
    <row r="862" spans="1:22" ht="13.8" thickBot="1">
      <c r="A862" s="23"/>
      <c r="B862" s="23"/>
      <c r="D862" s="23"/>
      <c r="F862" s="23"/>
      <c r="H862" s="45"/>
      <c r="J862" s="23"/>
      <c r="L862" s="45"/>
      <c r="N862" s="23"/>
      <c r="P862" s="45"/>
      <c r="R862" s="23"/>
      <c r="T862" s="60"/>
      <c r="V862" s="60"/>
    </row>
    <row r="863" spans="1:22" ht="13.8" thickBot="1">
      <c r="A863" s="23"/>
      <c r="B863" s="23"/>
      <c r="D863" s="23"/>
      <c r="F863" s="23"/>
      <c r="H863" s="45"/>
      <c r="J863" s="23"/>
      <c r="L863" s="45"/>
      <c r="N863" s="23"/>
      <c r="P863" s="45"/>
      <c r="R863" s="23"/>
      <c r="T863" s="60"/>
      <c r="V863" s="60"/>
    </row>
    <row r="864" spans="1:22" ht="13.8" thickBot="1">
      <c r="A864" s="23"/>
      <c r="B864" s="23"/>
      <c r="D864" s="23"/>
      <c r="F864" s="23"/>
      <c r="H864" s="45"/>
      <c r="J864" s="23"/>
      <c r="L864" s="45"/>
      <c r="N864" s="23"/>
      <c r="P864" s="45"/>
      <c r="R864" s="23"/>
      <c r="T864" s="60"/>
      <c r="V864" s="60"/>
    </row>
    <row r="865" spans="1:22" ht="13.8" thickBot="1">
      <c r="A865" s="23"/>
      <c r="B865" s="23"/>
      <c r="D865" s="23"/>
      <c r="F865" s="23"/>
      <c r="H865" s="45"/>
      <c r="J865" s="23"/>
      <c r="L865" s="45"/>
      <c r="N865" s="23"/>
      <c r="P865" s="45"/>
      <c r="R865" s="23"/>
      <c r="T865" s="60"/>
      <c r="V865" s="60"/>
    </row>
    <row r="866" spans="1:22" ht="13.8" thickBot="1">
      <c r="A866" s="23"/>
      <c r="B866" s="23"/>
      <c r="D866" s="23"/>
      <c r="F866" s="23"/>
      <c r="H866" s="45"/>
      <c r="J866" s="23"/>
      <c r="L866" s="45"/>
      <c r="N866" s="23"/>
      <c r="P866" s="45"/>
      <c r="R866" s="23"/>
      <c r="T866" s="60"/>
      <c r="V866" s="60"/>
    </row>
    <row r="867" spans="1:22" ht="13.8" thickBot="1">
      <c r="A867" s="23"/>
      <c r="B867" s="23"/>
      <c r="D867" s="23"/>
      <c r="F867" s="23"/>
      <c r="H867" s="45"/>
      <c r="J867" s="23"/>
      <c r="L867" s="45"/>
      <c r="N867" s="23"/>
      <c r="P867" s="45"/>
      <c r="R867" s="23"/>
      <c r="T867" s="60"/>
      <c r="V867" s="60"/>
    </row>
    <row r="868" spans="1:22" ht="13.8" thickBot="1">
      <c r="A868" s="23"/>
      <c r="B868" s="23"/>
      <c r="D868" s="23"/>
      <c r="F868" s="23"/>
      <c r="H868" s="45"/>
      <c r="J868" s="23"/>
      <c r="L868" s="45"/>
      <c r="N868" s="23"/>
      <c r="P868" s="45"/>
      <c r="R868" s="23"/>
      <c r="T868" s="60"/>
      <c r="V868" s="60"/>
    </row>
    <row r="869" spans="1:22" ht="13.8" thickBot="1">
      <c r="A869" s="23"/>
      <c r="B869" s="23"/>
      <c r="D869" s="23"/>
      <c r="F869" s="23"/>
      <c r="H869" s="45"/>
      <c r="J869" s="23"/>
      <c r="L869" s="45"/>
      <c r="N869" s="23"/>
      <c r="P869" s="45"/>
      <c r="R869" s="23"/>
      <c r="T869" s="60"/>
      <c r="V869" s="60"/>
    </row>
    <row r="870" spans="1:22" ht="13.8" thickBot="1">
      <c r="A870" s="23"/>
      <c r="B870" s="23"/>
      <c r="D870" s="23"/>
      <c r="F870" s="23"/>
      <c r="H870" s="45"/>
      <c r="J870" s="23"/>
      <c r="L870" s="45"/>
      <c r="N870" s="23"/>
      <c r="P870" s="45"/>
      <c r="R870" s="23"/>
      <c r="T870" s="60"/>
      <c r="V870" s="60"/>
    </row>
    <row r="871" spans="1:22" ht="13.8" thickBot="1">
      <c r="A871" s="23"/>
      <c r="B871" s="23"/>
      <c r="D871" s="23"/>
      <c r="F871" s="23"/>
      <c r="H871" s="45"/>
      <c r="J871" s="23"/>
      <c r="L871" s="45"/>
      <c r="N871" s="23"/>
      <c r="P871" s="45"/>
      <c r="R871" s="23"/>
      <c r="T871" s="60"/>
      <c r="V871" s="60"/>
    </row>
    <row r="872" spans="1:22" ht="13.8" thickBot="1">
      <c r="A872" s="23"/>
      <c r="B872" s="23"/>
      <c r="D872" s="23"/>
      <c r="F872" s="23"/>
      <c r="H872" s="45"/>
      <c r="J872" s="23"/>
      <c r="L872" s="45"/>
      <c r="N872" s="23"/>
      <c r="P872" s="45"/>
      <c r="R872" s="23"/>
      <c r="T872" s="60"/>
      <c r="V872" s="60"/>
    </row>
    <row r="873" spans="1:22" ht="13.8" thickBot="1">
      <c r="A873" s="23"/>
      <c r="B873" s="23"/>
      <c r="D873" s="23"/>
      <c r="F873" s="23"/>
      <c r="H873" s="45"/>
      <c r="J873" s="23"/>
      <c r="L873" s="45"/>
      <c r="N873" s="23"/>
      <c r="P873" s="45"/>
      <c r="R873" s="23"/>
      <c r="T873" s="60"/>
      <c r="V873" s="60"/>
    </row>
    <row r="874" spans="1:22" ht="13.8" thickBot="1">
      <c r="A874" s="23"/>
      <c r="B874" s="23"/>
      <c r="D874" s="23"/>
      <c r="F874" s="23"/>
      <c r="H874" s="45"/>
      <c r="J874" s="23"/>
      <c r="L874" s="45"/>
      <c r="N874" s="23"/>
      <c r="P874" s="45"/>
      <c r="R874" s="23"/>
      <c r="T874" s="60"/>
      <c r="V874" s="60"/>
    </row>
    <row r="875" spans="1:22" ht="13.8" thickBot="1">
      <c r="A875" s="23"/>
      <c r="B875" s="23"/>
      <c r="D875" s="23"/>
      <c r="F875" s="23"/>
      <c r="H875" s="45"/>
      <c r="J875" s="23"/>
      <c r="L875" s="45"/>
      <c r="N875" s="23"/>
      <c r="P875" s="45"/>
      <c r="R875" s="23"/>
      <c r="T875" s="60"/>
      <c r="V875" s="60"/>
    </row>
    <row r="876" spans="1:22" ht="13.8" thickBot="1">
      <c r="A876" s="23"/>
      <c r="B876" s="23"/>
      <c r="D876" s="23"/>
      <c r="F876" s="23"/>
      <c r="H876" s="45"/>
      <c r="J876" s="23"/>
      <c r="L876" s="45"/>
      <c r="N876" s="23"/>
      <c r="P876" s="45"/>
      <c r="R876" s="23"/>
      <c r="T876" s="60"/>
      <c r="V876" s="60"/>
    </row>
    <row r="877" spans="1:22" ht="13.8" thickBot="1">
      <c r="A877" s="23"/>
      <c r="B877" s="23"/>
      <c r="D877" s="23"/>
      <c r="F877" s="23"/>
      <c r="H877" s="45"/>
      <c r="J877" s="23"/>
      <c r="L877" s="45"/>
      <c r="N877" s="23"/>
      <c r="P877" s="45"/>
      <c r="R877" s="23"/>
      <c r="T877" s="60"/>
      <c r="V877" s="60"/>
    </row>
    <row r="878" spans="1:22" ht="13.8" thickBot="1">
      <c r="A878" s="23"/>
      <c r="B878" s="23"/>
      <c r="D878" s="23"/>
      <c r="F878" s="23"/>
      <c r="H878" s="45"/>
      <c r="J878" s="23"/>
      <c r="L878" s="45"/>
      <c r="N878" s="23"/>
      <c r="P878" s="45"/>
      <c r="R878" s="23"/>
      <c r="T878" s="60"/>
      <c r="V878" s="60"/>
    </row>
    <row r="879" spans="1:22" ht="13.8" thickBot="1">
      <c r="A879" s="23"/>
      <c r="B879" s="23"/>
      <c r="D879" s="23"/>
      <c r="F879" s="23"/>
      <c r="H879" s="45"/>
      <c r="J879" s="23"/>
      <c r="L879" s="45"/>
      <c r="N879" s="23"/>
      <c r="P879" s="45"/>
      <c r="R879" s="23"/>
      <c r="T879" s="60"/>
      <c r="V879" s="60"/>
    </row>
    <row r="880" spans="1:22" ht="13.8" thickBot="1">
      <c r="A880" s="23"/>
      <c r="B880" s="23"/>
      <c r="D880" s="23"/>
      <c r="F880" s="23"/>
      <c r="H880" s="45"/>
      <c r="J880" s="23"/>
      <c r="L880" s="45"/>
      <c r="N880" s="23"/>
      <c r="P880" s="45"/>
      <c r="R880" s="23"/>
      <c r="T880" s="60"/>
      <c r="V880" s="60"/>
    </row>
    <row r="881" spans="1:22" ht="13.8" thickBot="1">
      <c r="A881" s="23"/>
      <c r="B881" s="23"/>
      <c r="D881" s="23"/>
      <c r="F881" s="23"/>
      <c r="H881" s="45"/>
      <c r="J881" s="23"/>
      <c r="L881" s="45"/>
      <c r="N881" s="23"/>
      <c r="P881" s="45"/>
      <c r="R881" s="23"/>
      <c r="T881" s="60"/>
      <c r="V881" s="60"/>
    </row>
    <row r="882" spans="1:22" ht="13.8" thickBot="1">
      <c r="A882" s="23"/>
      <c r="B882" s="23"/>
      <c r="D882" s="23"/>
      <c r="F882" s="23"/>
      <c r="H882" s="45"/>
      <c r="J882" s="23"/>
      <c r="L882" s="45"/>
      <c r="N882" s="23"/>
      <c r="P882" s="45"/>
      <c r="R882" s="23"/>
      <c r="T882" s="60"/>
      <c r="V882" s="60"/>
    </row>
    <row r="883" spans="1:22" ht="13.8" thickBot="1">
      <c r="A883" s="23"/>
      <c r="B883" s="23"/>
      <c r="D883" s="23"/>
      <c r="F883" s="23"/>
      <c r="H883" s="45"/>
      <c r="J883" s="23"/>
      <c r="L883" s="45"/>
      <c r="N883" s="23"/>
      <c r="P883" s="45"/>
      <c r="R883" s="23"/>
      <c r="T883" s="60"/>
      <c r="V883" s="60"/>
    </row>
    <row r="884" spans="1:22" ht="13.8" thickBot="1">
      <c r="A884" s="23"/>
      <c r="B884" s="23"/>
      <c r="D884" s="23"/>
      <c r="F884" s="23"/>
      <c r="H884" s="45"/>
      <c r="J884" s="23"/>
      <c r="L884" s="45"/>
      <c r="N884" s="23"/>
      <c r="P884" s="45"/>
      <c r="R884" s="23"/>
      <c r="T884" s="60"/>
      <c r="V884" s="60"/>
    </row>
    <row r="885" spans="1:22" ht="13.8" thickBot="1">
      <c r="A885" s="23"/>
      <c r="B885" s="23"/>
      <c r="D885" s="23"/>
      <c r="F885" s="23"/>
      <c r="H885" s="45"/>
      <c r="J885" s="23"/>
      <c r="L885" s="45"/>
      <c r="N885" s="23"/>
      <c r="P885" s="45"/>
      <c r="R885" s="23"/>
      <c r="T885" s="60"/>
      <c r="V885" s="60"/>
    </row>
    <row r="886" spans="1:22" ht="13.8" thickBot="1">
      <c r="A886" s="23"/>
      <c r="B886" s="23"/>
      <c r="D886" s="23"/>
      <c r="F886" s="23"/>
      <c r="H886" s="45"/>
      <c r="J886" s="23"/>
      <c r="L886" s="45"/>
      <c r="N886" s="23"/>
      <c r="P886" s="45"/>
      <c r="R886" s="23"/>
      <c r="T886" s="60"/>
      <c r="V886" s="60"/>
    </row>
    <row r="887" spans="1:22" ht="13.8" thickBot="1">
      <c r="A887" s="23"/>
      <c r="B887" s="23"/>
      <c r="D887" s="23"/>
      <c r="F887" s="23"/>
      <c r="H887" s="45"/>
      <c r="J887" s="23"/>
      <c r="L887" s="45"/>
      <c r="N887" s="23"/>
      <c r="P887" s="45"/>
      <c r="R887" s="23"/>
      <c r="T887" s="60"/>
      <c r="V887" s="60"/>
    </row>
    <row r="888" spans="1:22" ht="13.8" thickBot="1">
      <c r="A888" s="23"/>
      <c r="B888" s="23"/>
      <c r="D888" s="23"/>
      <c r="F888" s="23"/>
      <c r="H888" s="45"/>
      <c r="J888" s="23"/>
      <c r="L888" s="45"/>
      <c r="N888" s="23"/>
      <c r="P888" s="45"/>
      <c r="R888" s="23"/>
      <c r="T888" s="60"/>
      <c r="V888" s="60"/>
    </row>
    <row r="889" spans="1:22" ht="13.8" thickBot="1">
      <c r="A889" s="23"/>
      <c r="B889" s="23"/>
      <c r="D889" s="23"/>
      <c r="F889" s="23"/>
      <c r="H889" s="45"/>
      <c r="J889" s="23"/>
      <c r="L889" s="45"/>
      <c r="N889" s="23"/>
      <c r="P889" s="45"/>
      <c r="R889" s="23"/>
      <c r="T889" s="60"/>
      <c r="V889" s="60"/>
    </row>
    <row r="890" spans="1:22" ht="13.8" thickBot="1">
      <c r="A890" s="23"/>
      <c r="B890" s="23"/>
      <c r="D890" s="23"/>
      <c r="F890" s="23"/>
      <c r="H890" s="45"/>
      <c r="J890" s="23"/>
      <c r="L890" s="45"/>
      <c r="N890" s="23"/>
      <c r="P890" s="45"/>
      <c r="R890" s="23"/>
      <c r="T890" s="60"/>
      <c r="V890" s="60"/>
    </row>
    <row r="891" spans="1:22" ht="13.8" thickBot="1">
      <c r="A891" s="23"/>
      <c r="B891" s="23"/>
      <c r="D891" s="23"/>
      <c r="F891" s="23"/>
      <c r="H891" s="45"/>
      <c r="J891" s="23"/>
      <c r="L891" s="45"/>
      <c r="N891" s="23"/>
      <c r="P891" s="45"/>
      <c r="R891" s="23"/>
      <c r="T891" s="60"/>
      <c r="V891" s="60"/>
    </row>
    <row r="892" spans="1:22" ht="13.8" thickBot="1">
      <c r="A892" s="23"/>
      <c r="B892" s="23"/>
      <c r="D892" s="23"/>
      <c r="F892" s="23"/>
      <c r="H892" s="45"/>
      <c r="J892" s="23"/>
      <c r="L892" s="45"/>
      <c r="N892" s="23"/>
      <c r="P892" s="45"/>
      <c r="R892" s="23"/>
      <c r="T892" s="60"/>
      <c r="V892" s="60"/>
    </row>
    <row r="893" spans="1:22" ht="13.8" thickBot="1">
      <c r="A893" s="23"/>
      <c r="B893" s="23"/>
      <c r="D893" s="23"/>
      <c r="F893" s="23"/>
      <c r="H893" s="45"/>
      <c r="J893" s="23"/>
      <c r="L893" s="45"/>
      <c r="N893" s="23"/>
      <c r="P893" s="45"/>
      <c r="R893" s="23"/>
      <c r="T893" s="60"/>
      <c r="V893" s="60"/>
    </row>
    <row r="894" spans="1:22" ht="13.8" thickBot="1">
      <c r="A894" s="23"/>
      <c r="B894" s="23"/>
      <c r="D894" s="23"/>
      <c r="F894" s="23"/>
      <c r="H894" s="45"/>
      <c r="J894" s="23"/>
      <c r="L894" s="45"/>
      <c r="N894" s="23"/>
      <c r="P894" s="45"/>
      <c r="R894" s="23"/>
      <c r="T894" s="60"/>
      <c r="V894" s="60"/>
    </row>
    <row r="895" spans="1:22" ht="13.8" thickBot="1">
      <c r="A895" s="23"/>
      <c r="B895" s="23"/>
      <c r="D895" s="23"/>
      <c r="F895" s="23"/>
      <c r="H895" s="45"/>
      <c r="J895" s="23"/>
      <c r="L895" s="45"/>
      <c r="N895" s="23"/>
      <c r="P895" s="45"/>
      <c r="R895" s="23"/>
      <c r="T895" s="60"/>
      <c r="V895" s="60"/>
    </row>
    <row r="896" spans="1:22" ht="13.8" thickBot="1">
      <c r="A896" s="23"/>
      <c r="B896" s="23"/>
      <c r="D896" s="23"/>
      <c r="F896" s="23"/>
      <c r="H896" s="45"/>
      <c r="J896" s="23"/>
      <c r="L896" s="45"/>
      <c r="N896" s="23"/>
      <c r="P896" s="45"/>
      <c r="R896" s="23"/>
      <c r="T896" s="60"/>
      <c r="V896" s="60"/>
    </row>
    <row r="897" spans="1:22" ht="13.8" thickBot="1">
      <c r="A897" s="23"/>
      <c r="B897" s="23"/>
      <c r="D897" s="23"/>
      <c r="F897" s="23"/>
      <c r="H897" s="45"/>
      <c r="J897" s="23"/>
      <c r="L897" s="45"/>
      <c r="N897" s="23"/>
      <c r="P897" s="45"/>
      <c r="R897" s="23"/>
      <c r="T897" s="60"/>
      <c r="V897" s="60"/>
    </row>
    <row r="898" spans="1:22" ht="13.8" thickBot="1">
      <c r="A898" s="23"/>
      <c r="B898" s="23"/>
      <c r="D898" s="23"/>
      <c r="F898" s="23"/>
      <c r="H898" s="45"/>
      <c r="J898" s="23"/>
      <c r="L898" s="45"/>
      <c r="N898" s="23"/>
      <c r="P898" s="45"/>
      <c r="R898" s="23"/>
      <c r="T898" s="60"/>
      <c r="V898" s="60"/>
    </row>
    <row r="899" spans="1:22" ht="13.8" thickBot="1">
      <c r="A899" s="23"/>
      <c r="B899" s="23"/>
      <c r="D899" s="23"/>
      <c r="F899" s="23"/>
      <c r="H899" s="45"/>
      <c r="J899" s="23"/>
      <c r="L899" s="45"/>
      <c r="N899" s="23"/>
      <c r="P899" s="45"/>
      <c r="R899" s="23"/>
      <c r="T899" s="60"/>
      <c r="V899" s="60"/>
    </row>
    <row r="900" spans="1:22" ht="13.8" thickBot="1">
      <c r="A900" s="23"/>
      <c r="B900" s="23"/>
      <c r="D900" s="23"/>
      <c r="F900" s="23"/>
      <c r="H900" s="45"/>
      <c r="J900" s="23"/>
      <c r="L900" s="45"/>
      <c r="N900" s="23"/>
      <c r="P900" s="45"/>
      <c r="R900" s="23"/>
      <c r="T900" s="60"/>
      <c r="V900" s="60"/>
    </row>
    <row r="901" spans="1:22" ht="13.8" thickBot="1">
      <c r="A901" s="23"/>
      <c r="B901" s="23"/>
      <c r="D901" s="23"/>
      <c r="F901" s="23"/>
      <c r="H901" s="45"/>
      <c r="J901" s="23"/>
      <c r="L901" s="45"/>
      <c r="N901" s="23"/>
      <c r="P901" s="45"/>
      <c r="R901" s="23"/>
      <c r="T901" s="60"/>
      <c r="V901" s="60"/>
    </row>
    <row r="902" spans="1:22" ht="13.8" thickBot="1">
      <c r="A902" s="23"/>
      <c r="B902" s="23"/>
      <c r="D902" s="23"/>
      <c r="F902" s="23"/>
      <c r="H902" s="45"/>
      <c r="J902" s="23"/>
      <c r="L902" s="45"/>
      <c r="N902" s="23"/>
      <c r="P902" s="45"/>
      <c r="R902" s="23"/>
      <c r="T902" s="60"/>
      <c r="V902" s="60"/>
    </row>
    <row r="903" spans="1:22" ht="13.8" thickBot="1">
      <c r="A903" s="23"/>
      <c r="B903" s="23"/>
      <c r="D903" s="23"/>
      <c r="F903" s="23"/>
      <c r="H903" s="45"/>
      <c r="J903" s="23"/>
      <c r="L903" s="45"/>
      <c r="N903" s="23"/>
      <c r="P903" s="45"/>
      <c r="R903" s="23"/>
      <c r="T903" s="60"/>
      <c r="V903" s="60"/>
    </row>
    <row r="904" spans="1:22" ht="13.8" thickBot="1">
      <c r="A904" s="23"/>
      <c r="B904" s="23"/>
      <c r="D904" s="23"/>
      <c r="F904" s="23"/>
      <c r="H904" s="45"/>
      <c r="J904" s="23"/>
      <c r="L904" s="45"/>
      <c r="N904" s="23"/>
      <c r="P904" s="45"/>
      <c r="R904" s="23"/>
      <c r="T904" s="60"/>
      <c r="V904" s="60"/>
    </row>
    <row r="905" spans="1:22" ht="13.8" thickBot="1">
      <c r="A905" s="23"/>
      <c r="B905" s="23"/>
      <c r="D905" s="23"/>
      <c r="F905" s="23"/>
      <c r="H905" s="45"/>
      <c r="J905" s="23"/>
      <c r="L905" s="45"/>
      <c r="N905" s="23"/>
      <c r="P905" s="45"/>
      <c r="R905" s="23"/>
      <c r="T905" s="60"/>
      <c r="V905" s="60"/>
    </row>
    <row r="906" spans="1:22" ht="13.8" thickBot="1">
      <c r="A906" s="23"/>
      <c r="B906" s="23"/>
      <c r="D906" s="23"/>
      <c r="F906" s="23"/>
      <c r="H906" s="45"/>
      <c r="J906" s="23"/>
      <c r="L906" s="45"/>
      <c r="N906" s="23"/>
      <c r="P906" s="45"/>
      <c r="R906" s="23"/>
      <c r="T906" s="60"/>
      <c r="V906" s="60"/>
    </row>
    <row r="907" spans="1:22" ht="13.8" thickBot="1">
      <c r="A907" s="23"/>
      <c r="B907" s="23"/>
      <c r="D907" s="23"/>
      <c r="F907" s="23"/>
      <c r="H907" s="45"/>
      <c r="J907" s="23"/>
      <c r="L907" s="45"/>
      <c r="N907" s="23"/>
      <c r="P907" s="45"/>
      <c r="R907" s="23"/>
      <c r="T907" s="60"/>
      <c r="V907" s="60"/>
    </row>
    <row r="908" spans="1:22" ht="13.8" thickBot="1">
      <c r="A908" s="23"/>
      <c r="B908" s="23"/>
      <c r="D908" s="23"/>
      <c r="F908" s="23"/>
      <c r="H908" s="45"/>
      <c r="J908" s="23"/>
      <c r="L908" s="45"/>
      <c r="N908" s="23"/>
      <c r="P908" s="45"/>
      <c r="R908" s="23"/>
      <c r="T908" s="60"/>
      <c r="V908" s="60"/>
    </row>
    <row r="909" spans="1:22" ht="13.8" thickBot="1">
      <c r="A909" s="23"/>
      <c r="B909" s="23"/>
      <c r="D909" s="23"/>
      <c r="F909" s="23"/>
      <c r="H909" s="45"/>
      <c r="J909" s="23"/>
      <c r="L909" s="45"/>
      <c r="N909" s="23"/>
      <c r="P909" s="45"/>
      <c r="R909" s="23"/>
      <c r="T909" s="60"/>
      <c r="V909" s="60"/>
    </row>
    <row r="910" spans="1:22" ht="13.8" thickBot="1">
      <c r="A910" s="23"/>
      <c r="B910" s="23"/>
      <c r="D910" s="23"/>
      <c r="F910" s="23"/>
      <c r="H910" s="45"/>
      <c r="J910" s="23"/>
      <c r="L910" s="45"/>
      <c r="N910" s="23"/>
      <c r="P910" s="45"/>
      <c r="R910" s="23"/>
      <c r="T910" s="60"/>
      <c r="V910" s="60"/>
    </row>
    <row r="911" spans="1:22" ht="13.8" thickBot="1">
      <c r="A911" s="23"/>
      <c r="B911" s="23"/>
      <c r="D911" s="23"/>
      <c r="F911" s="23"/>
      <c r="H911" s="45"/>
      <c r="J911" s="23"/>
      <c r="L911" s="45"/>
      <c r="N911" s="23"/>
      <c r="P911" s="45"/>
      <c r="R911" s="23"/>
      <c r="T911" s="60"/>
      <c r="V911" s="60"/>
    </row>
    <row r="912" spans="1:22" ht="13.8" thickBot="1">
      <c r="A912" s="23"/>
      <c r="B912" s="23"/>
      <c r="D912" s="23"/>
      <c r="F912" s="23"/>
      <c r="H912" s="45"/>
      <c r="J912" s="23"/>
      <c r="L912" s="45"/>
      <c r="N912" s="23"/>
      <c r="P912" s="45"/>
      <c r="R912" s="23"/>
      <c r="T912" s="60"/>
      <c r="V912" s="60"/>
    </row>
    <row r="913" spans="1:22" ht="13.8" thickBot="1">
      <c r="A913" s="23"/>
      <c r="B913" s="23"/>
      <c r="D913" s="23"/>
      <c r="F913" s="23"/>
      <c r="H913" s="45"/>
      <c r="J913" s="23"/>
      <c r="L913" s="45"/>
      <c r="N913" s="23"/>
      <c r="P913" s="45"/>
      <c r="R913" s="23"/>
      <c r="T913" s="60"/>
      <c r="V913" s="60"/>
    </row>
    <row r="914" spans="1:22" ht="13.8" thickBot="1">
      <c r="A914" s="23"/>
      <c r="B914" s="23"/>
      <c r="D914" s="23"/>
      <c r="F914" s="23"/>
      <c r="H914" s="45"/>
      <c r="J914" s="23"/>
      <c r="L914" s="45"/>
      <c r="N914" s="23"/>
      <c r="P914" s="45"/>
      <c r="R914" s="23"/>
      <c r="T914" s="60"/>
      <c r="V914" s="60"/>
    </row>
    <row r="915" spans="1:22" ht="13.8" thickBot="1">
      <c r="A915" s="23"/>
      <c r="B915" s="23"/>
      <c r="D915" s="23"/>
      <c r="F915" s="23"/>
      <c r="H915" s="45"/>
      <c r="J915" s="23"/>
      <c r="L915" s="45"/>
      <c r="N915" s="23"/>
      <c r="P915" s="45"/>
      <c r="R915" s="23"/>
      <c r="T915" s="60"/>
      <c r="V915" s="60"/>
    </row>
    <row r="916" spans="1:22" ht="13.8" thickBot="1">
      <c r="A916" s="23"/>
      <c r="B916" s="23"/>
      <c r="D916" s="23"/>
      <c r="F916" s="23"/>
      <c r="H916" s="45"/>
      <c r="J916" s="23"/>
      <c r="L916" s="45"/>
      <c r="N916" s="23"/>
      <c r="P916" s="45"/>
      <c r="R916" s="23"/>
      <c r="T916" s="60"/>
      <c r="V916" s="60"/>
    </row>
    <row r="917" spans="1:22" ht="13.8" thickBot="1">
      <c r="A917" s="23"/>
      <c r="B917" s="23"/>
      <c r="D917" s="23"/>
      <c r="F917" s="23"/>
      <c r="H917" s="45"/>
      <c r="J917" s="23"/>
      <c r="L917" s="45"/>
      <c r="N917" s="23"/>
      <c r="P917" s="45"/>
      <c r="R917" s="23"/>
      <c r="T917" s="60"/>
      <c r="V917" s="60"/>
    </row>
    <row r="918" spans="1:22" ht="13.8" thickBot="1">
      <c r="A918" s="23"/>
      <c r="B918" s="23"/>
      <c r="D918" s="23"/>
      <c r="F918" s="23"/>
      <c r="H918" s="45"/>
      <c r="J918" s="23"/>
      <c r="L918" s="45"/>
      <c r="N918" s="23"/>
      <c r="P918" s="45"/>
      <c r="R918" s="23"/>
      <c r="T918" s="60"/>
      <c r="V918" s="60"/>
    </row>
    <row r="919" spans="1:22" ht="13.8" thickBot="1">
      <c r="A919" s="23"/>
      <c r="B919" s="23"/>
      <c r="D919" s="23"/>
      <c r="F919" s="23"/>
      <c r="H919" s="45"/>
      <c r="J919" s="23"/>
      <c r="L919" s="45"/>
      <c r="N919" s="23"/>
      <c r="P919" s="45"/>
      <c r="R919" s="23"/>
      <c r="T919" s="60"/>
      <c r="V919" s="60"/>
    </row>
    <row r="920" spans="1:22" ht="13.8" thickBot="1">
      <c r="A920" s="23"/>
      <c r="B920" s="23"/>
      <c r="D920" s="23"/>
      <c r="F920" s="23"/>
      <c r="H920" s="45"/>
      <c r="J920" s="23"/>
      <c r="L920" s="45"/>
      <c r="N920" s="23"/>
      <c r="P920" s="45"/>
      <c r="R920" s="23"/>
      <c r="T920" s="60"/>
      <c r="V920" s="60"/>
    </row>
    <row r="921" spans="1:22" ht="13.8" thickBot="1">
      <c r="A921" s="23"/>
      <c r="B921" s="23"/>
      <c r="D921" s="23"/>
      <c r="F921" s="23"/>
      <c r="H921" s="45"/>
      <c r="J921" s="23"/>
      <c r="L921" s="45"/>
      <c r="N921" s="23"/>
      <c r="P921" s="45"/>
      <c r="R921" s="23"/>
      <c r="T921" s="60"/>
      <c r="V921" s="60"/>
    </row>
    <row r="922" spans="1:22" ht="13.8" thickBot="1">
      <c r="A922" s="23"/>
      <c r="B922" s="23"/>
      <c r="D922" s="23"/>
      <c r="F922" s="23"/>
      <c r="H922" s="45"/>
      <c r="J922" s="23"/>
      <c r="L922" s="45"/>
      <c r="N922" s="23"/>
      <c r="P922" s="45"/>
      <c r="R922" s="23"/>
      <c r="T922" s="60"/>
      <c r="V922" s="60"/>
    </row>
    <row r="923" spans="1:22" ht="13.8" thickBot="1">
      <c r="A923" s="23"/>
      <c r="B923" s="23"/>
      <c r="D923" s="23"/>
      <c r="F923" s="23"/>
      <c r="H923" s="45"/>
      <c r="J923" s="23"/>
      <c r="L923" s="45"/>
      <c r="N923" s="23"/>
      <c r="P923" s="45"/>
      <c r="R923" s="23"/>
      <c r="T923" s="60"/>
      <c r="V923" s="60"/>
    </row>
    <row r="924" spans="1:22" ht="13.8" thickBot="1">
      <c r="A924" s="23"/>
      <c r="B924" s="23"/>
      <c r="D924" s="23"/>
      <c r="F924" s="23"/>
      <c r="H924" s="45"/>
      <c r="J924" s="23"/>
      <c r="L924" s="45"/>
      <c r="N924" s="23"/>
      <c r="P924" s="45"/>
      <c r="R924" s="23"/>
      <c r="T924" s="60"/>
      <c r="V924" s="60"/>
    </row>
    <row r="925" spans="1:22" ht="13.8" thickBot="1">
      <c r="A925" s="23"/>
      <c r="B925" s="23"/>
      <c r="D925" s="23"/>
      <c r="F925" s="23"/>
      <c r="H925" s="45"/>
      <c r="J925" s="23"/>
      <c r="L925" s="45"/>
      <c r="N925" s="23"/>
      <c r="P925" s="45"/>
      <c r="R925" s="23"/>
      <c r="T925" s="60"/>
      <c r="V925" s="60"/>
    </row>
    <row r="926" spans="1:22" ht="13.8" thickBot="1">
      <c r="A926" s="23"/>
      <c r="B926" s="23"/>
      <c r="D926" s="23"/>
      <c r="F926" s="23"/>
      <c r="H926" s="45"/>
      <c r="J926" s="23"/>
      <c r="L926" s="45"/>
      <c r="N926" s="23"/>
      <c r="P926" s="45"/>
      <c r="R926" s="23"/>
      <c r="T926" s="60"/>
      <c r="V926" s="60"/>
    </row>
    <row r="927" spans="1:22" ht="13.8" thickBot="1">
      <c r="A927" s="23"/>
      <c r="B927" s="23"/>
      <c r="D927" s="23"/>
      <c r="F927" s="23"/>
      <c r="H927" s="45"/>
      <c r="J927" s="23"/>
      <c r="L927" s="45"/>
      <c r="N927" s="23"/>
      <c r="P927" s="45"/>
      <c r="R927" s="23"/>
      <c r="T927" s="60"/>
      <c r="V927" s="60"/>
    </row>
    <row r="928" spans="1:22" ht="13.8" thickBot="1">
      <c r="A928" s="23"/>
      <c r="B928" s="23"/>
      <c r="D928" s="23"/>
      <c r="F928" s="23"/>
      <c r="H928" s="45"/>
      <c r="J928" s="23"/>
      <c r="L928" s="45"/>
      <c r="N928" s="23"/>
      <c r="P928" s="45"/>
      <c r="R928" s="23"/>
      <c r="T928" s="60"/>
      <c r="V928" s="60"/>
    </row>
    <row r="929" spans="1:22" ht="13.8" thickBot="1">
      <c r="A929" s="23"/>
      <c r="B929" s="23"/>
      <c r="D929" s="23"/>
      <c r="F929" s="23"/>
      <c r="H929" s="45"/>
      <c r="J929" s="23"/>
      <c r="L929" s="45"/>
      <c r="N929" s="23"/>
      <c r="P929" s="45"/>
      <c r="R929" s="23"/>
      <c r="T929" s="60"/>
      <c r="V929" s="60"/>
    </row>
    <row r="930" spans="1:22" ht="13.8" thickBot="1">
      <c r="A930" s="23"/>
      <c r="B930" s="23"/>
      <c r="D930" s="23"/>
      <c r="F930" s="23"/>
      <c r="H930" s="45"/>
      <c r="J930" s="23"/>
      <c r="L930" s="45"/>
      <c r="N930" s="23"/>
      <c r="P930" s="45"/>
      <c r="R930" s="23"/>
      <c r="T930" s="60"/>
      <c r="V930" s="60"/>
    </row>
    <row r="931" spans="1:22" ht="13.8" thickBot="1">
      <c r="A931" s="23"/>
      <c r="B931" s="23"/>
      <c r="D931" s="23"/>
      <c r="F931" s="23"/>
      <c r="H931" s="45"/>
      <c r="J931" s="23"/>
      <c r="L931" s="45"/>
      <c r="N931" s="23"/>
      <c r="P931" s="45"/>
      <c r="R931" s="23"/>
      <c r="T931" s="60"/>
      <c r="V931" s="60"/>
    </row>
    <row r="932" spans="1:22" ht="13.8" thickBot="1">
      <c r="A932" s="23"/>
      <c r="B932" s="23"/>
      <c r="D932" s="23"/>
      <c r="F932" s="23"/>
      <c r="H932" s="45"/>
      <c r="J932" s="23"/>
      <c r="L932" s="45"/>
      <c r="N932" s="23"/>
      <c r="P932" s="45"/>
      <c r="R932" s="23"/>
      <c r="T932" s="60"/>
      <c r="V932" s="60"/>
    </row>
    <row r="933" spans="1:22" ht="13.8" thickBot="1">
      <c r="A933" s="23"/>
      <c r="B933" s="23"/>
      <c r="D933" s="23"/>
      <c r="F933" s="23"/>
      <c r="H933" s="45"/>
      <c r="J933" s="23"/>
      <c r="L933" s="45"/>
      <c r="N933" s="23"/>
      <c r="P933" s="45"/>
      <c r="R933" s="23"/>
      <c r="T933" s="60"/>
      <c r="V933" s="60"/>
    </row>
    <row r="934" spans="1:22" ht="13.8" thickBot="1">
      <c r="A934" s="23"/>
      <c r="B934" s="23"/>
      <c r="D934" s="23"/>
      <c r="F934" s="23"/>
      <c r="H934" s="45"/>
      <c r="J934" s="23"/>
      <c r="L934" s="45"/>
      <c r="N934" s="23"/>
      <c r="P934" s="45"/>
      <c r="R934" s="23"/>
      <c r="T934" s="60"/>
      <c r="V934" s="60"/>
    </row>
    <row r="935" spans="1:22" ht="13.8" thickBot="1">
      <c r="A935" s="23"/>
      <c r="B935" s="23"/>
      <c r="D935" s="23"/>
      <c r="F935" s="23"/>
      <c r="H935" s="45"/>
      <c r="J935" s="23"/>
      <c r="L935" s="45"/>
      <c r="N935" s="23"/>
      <c r="P935" s="45"/>
      <c r="R935" s="23"/>
      <c r="T935" s="60"/>
      <c r="V935" s="60"/>
    </row>
    <row r="936" spans="1:22" ht="13.8" thickBot="1">
      <c r="A936" s="23"/>
      <c r="B936" s="23"/>
      <c r="D936" s="23"/>
      <c r="F936" s="23"/>
      <c r="H936" s="45"/>
      <c r="J936" s="23"/>
      <c r="L936" s="45"/>
      <c r="N936" s="23"/>
      <c r="P936" s="45"/>
      <c r="R936" s="23"/>
      <c r="T936" s="60"/>
      <c r="V936" s="60"/>
    </row>
    <row r="937" spans="1:22" ht="13.8" thickBot="1">
      <c r="A937" s="23"/>
      <c r="B937" s="23"/>
      <c r="D937" s="23"/>
      <c r="F937" s="23"/>
      <c r="H937" s="45"/>
      <c r="J937" s="23"/>
      <c r="L937" s="45"/>
      <c r="N937" s="23"/>
      <c r="P937" s="45"/>
      <c r="R937" s="23"/>
      <c r="T937" s="60"/>
      <c r="V937" s="60"/>
    </row>
    <row r="938" spans="1:22" ht="13.8" thickBot="1">
      <c r="A938" s="23"/>
      <c r="B938" s="23"/>
      <c r="D938" s="23"/>
      <c r="F938" s="23"/>
      <c r="H938" s="45"/>
      <c r="J938" s="23"/>
      <c r="L938" s="45"/>
      <c r="N938" s="23"/>
      <c r="P938" s="45"/>
      <c r="R938" s="23"/>
      <c r="T938" s="60"/>
      <c r="V938" s="60"/>
    </row>
    <row r="939" spans="1:22" ht="13.8" thickBot="1">
      <c r="A939" s="23"/>
      <c r="B939" s="23"/>
      <c r="D939" s="23"/>
      <c r="F939" s="23"/>
      <c r="H939" s="45"/>
      <c r="J939" s="23"/>
      <c r="L939" s="45"/>
      <c r="N939" s="23"/>
      <c r="P939" s="45"/>
      <c r="R939" s="23"/>
      <c r="T939" s="60"/>
      <c r="V939" s="60"/>
    </row>
    <row r="940" spans="1:22" ht="13.8" thickBot="1">
      <c r="A940" s="23"/>
      <c r="B940" s="23"/>
      <c r="D940" s="23"/>
      <c r="F940" s="23"/>
      <c r="H940" s="45"/>
      <c r="J940" s="23"/>
      <c r="L940" s="45"/>
      <c r="N940" s="23"/>
      <c r="P940" s="45"/>
      <c r="R940" s="23"/>
      <c r="T940" s="60"/>
      <c r="V940" s="60"/>
    </row>
    <row r="941" spans="1:22" ht="13.8" thickBot="1">
      <c r="A941" s="23"/>
      <c r="B941" s="23"/>
      <c r="D941" s="23"/>
      <c r="F941" s="23"/>
      <c r="H941" s="45"/>
      <c r="J941" s="23"/>
      <c r="L941" s="45"/>
      <c r="N941" s="23"/>
      <c r="P941" s="45"/>
      <c r="R941" s="23"/>
      <c r="T941" s="60"/>
      <c r="V941" s="60"/>
    </row>
    <row r="942" spans="1:22" ht="13.8" thickBot="1">
      <c r="A942" s="23"/>
      <c r="B942" s="23"/>
      <c r="D942" s="23"/>
      <c r="F942" s="23"/>
      <c r="H942" s="45"/>
      <c r="J942" s="23"/>
      <c r="L942" s="45"/>
      <c r="N942" s="23"/>
      <c r="P942" s="45"/>
      <c r="R942" s="23"/>
      <c r="T942" s="60"/>
      <c r="V942" s="60"/>
    </row>
    <row r="943" spans="1:22" ht="13.8" thickBot="1">
      <c r="A943" s="23"/>
      <c r="B943" s="23"/>
      <c r="D943" s="23"/>
      <c r="F943" s="23"/>
      <c r="H943" s="45"/>
      <c r="J943" s="23"/>
      <c r="L943" s="45"/>
      <c r="N943" s="23"/>
      <c r="P943" s="45"/>
      <c r="R943" s="23"/>
      <c r="T943" s="60"/>
      <c r="V943" s="60"/>
    </row>
    <row r="944" spans="1:22" ht="13.8" thickBot="1">
      <c r="A944" s="23"/>
      <c r="B944" s="23"/>
      <c r="D944" s="23"/>
      <c r="F944" s="23"/>
      <c r="H944" s="45"/>
      <c r="J944" s="23"/>
      <c r="L944" s="45"/>
      <c r="N944" s="23"/>
      <c r="P944" s="45"/>
      <c r="R944" s="23"/>
      <c r="T944" s="60"/>
      <c r="V944" s="60"/>
    </row>
    <row r="945" spans="1:22" ht="13.8" thickBot="1">
      <c r="A945" s="23"/>
      <c r="B945" s="23"/>
      <c r="D945" s="23"/>
      <c r="F945" s="23"/>
      <c r="H945" s="45"/>
      <c r="J945" s="23"/>
      <c r="L945" s="45"/>
      <c r="N945" s="23"/>
      <c r="P945" s="45"/>
      <c r="R945" s="23"/>
      <c r="T945" s="60"/>
      <c r="V945" s="60"/>
    </row>
    <row r="946" spans="1:22" ht="13.8" thickBot="1">
      <c r="A946" s="23"/>
      <c r="B946" s="23"/>
      <c r="D946" s="23"/>
      <c r="F946" s="23"/>
      <c r="H946" s="45"/>
      <c r="J946" s="23"/>
      <c r="L946" s="45"/>
      <c r="N946" s="23"/>
      <c r="P946" s="45"/>
      <c r="R946" s="23"/>
      <c r="T946" s="60"/>
      <c r="V946" s="60"/>
    </row>
    <row r="947" spans="1:22" ht="13.8" thickBot="1">
      <c r="A947" s="23"/>
      <c r="B947" s="23"/>
      <c r="D947" s="23"/>
      <c r="F947" s="23"/>
      <c r="H947" s="45"/>
      <c r="J947" s="23"/>
      <c r="L947" s="45"/>
      <c r="N947" s="23"/>
      <c r="P947" s="45"/>
      <c r="R947" s="23"/>
      <c r="T947" s="60"/>
      <c r="V947" s="60"/>
    </row>
    <row r="948" spans="1:22" ht="13.8" thickBot="1">
      <c r="A948" s="23"/>
      <c r="B948" s="23"/>
      <c r="D948" s="23"/>
      <c r="F948" s="23"/>
      <c r="H948" s="45"/>
      <c r="J948" s="23"/>
      <c r="L948" s="45"/>
      <c r="N948" s="23"/>
      <c r="P948" s="45"/>
      <c r="R948" s="23"/>
      <c r="T948" s="60"/>
      <c r="V948" s="60"/>
    </row>
    <row r="949" spans="1:22" ht="13.8" thickBot="1">
      <c r="A949" s="23"/>
      <c r="B949" s="23"/>
      <c r="D949" s="23"/>
      <c r="F949" s="23"/>
      <c r="H949" s="45"/>
      <c r="J949" s="23"/>
      <c r="L949" s="45"/>
      <c r="N949" s="23"/>
      <c r="P949" s="45"/>
      <c r="R949" s="23"/>
      <c r="T949" s="60"/>
      <c r="V949" s="60"/>
    </row>
    <row r="950" spans="1:22" ht="13.8" thickBot="1">
      <c r="A950" s="23"/>
      <c r="B950" s="23"/>
      <c r="D950" s="23"/>
      <c r="F950" s="23"/>
      <c r="H950" s="45"/>
      <c r="J950" s="23"/>
      <c r="L950" s="45"/>
      <c r="N950" s="23"/>
      <c r="P950" s="45"/>
      <c r="R950" s="23"/>
      <c r="T950" s="60"/>
      <c r="V950" s="60"/>
    </row>
    <row r="951" spans="1:22" ht="13.8" thickBot="1">
      <c r="A951" s="23"/>
      <c r="B951" s="23"/>
      <c r="D951" s="23"/>
      <c r="F951" s="23"/>
      <c r="H951" s="45"/>
      <c r="J951" s="23"/>
      <c r="L951" s="45"/>
      <c r="N951" s="23"/>
      <c r="P951" s="45"/>
      <c r="R951" s="23"/>
      <c r="T951" s="60"/>
      <c r="V951" s="60"/>
    </row>
    <row r="952" spans="1:22" ht="13.8" thickBot="1">
      <c r="A952" s="23"/>
      <c r="B952" s="23"/>
      <c r="D952" s="23"/>
      <c r="F952" s="23"/>
      <c r="H952" s="45"/>
      <c r="J952" s="23"/>
      <c r="L952" s="45"/>
      <c r="N952" s="23"/>
      <c r="P952" s="45"/>
      <c r="R952" s="23"/>
      <c r="T952" s="60"/>
      <c r="V952" s="60"/>
    </row>
    <row r="953" spans="1:22" ht="13.8" thickBot="1">
      <c r="A953" s="23"/>
      <c r="B953" s="23"/>
      <c r="D953" s="23"/>
      <c r="F953" s="23"/>
      <c r="H953" s="45"/>
      <c r="J953" s="23"/>
      <c r="L953" s="45"/>
      <c r="N953" s="23"/>
      <c r="P953" s="45"/>
      <c r="R953" s="23"/>
      <c r="T953" s="60"/>
      <c r="V953" s="60"/>
    </row>
    <row r="954" spans="1:22" ht="13.8" thickBot="1">
      <c r="A954" s="23"/>
      <c r="B954" s="23"/>
      <c r="D954" s="23"/>
      <c r="F954" s="23"/>
      <c r="H954" s="45"/>
      <c r="J954" s="23"/>
      <c r="L954" s="45"/>
      <c r="N954" s="23"/>
      <c r="P954" s="45"/>
      <c r="R954" s="23"/>
      <c r="T954" s="60"/>
      <c r="V954" s="60"/>
    </row>
    <row r="955" spans="1:22" ht="13.8" thickBot="1">
      <c r="A955" s="23"/>
      <c r="B955" s="23"/>
      <c r="D955" s="23"/>
      <c r="F955" s="23"/>
      <c r="H955" s="45"/>
      <c r="J955" s="23"/>
      <c r="L955" s="45"/>
      <c r="N955" s="23"/>
      <c r="P955" s="45"/>
      <c r="R955" s="23"/>
      <c r="T955" s="60"/>
      <c r="V955" s="60"/>
    </row>
    <row r="956" spans="1:22" ht="13.8" thickBot="1">
      <c r="A956" s="23"/>
      <c r="B956" s="23"/>
      <c r="D956" s="23"/>
      <c r="F956" s="23"/>
      <c r="H956" s="45"/>
      <c r="J956" s="23"/>
      <c r="L956" s="45"/>
      <c r="N956" s="23"/>
      <c r="P956" s="45"/>
      <c r="R956" s="23"/>
      <c r="T956" s="60"/>
      <c r="V956" s="60"/>
    </row>
    <row r="957" spans="1:22" ht="13.8" thickBot="1">
      <c r="A957" s="23"/>
      <c r="B957" s="23"/>
      <c r="D957" s="23"/>
      <c r="F957" s="23"/>
      <c r="H957" s="45"/>
      <c r="J957" s="23"/>
      <c r="L957" s="45"/>
      <c r="N957" s="23"/>
      <c r="P957" s="45"/>
      <c r="R957" s="23"/>
      <c r="T957" s="60"/>
      <c r="V957" s="60"/>
    </row>
    <row r="958" spans="1:22" ht="13.8" thickBot="1">
      <c r="A958" s="23"/>
      <c r="B958" s="23"/>
      <c r="D958" s="23"/>
      <c r="F958" s="23"/>
      <c r="H958" s="45"/>
      <c r="J958" s="23"/>
      <c r="L958" s="45"/>
      <c r="N958" s="23"/>
      <c r="P958" s="45"/>
      <c r="R958" s="23"/>
      <c r="T958" s="60"/>
      <c r="V958" s="60"/>
    </row>
    <row r="959" spans="1:22" ht="13.8" thickBot="1">
      <c r="A959" s="23"/>
      <c r="B959" s="23"/>
      <c r="D959" s="23"/>
      <c r="F959" s="23"/>
      <c r="H959" s="45"/>
      <c r="J959" s="23"/>
      <c r="L959" s="45"/>
      <c r="N959" s="23"/>
      <c r="P959" s="45"/>
      <c r="R959" s="23"/>
      <c r="T959" s="60"/>
      <c r="V959" s="60"/>
    </row>
    <row r="960" spans="1:22" ht="13.8" thickBot="1">
      <c r="A960" s="23"/>
      <c r="B960" s="23"/>
      <c r="D960" s="23"/>
      <c r="F960" s="23"/>
      <c r="H960" s="45"/>
      <c r="J960" s="23"/>
      <c r="L960" s="45"/>
      <c r="N960" s="23"/>
      <c r="P960" s="45"/>
      <c r="R960" s="23"/>
      <c r="T960" s="60"/>
      <c r="V960" s="60"/>
    </row>
    <row r="961" spans="1:22" ht="13.8" thickBot="1">
      <c r="A961" s="23"/>
      <c r="B961" s="23"/>
      <c r="D961" s="23"/>
      <c r="F961" s="23"/>
      <c r="H961" s="45"/>
      <c r="J961" s="23"/>
      <c r="L961" s="45"/>
      <c r="N961" s="23"/>
      <c r="P961" s="45"/>
      <c r="R961" s="23"/>
      <c r="T961" s="60"/>
      <c r="V961" s="60"/>
    </row>
    <row r="962" spans="1:22" ht="13.8" thickBot="1">
      <c r="A962" s="23"/>
      <c r="B962" s="23"/>
      <c r="D962" s="23"/>
      <c r="F962" s="23"/>
      <c r="H962" s="45"/>
      <c r="J962" s="23"/>
      <c r="L962" s="45"/>
      <c r="N962" s="23"/>
      <c r="P962" s="45"/>
      <c r="R962" s="23"/>
      <c r="T962" s="60"/>
      <c r="V962" s="60"/>
    </row>
    <row r="963" spans="1:22" ht="13.8" thickBot="1">
      <c r="A963" s="23"/>
      <c r="B963" s="23"/>
      <c r="D963" s="23"/>
      <c r="F963" s="23"/>
      <c r="H963" s="45"/>
      <c r="J963" s="23"/>
      <c r="L963" s="45"/>
      <c r="N963" s="23"/>
      <c r="P963" s="45"/>
      <c r="R963" s="23"/>
      <c r="T963" s="60"/>
      <c r="V963" s="60"/>
    </row>
    <row r="964" spans="1:22" ht="13.8" thickBot="1">
      <c r="A964" s="23"/>
      <c r="B964" s="23"/>
      <c r="D964" s="23"/>
      <c r="F964" s="23"/>
      <c r="H964" s="45"/>
      <c r="J964" s="23"/>
      <c r="L964" s="45"/>
      <c r="N964" s="23"/>
      <c r="P964" s="45"/>
      <c r="R964" s="23"/>
      <c r="T964" s="60"/>
      <c r="V964" s="60"/>
    </row>
    <row r="965" spans="1:22" ht="13.8" thickBot="1">
      <c r="A965" s="23"/>
      <c r="B965" s="23"/>
      <c r="D965" s="23"/>
      <c r="F965" s="23"/>
      <c r="H965" s="45"/>
      <c r="J965" s="23"/>
      <c r="L965" s="45"/>
      <c r="N965" s="23"/>
      <c r="P965" s="45"/>
      <c r="R965" s="23"/>
      <c r="T965" s="60"/>
      <c r="V965" s="60"/>
    </row>
    <row r="966" spans="1:22" ht="13.8" thickBot="1">
      <c r="A966" s="23"/>
      <c r="B966" s="23"/>
      <c r="D966" s="23"/>
      <c r="F966" s="23"/>
      <c r="H966" s="45"/>
      <c r="J966" s="23"/>
      <c r="L966" s="45"/>
      <c r="N966" s="23"/>
      <c r="P966" s="45"/>
      <c r="R966" s="23"/>
      <c r="T966" s="60"/>
      <c r="V966" s="60"/>
    </row>
    <row r="967" spans="1:22" ht="13.8" thickBot="1">
      <c r="A967" s="23"/>
      <c r="B967" s="23"/>
      <c r="D967" s="23"/>
      <c r="F967" s="23"/>
      <c r="H967" s="45"/>
      <c r="J967" s="23"/>
      <c r="L967" s="45"/>
      <c r="N967" s="23"/>
      <c r="P967" s="45"/>
      <c r="R967" s="23"/>
      <c r="T967" s="60"/>
      <c r="V967" s="60"/>
    </row>
    <row r="968" spans="1:22" ht="13.8" thickBot="1">
      <c r="A968" s="23"/>
      <c r="B968" s="23"/>
      <c r="D968" s="23"/>
      <c r="F968" s="23"/>
      <c r="H968" s="45"/>
      <c r="J968" s="23"/>
      <c r="L968" s="45"/>
      <c r="N968" s="23"/>
      <c r="P968" s="45"/>
      <c r="R968" s="23"/>
      <c r="T968" s="60"/>
      <c r="V968" s="60"/>
    </row>
    <row r="969" spans="1:22" ht="13.8" thickBot="1">
      <c r="A969" s="23"/>
      <c r="B969" s="23"/>
      <c r="D969" s="23"/>
      <c r="F969" s="23"/>
      <c r="H969" s="45"/>
      <c r="J969" s="23"/>
      <c r="L969" s="45"/>
      <c r="N969" s="23"/>
      <c r="P969" s="45"/>
      <c r="R969" s="23"/>
      <c r="T969" s="60"/>
      <c r="V969" s="60"/>
    </row>
    <row r="970" spans="1:22" ht="13.8" thickBot="1">
      <c r="A970" s="23"/>
      <c r="B970" s="23"/>
      <c r="D970" s="23"/>
      <c r="F970" s="23"/>
      <c r="H970" s="45"/>
      <c r="J970" s="23"/>
      <c r="L970" s="45"/>
      <c r="N970" s="23"/>
      <c r="P970" s="45"/>
      <c r="R970" s="23"/>
      <c r="T970" s="60"/>
      <c r="V970" s="60"/>
    </row>
    <row r="971" spans="1:22" ht="13.8" thickBot="1">
      <c r="A971" s="23"/>
      <c r="B971" s="23"/>
      <c r="D971" s="23"/>
      <c r="F971" s="23"/>
      <c r="H971" s="45"/>
      <c r="J971" s="23"/>
      <c r="L971" s="45"/>
      <c r="N971" s="23"/>
      <c r="P971" s="45"/>
      <c r="R971" s="23"/>
      <c r="T971" s="60"/>
      <c r="V971" s="60"/>
    </row>
    <row r="972" spans="1:22" ht="13.8" thickBot="1">
      <c r="A972" s="23"/>
      <c r="B972" s="23"/>
      <c r="D972" s="23"/>
      <c r="F972" s="23"/>
      <c r="H972" s="45"/>
      <c r="J972" s="23"/>
      <c r="L972" s="45"/>
      <c r="N972" s="23"/>
      <c r="P972" s="45"/>
      <c r="R972" s="23"/>
      <c r="T972" s="60"/>
      <c r="V972" s="60"/>
    </row>
    <row r="973" spans="1:22" ht="13.8" thickBot="1">
      <c r="A973" s="23"/>
      <c r="B973" s="23"/>
      <c r="D973" s="23"/>
      <c r="F973" s="23"/>
      <c r="H973" s="45"/>
      <c r="J973" s="23"/>
      <c r="L973" s="45"/>
      <c r="N973" s="23"/>
      <c r="P973" s="45"/>
      <c r="R973" s="23"/>
      <c r="T973" s="60"/>
      <c r="V973" s="60"/>
    </row>
    <row r="974" spans="1:22" ht="13.8" thickBot="1">
      <c r="A974" s="23"/>
      <c r="B974" s="23"/>
      <c r="D974" s="23"/>
      <c r="F974" s="23"/>
      <c r="H974" s="45"/>
      <c r="J974" s="23"/>
      <c r="L974" s="45"/>
      <c r="N974" s="23"/>
      <c r="P974" s="45"/>
      <c r="R974" s="23"/>
      <c r="T974" s="60"/>
      <c r="V974" s="60"/>
    </row>
    <row r="975" spans="1:22" ht="13.8" thickBot="1">
      <c r="A975" s="23"/>
      <c r="B975" s="23"/>
      <c r="D975" s="23"/>
      <c r="F975" s="23"/>
      <c r="H975" s="45"/>
      <c r="J975" s="23"/>
      <c r="L975" s="45"/>
      <c r="N975" s="23"/>
      <c r="P975" s="45"/>
      <c r="R975" s="23"/>
      <c r="T975" s="60"/>
      <c r="V975" s="60"/>
    </row>
    <row r="976" spans="1:22" ht="13.8" thickBot="1">
      <c r="A976" s="23"/>
      <c r="B976" s="23"/>
      <c r="D976" s="23"/>
      <c r="F976" s="23"/>
      <c r="H976" s="45"/>
      <c r="J976" s="23"/>
      <c r="L976" s="45"/>
      <c r="N976" s="23"/>
      <c r="P976" s="45"/>
      <c r="R976" s="23"/>
      <c r="T976" s="60"/>
      <c r="V976" s="60"/>
    </row>
    <row r="977" spans="1:22" ht="13.8" thickBot="1">
      <c r="A977" s="23"/>
      <c r="B977" s="23"/>
      <c r="D977" s="23"/>
      <c r="F977" s="23"/>
      <c r="H977" s="45"/>
      <c r="J977" s="23"/>
      <c r="L977" s="45"/>
      <c r="N977" s="23"/>
      <c r="P977" s="45"/>
      <c r="R977" s="23"/>
      <c r="T977" s="60"/>
      <c r="V977" s="60"/>
    </row>
    <row r="978" spans="1:22" ht="13.8" thickBot="1">
      <c r="A978" s="23"/>
      <c r="B978" s="23"/>
      <c r="D978" s="23"/>
      <c r="F978" s="23"/>
      <c r="H978" s="45"/>
      <c r="J978" s="23"/>
      <c r="L978" s="45"/>
      <c r="N978" s="23"/>
      <c r="P978" s="45"/>
      <c r="R978" s="23"/>
      <c r="T978" s="60"/>
      <c r="V978" s="60"/>
    </row>
    <row r="979" spans="1:22" ht="13.8" thickBot="1">
      <c r="A979" s="23"/>
      <c r="B979" s="23"/>
      <c r="D979" s="23"/>
      <c r="F979" s="23"/>
      <c r="H979" s="45"/>
      <c r="J979" s="23"/>
      <c r="L979" s="45"/>
      <c r="N979" s="23"/>
      <c r="P979" s="45"/>
      <c r="R979" s="23"/>
      <c r="T979" s="60"/>
      <c r="V979" s="60"/>
    </row>
    <row r="980" spans="1:22" ht="13.8" thickBot="1">
      <c r="A980" s="23"/>
      <c r="B980" s="23"/>
      <c r="D980" s="23"/>
      <c r="F980" s="23"/>
      <c r="H980" s="45"/>
      <c r="J980" s="23"/>
      <c r="L980" s="45"/>
      <c r="N980" s="23"/>
      <c r="P980" s="45"/>
      <c r="R980" s="23"/>
      <c r="T980" s="60"/>
      <c r="V980" s="60"/>
    </row>
    <row r="981" spans="1:22" ht="13.8" thickBot="1">
      <c r="A981" s="23"/>
      <c r="B981" s="23"/>
      <c r="D981" s="23"/>
      <c r="F981" s="23"/>
      <c r="H981" s="45"/>
      <c r="J981" s="23"/>
      <c r="L981" s="45"/>
      <c r="N981" s="23"/>
      <c r="P981" s="45"/>
      <c r="R981" s="23"/>
      <c r="T981" s="60"/>
      <c r="V981" s="60"/>
    </row>
    <row r="982" spans="1:22" ht="13.8" thickBot="1">
      <c r="A982" s="23"/>
      <c r="B982" s="23"/>
      <c r="D982" s="23"/>
      <c r="F982" s="23"/>
      <c r="H982" s="45"/>
      <c r="J982" s="23"/>
      <c r="L982" s="45"/>
      <c r="N982" s="23"/>
      <c r="P982" s="45"/>
      <c r="R982" s="23"/>
      <c r="T982" s="60"/>
      <c r="V982" s="60"/>
    </row>
    <row r="983" spans="1:22" ht="13.8" thickBot="1">
      <c r="A983" s="23"/>
      <c r="B983" s="23"/>
      <c r="D983" s="23"/>
      <c r="F983" s="23"/>
      <c r="H983" s="45"/>
      <c r="J983" s="23"/>
      <c r="L983" s="45"/>
      <c r="N983" s="23"/>
      <c r="P983" s="45"/>
      <c r="R983" s="23"/>
      <c r="T983" s="60"/>
      <c r="V983" s="60"/>
    </row>
    <row r="984" spans="1:22" ht="13.8" thickBot="1">
      <c r="A984" s="23"/>
      <c r="B984" s="23"/>
      <c r="D984" s="23"/>
      <c r="F984" s="23"/>
      <c r="H984" s="45"/>
      <c r="J984" s="23"/>
      <c r="L984" s="45"/>
      <c r="N984" s="23"/>
      <c r="P984" s="45"/>
      <c r="R984" s="23"/>
      <c r="T984" s="60"/>
      <c r="V984" s="60"/>
    </row>
    <row r="985" spans="1:22" ht="13.8" thickBot="1">
      <c r="A985" s="23"/>
      <c r="B985" s="23"/>
      <c r="D985" s="23"/>
      <c r="F985" s="23"/>
      <c r="H985" s="45"/>
      <c r="J985" s="23"/>
      <c r="L985" s="45"/>
      <c r="N985" s="23"/>
      <c r="P985" s="45"/>
      <c r="R985" s="23"/>
      <c r="T985" s="60"/>
      <c r="V985" s="60"/>
    </row>
    <row r="986" spans="1:22" ht="13.8" thickBot="1">
      <c r="A986" s="23"/>
      <c r="B986" s="23"/>
      <c r="D986" s="23"/>
      <c r="F986" s="23"/>
      <c r="H986" s="45"/>
      <c r="J986" s="23"/>
      <c r="L986" s="45"/>
      <c r="N986" s="23"/>
      <c r="P986" s="45"/>
      <c r="R986" s="23"/>
      <c r="T986" s="60"/>
      <c r="V986" s="60"/>
    </row>
    <row r="987" spans="1:22" ht="13.8" thickBot="1">
      <c r="A987" s="23"/>
      <c r="B987" s="23"/>
      <c r="D987" s="23"/>
      <c r="F987" s="23"/>
      <c r="H987" s="45"/>
      <c r="J987" s="23"/>
      <c r="L987" s="45"/>
      <c r="N987" s="23"/>
      <c r="P987" s="45"/>
      <c r="R987" s="23"/>
      <c r="T987" s="60"/>
      <c r="V987" s="60"/>
    </row>
    <row r="988" spans="1:22" ht="13.8" thickBot="1">
      <c r="A988" s="23"/>
      <c r="B988" s="23"/>
      <c r="D988" s="23"/>
      <c r="F988" s="23"/>
      <c r="H988" s="45"/>
      <c r="J988" s="23"/>
      <c r="L988" s="45"/>
      <c r="N988" s="23"/>
      <c r="P988" s="45"/>
      <c r="R988" s="23"/>
      <c r="T988" s="60"/>
      <c r="V988" s="60"/>
    </row>
    <row r="989" spans="1:22" ht="13.8" thickBot="1">
      <c r="A989" s="23"/>
      <c r="B989" s="23"/>
      <c r="D989" s="23"/>
      <c r="F989" s="23"/>
      <c r="H989" s="45"/>
      <c r="J989" s="23"/>
      <c r="L989" s="45"/>
      <c r="N989" s="23"/>
      <c r="P989" s="45"/>
      <c r="R989" s="23"/>
      <c r="T989" s="60"/>
      <c r="V989" s="60"/>
    </row>
    <row r="990" spans="1:22" ht="13.8" thickBot="1">
      <c r="A990" s="23"/>
      <c r="B990" s="23"/>
      <c r="D990" s="23"/>
      <c r="F990" s="23"/>
      <c r="H990" s="45"/>
      <c r="J990" s="23"/>
      <c r="L990" s="45"/>
      <c r="N990" s="23"/>
      <c r="P990" s="45"/>
      <c r="R990" s="23"/>
      <c r="T990" s="60"/>
      <c r="V990" s="60"/>
    </row>
    <row r="991" spans="1:22" ht="13.8" thickBot="1">
      <c r="A991" s="23"/>
      <c r="B991" s="23"/>
      <c r="D991" s="23"/>
      <c r="F991" s="23"/>
      <c r="H991" s="45"/>
      <c r="J991" s="23"/>
      <c r="L991" s="45"/>
      <c r="N991" s="23"/>
      <c r="P991" s="45"/>
      <c r="R991" s="23"/>
      <c r="T991" s="60"/>
      <c r="V991" s="60"/>
    </row>
    <row r="992" spans="1:22" ht="13.8" thickBot="1">
      <c r="A992" s="23"/>
      <c r="B992" s="23"/>
      <c r="D992" s="23"/>
      <c r="F992" s="23"/>
      <c r="H992" s="45"/>
      <c r="J992" s="23"/>
      <c r="L992" s="45"/>
      <c r="N992" s="23"/>
      <c r="P992" s="45"/>
      <c r="R992" s="23"/>
      <c r="T992" s="60"/>
      <c r="V992" s="60"/>
    </row>
    <row r="993" spans="1:22" ht="13.8" thickBot="1">
      <c r="A993" s="23"/>
      <c r="B993" s="23"/>
      <c r="D993" s="23"/>
      <c r="F993" s="23"/>
      <c r="H993" s="45"/>
      <c r="J993" s="23"/>
      <c r="L993" s="45"/>
      <c r="N993" s="23"/>
      <c r="P993" s="45"/>
      <c r="R993" s="23"/>
      <c r="T993" s="60"/>
      <c r="V993" s="60"/>
    </row>
    <row r="994" spans="1:22" ht="13.8" thickBot="1">
      <c r="A994" s="23"/>
      <c r="B994" s="23"/>
      <c r="D994" s="23"/>
      <c r="F994" s="23"/>
      <c r="H994" s="45"/>
      <c r="J994" s="23"/>
      <c r="L994" s="45"/>
      <c r="N994" s="23"/>
      <c r="P994" s="45"/>
      <c r="R994" s="23"/>
      <c r="T994" s="60"/>
      <c r="V994" s="60"/>
    </row>
    <row r="995" spans="1:22" ht="13.8" thickBot="1">
      <c r="A995" s="23"/>
      <c r="B995" s="23"/>
      <c r="D995" s="23"/>
      <c r="F995" s="23"/>
      <c r="H995" s="45"/>
      <c r="J995" s="23"/>
      <c r="L995" s="45"/>
      <c r="N995" s="23"/>
      <c r="P995" s="45"/>
      <c r="R995" s="23"/>
      <c r="T995" s="60"/>
      <c r="V995" s="60"/>
    </row>
    <row r="996" spans="1:22" ht="13.8" thickBot="1">
      <c r="A996" s="23"/>
      <c r="B996" s="23"/>
      <c r="D996" s="23"/>
      <c r="F996" s="23"/>
      <c r="H996" s="45"/>
      <c r="J996" s="23"/>
      <c r="L996" s="45"/>
      <c r="N996" s="23"/>
      <c r="P996" s="45"/>
      <c r="R996" s="23"/>
      <c r="T996" s="60"/>
      <c r="V996" s="60"/>
    </row>
    <row r="997" spans="1:22" ht="13.8" thickBot="1">
      <c r="A997" s="23"/>
      <c r="B997" s="23"/>
      <c r="D997" s="23"/>
      <c r="F997" s="23"/>
      <c r="H997" s="45"/>
      <c r="J997" s="23"/>
      <c r="L997" s="45"/>
      <c r="N997" s="23"/>
      <c r="P997" s="45"/>
      <c r="R997" s="23"/>
      <c r="T997" s="60"/>
      <c r="V997" s="60"/>
    </row>
    <row r="998" spans="1:22" ht="13.8" thickBot="1">
      <c r="A998" s="23"/>
      <c r="B998" s="23"/>
      <c r="D998" s="23"/>
      <c r="F998" s="23"/>
      <c r="H998" s="45"/>
      <c r="J998" s="23"/>
      <c r="L998" s="45"/>
      <c r="N998" s="23"/>
      <c r="P998" s="45"/>
      <c r="R998" s="23"/>
      <c r="T998" s="60"/>
      <c r="V998" s="60"/>
    </row>
    <row r="999" spans="1:22" ht="13.8" thickBot="1">
      <c r="A999" s="23"/>
      <c r="B999" s="23"/>
      <c r="D999" s="23"/>
      <c r="F999" s="23"/>
      <c r="H999" s="45"/>
      <c r="J999" s="23"/>
      <c r="L999" s="45"/>
      <c r="N999" s="23"/>
      <c r="P999" s="45"/>
      <c r="R999" s="23"/>
      <c r="T999" s="60"/>
      <c r="V999" s="60"/>
    </row>
    <row r="1000" spans="1:22" ht="13.8" thickBot="1">
      <c r="A1000" s="23"/>
      <c r="B1000" s="23"/>
      <c r="D1000" s="23"/>
      <c r="F1000" s="23"/>
      <c r="H1000" s="45"/>
      <c r="J1000" s="23"/>
      <c r="L1000" s="45"/>
      <c r="N1000" s="23"/>
      <c r="P1000" s="45"/>
      <c r="R1000" s="23"/>
      <c r="T1000" s="60"/>
      <c r="V1000" s="60"/>
    </row>
    <row r="1001" spans="1:22" ht="13.8" thickBot="1">
      <c r="A1001" s="23"/>
      <c r="B1001" s="23"/>
      <c r="D1001" s="23"/>
      <c r="F1001" s="45"/>
      <c r="H1001" s="45"/>
      <c r="J1001" s="23"/>
      <c r="L1001" s="45"/>
      <c r="N1001" s="23"/>
      <c r="P1001" s="45"/>
      <c r="R1001" s="23"/>
      <c r="T1001" s="60"/>
    </row>
    <row r="1002" spans="1:22" ht="13.8" thickBot="1">
      <c r="B1002" s="23"/>
      <c r="D1002" s="23"/>
      <c r="F1002" s="45"/>
      <c r="H1002" s="45"/>
      <c r="J1002" s="23"/>
      <c r="L1002" s="45"/>
      <c r="N1002" s="23"/>
      <c r="P1002" s="45"/>
      <c r="R1002" s="23"/>
      <c r="T1002" s="6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Q1000"/>
  <sheetViews>
    <sheetView topLeftCell="AC1" workbookViewId="0">
      <selection activeCell="AG4" sqref="AG4"/>
    </sheetView>
  </sheetViews>
  <sheetFormatPr defaultColWidth="12.6640625" defaultRowHeight="15.75" customHeight="1"/>
  <cols>
    <col min="1" max="2" width="12.6640625" customWidth="1"/>
    <col min="3" max="3" width="16.77734375" customWidth="1"/>
    <col min="4" max="4" width="12.6640625" customWidth="1"/>
    <col min="5" max="5" width="16.21875" customWidth="1"/>
    <col min="6" max="6" width="12.6640625" customWidth="1"/>
    <col min="7" max="7" width="17.33203125" customWidth="1"/>
    <col min="9" max="9" width="17.77734375" customWidth="1"/>
    <col min="27" max="27" width="16.77734375" customWidth="1"/>
    <col min="29" max="29" width="16.88671875" customWidth="1"/>
    <col min="31" max="31" width="16.88671875" customWidth="1"/>
    <col min="38" max="38" width="21.77734375" customWidth="1"/>
    <col min="39" max="39" width="15.33203125" customWidth="1"/>
    <col min="41" max="41" width="20.109375" customWidth="1"/>
    <col min="42" max="42" width="16.77734375" customWidth="1"/>
  </cols>
  <sheetData>
    <row r="1" spans="1:43">
      <c r="A1" s="1" t="s">
        <v>0</v>
      </c>
      <c r="B1" s="2" t="s">
        <v>1</v>
      </c>
      <c r="C1" s="48" t="s">
        <v>2</v>
      </c>
      <c r="D1" s="48" t="s">
        <v>3</v>
      </c>
      <c r="E1" s="49" t="s">
        <v>4</v>
      </c>
      <c r="F1" s="49" t="s">
        <v>5</v>
      </c>
      <c r="G1" s="49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D1" s="23" t="s">
        <v>28</v>
      </c>
    </row>
    <row r="2" spans="1:43">
      <c r="A2" s="6">
        <v>45443</v>
      </c>
      <c r="B2" s="7">
        <v>1406.9</v>
      </c>
      <c r="C2" s="49"/>
      <c r="D2" s="8">
        <v>418.5</v>
      </c>
      <c r="E2" s="49"/>
      <c r="F2" s="7">
        <v>2139.75</v>
      </c>
      <c r="G2" s="49"/>
      <c r="H2" s="7">
        <v>1557.35</v>
      </c>
      <c r="J2" s="7">
        <v>1228.45</v>
      </c>
      <c r="L2" s="7">
        <v>7953.4</v>
      </c>
      <c r="M2" s="9"/>
      <c r="N2" s="7">
        <v>9396.35</v>
      </c>
      <c r="P2" s="7">
        <v>4307.2</v>
      </c>
      <c r="R2" s="7">
        <v>1324.1</v>
      </c>
      <c r="T2" s="7">
        <v>4971</v>
      </c>
      <c r="V2" s="7">
        <v>2284.1</v>
      </c>
      <c r="X2" s="7">
        <v>2179.25</v>
      </c>
      <c r="Z2" s="7">
        <v>3882.1</v>
      </c>
      <c r="AB2" s="10">
        <v>595.54999999999995</v>
      </c>
      <c r="AD2" s="11">
        <v>10767.15</v>
      </c>
    </row>
    <row r="3" spans="1:43">
      <c r="A3" s="12">
        <v>45446</v>
      </c>
      <c r="B3" s="7">
        <v>1405.9</v>
      </c>
      <c r="C3" s="49">
        <f t="shared" ref="C3:C249" si="0">LN(B3/B2)</f>
        <v>-7.1103529730588558E-4</v>
      </c>
      <c r="D3" s="8">
        <v>441.1</v>
      </c>
      <c r="E3" s="49">
        <f t="shared" ref="E3:E249" si="1">LN(D3/D2)</f>
        <v>5.2594717181364041E-2</v>
      </c>
      <c r="F3" s="7">
        <v>2125.5</v>
      </c>
      <c r="G3" s="49">
        <f t="shared" ref="G3:G249" si="2">LN(F3/F2)</f>
        <v>-6.6819309628742465E-3</v>
      </c>
      <c r="H3" s="7">
        <v>1596.5</v>
      </c>
      <c r="I3" s="23">
        <f t="shared" ref="I3:I249" si="3">LN(H3/H2)</f>
        <v>2.4828074317355554E-2</v>
      </c>
      <c r="J3" s="7">
        <v>1245.3499999999999</v>
      </c>
      <c r="K3" s="23">
        <f t="shared" ref="K3:K249" si="4">LN(J3/J2)</f>
        <v>1.3663402796447911E-2</v>
      </c>
      <c r="L3" s="7">
        <v>8014.3</v>
      </c>
      <c r="M3" s="9">
        <f t="shared" ref="M3:M249" si="5">LN(L3/L2)</f>
        <v>7.6279358067403253E-3</v>
      </c>
      <c r="N3" s="7">
        <v>9886</v>
      </c>
      <c r="O3" s="23">
        <f t="shared" ref="O3:O249" si="6">LN(N3/N2)</f>
        <v>5.0798298888289517E-2</v>
      </c>
      <c r="P3" s="7">
        <v>4321.8999999999996</v>
      </c>
      <c r="Q3" s="23">
        <f t="shared" ref="Q3:Q249" si="7">LN(P3/P2)</f>
        <v>3.4070793524305794E-3</v>
      </c>
      <c r="R3" s="7">
        <v>1314.45</v>
      </c>
      <c r="S3" s="23">
        <f t="shared" ref="S3:S249" si="8">LN(R3/R2)</f>
        <v>-7.3146561757416939E-3</v>
      </c>
      <c r="T3" s="7">
        <v>5016.6000000000004</v>
      </c>
      <c r="U3" s="23">
        <f t="shared" ref="U3:U249" si="9">LN(T3/T2)</f>
        <v>9.1313862893947426E-3</v>
      </c>
      <c r="V3" s="7">
        <v>2289.9499999999998</v>
      </c>
      <c r="W3" s="23">
        <f t="shared" ref="W3:W249" si="10">LN(V3/V2)</f>
        <v>2.55790959419507E-3</v>
      </c>
      <c r="X3" s="7">
        <v>2250</v>
      </c>
      <c r="Y3" s="23">
        <f t="shared" ref="Y3:Y249" si="11">LN(X3/X2)</f>
        <v>3.1949435306780405E-2</v>
      </c>
      <c r="Z3" s="7">
        <v>3743.4</v>
      </c>
      <c r="AA3" s="23">
        <f t="shared" ref="AA3:AA249" si="12">LN(Z3/Z2)</f>
        <v>-3.638195496994711E-2</v>
      </c>
      <c r="AB3" s="10">
        <v>594.1</v>
      </c>
      <c r="AC3" s="23">
        <f t="shared" ref="AC3:AC249" si="13">LN(AB3/AB2)</f>
        <v>-2.4376929652140814E-3</v>
      </c>
      <c r="AD3" s="11">
        <v>11101.95</v>
      </c>
      <c r="AE3" s="23">
        <f t="shared" ref="AE3:AE249" si="14">LN(AD3/AD2)</f>
        <v>3.0620936371031166E-2</v>
      </c>
      <c r="AJ3" s="23" t="s">
        <v>29</v>
      </c>
      <c r="AK3" s="23" t="s">
        <v>30</v>
      </c>
      <c r="AM3" s="23" t="s">
        <v>31</v>
      </c>
    </row>
    <row r="4" spans="1:43">
      <c r="A4" s="12">
        <v>45447</v>
      </c>
      <c r="B4" s="7">
        <v>1393.65</v>
      </c>
      <c r="C4" s="49">
        <f t="shared" si="0"/>
        <v>-8.7514623304304987E-3</v>
      </c>
      <c r="D4" s="8">
        <v>412</v>
      </c>
      <c r="E4" s="49">
        <f t="shared" si="1"/>
        <v>-6.8248257761367684E-2</v>
      </c>
      <c r="F4" s="7">
        <v>2096.15</v>
      </c>
      <c r="G4" s="49">
        <f t="shared" si="2"/>
        <v>-1.3904740033060114E-2</v>
      </c>
      <c r="H4" s="7">
        <v>1436.85</v>
      </c>
      <c r="I4" s="23">
        <f t="shared" si="3"/>
        <v>-0.10536051565782641</v>
      </c>
      <c r="J4" s="7">
        <v>1239.3</v>
      </c>
      <c r="K4" s="23">
        <f t="shared" si="4"/>
        <v>-4.8699108178839228E-3</v>
      </c>
      <c r="L4" s="7">
        <v>7933.45</v>
      </c>
      <c r="M4" s="9">
        <f t="shared" si="5"/>
        <v>-1.0139448219401114E-2</v>
      </c>
      <c r="N4" s="7">
        <v>8851.4</v>
      </c>
      <c r="O4" s="23">
        <f t="shared" si="6"/>
        <v>-0.11054397628558327</v>
      </c>
      <c r="P4" s="7">
        <v>4324.1499999999996</v>
      </c>
      <c r="Q4" s="23">
        <f t="shared" si="7"/>
        <v>5.2046889638428034E-4</v>
      </c>
      <c r="R4" s="7">
        <v>1303.55</v>
      </c>
      <c r="S4" s="23">
        <f t="shared" si="8"/>
        <v>-8.3270152658661504E-3</v>
      </c>
      <c r="T4" s="7">
        <v>4966.95</v>
      </c>
      <c r="U4" s="23">
        <f t="shared" si="9"/>
        <v>-9.9464437658777893E-3</v>
      </c>
      <c r="V4" s="7">
        <v>2275.5</v>
      </c>
      <c r="W4" s="23">
        <f t="shared" si="10"/>
        <v>-6.330174792086642E-3</v>
      </c>
      <c r="X4" s="7">
        <v>2211.4499999999998</v>
      </c>
      <c r="Y4" s="23">
        <f t="shared" si="11"/>
        <v>-1.7281807234527501E-2</v>
      </c>
      <c r="Z4" s="7">
        <v>3549.95</v>
      </c>
      <c r="AA4" s="23">
        <f t="shared" si="12"/>
        <v>-5.3060770481564108E-2</v>
      </c>
      <c r="AB4" s="10">
        <v>614.54999999999995</v>
      </c>
      <c r="AC4" s="23">
        <f t="shared" si="13"/>
        <v>3.3842637299293953E-2</v>
      </c>
      <c r="AD4" s="11">
        <v>9800.35</v>
      </c>
      <c r="AE4" s="23">
        <f t="shared" si="14"/>
        <v>-0.12470266924029906</v>
      </c>
      <c r="AJ4" s="23">
        <f>M253</f>
        <v>0.70355444878533313</v>
      </c>
      <c r="AK4" s="23">
        <v>0.25</v>
      </c>
      <c r="AM4" s="23">
        <f t="shared" ref="AM4:AM7" si="15">AK4*AJ4</f>
        <v>0.17588861219633328</v>
      </c>
    </row>
    <row r="5" spans="1:43">
      <c r="A5" s="12">
        <v>45448</v>
      </c>
      <c r="B5" s="7">
        <v>1430.1</v>
      </c>
      <c r="C5" s="49">
        <f t="shared" si="0"/>
        <v>2.5818167123458281E-2</v>
      </c>
      <c r="D5" s="8">
        <v>440.65</v>
      </c>
      <c r="E5" s="49">
        <f t="shared" si="1"/>
        <v>6.722756019614308E-2</v>
      </c>
      <c r="F5" s="7">
        <v>2155.8000000000002</v>
      </c>
      <c r="G5" s="49">
        <f t="shared" si="2"/>
        <v>2.8059555581743442E-2</v>
      </c>
      <c r="H5" s="7">
        <v>1305.25</v>
      </c>
      <c r="I5" s="23">
        <f t="shared" si="3"/>
        <v>-9.6058624206348628E-2</v>
      </c>
      <c r="J5" s="7">
        <v>1266.9000000000001</v>
      </c>
      <c r="K5" s="23">
        <f t="shared" si="4"/>
        <v>2.202626753717904E-2</v>
      </c>
      <c r="L5" s="7">
        <v>8048.9</v>
      </c>
      <c r="M5" s="9">
        <f t="shared" si="5"/>
        <v>1.4447438347287163E-2</v>
      </c>
      <c r="N5" s="7">
        <v>9470.2999999999993</v>
      </c>
      <c r="O5" s="23">
        <f t="shared" si="6"/>
        <v>6.7584947083306479E-2</v>
      </c>
      <c r="P5" s="7">
        <v>4502.7</v>
      </c>
      <c r="Q5" s="23">
        <f t="shared" si="7"/>
        <v>4.0461627571209954E-2</v>
      </c>
      <c r="R5" s="7">
        <v>1343.7</v>
      </c>
      <c r="S5" s="23">
        <f t="shared" si="8"/>
        <v>3.0335690977260792E-2</v>
      </c>
      <c r="T5" s="7">
        <v>5129.1000000000004</v>
      </c>
      <c r="U5" s="23">
        <f t="shared" si="9"/>
        <v>3.2124235558983791E-2</v>
      </c>
      <c r="V5" s="7">
        <v>2362.1</v>
      </c>
      <c r="W5" s="23">
        <f t="shared" si="10"/>
        <v>3.7351245406965605E-2</v>
      </c>
      <c r="X5" s="7">
        <v>2351.8000000000002</v>
      </c>
      <c r="Y5" s="23">
        <f t="shared" si="11"/>
        <v>6.1532583425377124E-2</v>
      </c>
      <c r="Z5" s="7">
        <v>3661.15</v>
      </c>
      <c r="AA5" s="23">
        <f t="shared" si="12"/>
        <v>3.0843786829567635E-2</v>
      </c>
      <c r="AB5" s="10">
        <v>645.5</v>
      </c>
      <c r="AC5" s="23">
        <f t="shared" si="13"/>
        <v>4.9134917625707458E-2</v>
      </c>
      <c r="AD5" s="11">
        <v>10238.85</v>
      </c>
      <c r="AE5" s="23">
        <f t="shared" si="14"/>
        <v>4.3771209292717425E-2</v>
      </c>
      <c r="AJ5" s="23">
        <f>O253</f>
        <v>0.57714759859137899</v>
      </c>
      <c r="AK5" s="23">
        <v>0.25</v>
      </c>
      <c r="AM5" s="23">
        <f t="shared" si="15"/>
        <v>0.14428689964784475</v>
      </c>
    </row>
    <row r="6" spans="1:43">
      <c r="A6" s="12">
        <v>45449</v>
      </c>
      <c r="B6" s="7">
        <v>1472.25</v>
      </c>
      <c r="C6" s="49">
        <f t="shared" si="0"/>
        <v>2.9047470945790448E-2</v>
      </c>
      <c r="D6" s="8">
        <v>468.3</v>
      </c>
      <c r="E6" s="49">
        <f t="shared" si="1"/>
        <v>6.085820664382665E-2</v>
      </c>
      <c r="F6" s="7">
        <v>2156.3000000000002</v>
      </c>
      <c r="G6" s="49">
        <f t="shared" si="2"/>
        <v>2.3190556909191855E-4</v>
      </c>
      <c r="H6" s="7">
        <v>1368.8</v>
      </c>
      <c r="I6" s="23">
        <f t="shared" si="3"/>
        <v>4.7539850287321925E-2</v>
      </c>
      <c r="J6" s="7">
        <v>1317.45</v>
      </c>
      <c r="K6" s="23">
        <f t="shared" si="4"/>
        <v>3.9125078423228564E-2</v>
      </c>
      <c r="L6" s="7">
        <v>8130.3</v>
      </c>
      <c r="M6" s="9">
        <f t="shared" si="5"/>
        <v>1.006238711709226E-2</v>
      </c>
      <c r="N6" s="7">
        <v>9762</v>
      </c>
      <c r="O6" s="23">
        <f t="shared" si="6"/>
        <v>3.0336711782464967E-2</v>
      </c>
      <c r="P6" s="7">
        <v>4448.8999999999996</v>
      </c>
      <c r="Q6" s="23">
        <f t="shared" si="7"/>
        <v>-1.2020342238062502E-2</v>
      </c>
      <c r="R6" s="7">
        <v>1397.5</v>
      </c>
      <c r="S6" s="23">
        <f t="shared" si="8"/>
        <v>3.9257923147890006E-2</v>
      </c>
      <c r="T6" s="7">
        <v>5212.6499999999996</v>
      </c>
      <c r="U6" s="23">
        <f t="shared" si="9"/>
        <v>1.6158158494251538E-2</v>
      </c>
      <c r="V6" s="7">
        <v>2436.3000000000002</v>
      </c>
      <c r="W6" s="23">
        <f t="shared" si="10"/>
        <v>3.092944109281277E-2</v>
      </c>
      <c r="X6" s="7">
        <v>2398.1999999999998</v>
      </c>
      <c r="Y6" s="23">
        <f t="shared" si="11"/>
        <v>1.953746355601723E-2</v>
      </c>
      <c r="Z6" s="7">
        <v>3780</v>
      </c>
      <c r="AA6" s="23">
        <f t="shared" si="12"/>
        <v>3.1946703920834187E-2</v>
      </c>
      <c r="AB6" s="10">
        <v>637.85</v>
      </c>
      <c r="AC6" s="23">
        <f t="shared" si="13"/>
        <v>-1.1922064302398061E-2</v>
      </c>
      <c r="AD6" s="11">
        <v>10447.65</v>
      </c>
      <c r="AE6" s="23">
        <f t="shared" si="14"/>
        <v>2.0187764121441919E-2</v>
      </c>
      <c r="AJ6" s="23">
        <f>Q253</f>
        <v>0.54789395841034727</v>
      </c>
      <c r="AK6" s="23">
        <v>0.25</v>
      </c>
      <c r="AM6" s="23">
        <f t="shared" si="15"/>
        <v>0.13697348960258682</v>
      </c>
    </row>
    <row r="7" spans="1:43">
      <c r="A7" s="12">
        <v>45450</v>
      </c>
      <c r="B7" s="7">
        <v>1533.6</v>
      </c>
      <c r="C7" s="49">
        <f t="shared" si="0"/>
        <v>4.0826069906754511E-2</v>
      </c>
      <c r="D7" s="8">
        <v>478.8</v>
      </c>
      <c r="E7" s="49">
        <f t="shared" si="1"/>
        <v>2.2173857494322075E-2</v>
      </c>
      <c r="F7" s="7">
        <v>2127.5</v>
      </c>
      <c r="G7" s="49">
        <f t="shared" si="2"/>
        <v>-1.3446208469090922E-2</v>
      </c>
      <c r="H7" s="7">
        <v>1430.95</v>
      </c>
      <c r="I7" s="23">
        <f t="shared" si="3"/>
        <v>4.4404115767051888E-2</v>
      </c>
      <c r="J7" s="7">
        <v>1377.6</v>
      </c>
      <c r="K7" s="23">
        <f t="shared" si="4"/>
        <v>4.4644804642230182E-2</v>
      </c>
      <c r="L7" s="7">
        <v>8377.6</v>
      </c>
      <c r="M7" s="9">
        <f t="shared" si="5"/>
        <v>2.9963654045467969E-2</v>
      </c>
      <c r="N7" s="7">
        <v>9985.1</v>
      </c>
      <c r="O7" s="23">
        <f t="shared" si="6"/>
        <v>2.259668437520667E-2</v>
      </c>
      <c r="P7" s="7">
        <v>4524.05</v>
      </c>
      <c r="Q7" s="23">
        <f t="shared" si="7"/>
        <v>1.6750735748844781E-2</v>
      </c>
      <c r="R7" s="7">
        <v>1431.5</v>
      </c>
      <c r="S7" s="23">
        <f t="shared" si="8"/>
        <v>2.4037919508915411E-2</v>
      </c>
      <c r="T7" s="7">
        <v>5431.1</v>
      </c>
      <c r="U7" s="23">
        <f t="shared" si="9"/>
        <v>4.1053328009226231E-2</v>
      </c>
      <c r="V7" s="7">
        <v>2471.9499999999998</v>
      </c>
      <c r="W7" s="23">
        <f t="shared" si="10"/>
        <v>1.4526817879330441E-2</v>
      </c>
      <c r="X7" s="7">
        <v>2407.65</v>
      </c>
      <c r="Y7" s="23">
        <f t="shared" si="11"/>
        <v>3.9327120820038071E-3</v>
      </c>
      <c r="Z7" s="7">
        <v>3842.3</v>
      </c>
      <c r="AA7" s="23">
        <f t="shared" si="12"/>
        <v>1.6347135997523517E-2</v>
      </c>
      <c r="AB7" s="10">
        <v>653</v>
      </c>
      <c r="AC7" s="23">
        <f t="shared" si="13"/>
        <v>2.3473983292131885E-2</v>
      </c>
      <c r="AD7" s="11">
        <v>10488.6</v>
      </c>
      <c r="AE7" s="23">
        <f t="shared" si="14"/>
        <v>3.9118803243960026E-3</v>
      </c>
      <c r="AJ7" s="23">
        <f>U253</f>
        <v>0.73801076065510673</v>
      </c>
      <c r="AK7" s="23">
        <v>0.25</v>
      </c>
      <c r="AM7" s="23">
        <f t="shared" si="15"/>
        <v>0.18450269016377668</v>
      </c>
    </row>
    <row r="8" spans="1:43">
      <c r="A8" s="13">
        <v>45453</v>
      </c>
      <c r="B8" s="7">
        <v>1499.75</v>
      </c>
      <c r="C8" s="49">
        <f t="shared" si="0"/>
        <v>-2.2319485198232198E-2</v>
      </c>
      <c r="D8" s="8">
        <v>473.35</v>
      </c>
      <c r="E8" s="49">
        <f t="shared" si="1"/>
        <v>-1.1447901108917864E-2</v>
      </c>
      <c r="F8" s="7">
        <v>2173.5500000000002</v>
      </c>
      <c r="G8" s="49">
        <f t="shared" si="2"/>
        <v>2.1414194087551557E-2</v>
      </c>
      <c r="H8" s="7">
        <v>1418.85</v>
      </c>
      <c r="I8" s="23">
        <f t="shared" si="3"/>
        <v>-8.4918750177464843E-3</v>
      </c>
      <c r="J8" s="7">
        <v>1340.35</v>
      </c>
      <c r="K8" s="23">
        <f t="shared" si="4"/>
        <v>-2.7412080803880585E-2</v>
      </c>
      <c r="L8" s="7">
        <v>8423.4</v>
      </c>
      <c r="M8" s="9">
        <f t="shared" si="5"/>
        <v>5.4520699304342734E-3</v>
      </c>
      <c r="N8" s="7">
        <v>10085.549999999999</v>
      </c>
      <c r="O8" s="23">
        <f t="shared" si="6"/>
        <v>1.0009724519212943E-2</v>
      </c>
      <c r="P8" s="7">
        <v>4536.25</v>
      </c>
      <c r="Q8" s="23">
        <f t="shared" si="7"/>
        <v>2.6930691861191095E-3</v>
      </c>
      <c r="R8" s="7">
        <v>1418.75</v>
      </c>
      <c r="S8" s="23">
        <f t="shared" si="8"/>
        <v>-8.9466433084568926E-3</v>
      </c>
      <c r="T8" s="7">
        <v>5220.1499999999996</v>
      </c>
      <c r="U8" s="23">
        <f t="shared" si="9"/>
        <v>-3.9615554584643137E-2</v>
      </c>
      <c r="V8" s="7">
        <v>2394.6</v>
      </c>
      <c r="W8" s="23">
        <f t="shared" si="10"/>
        <v>-3.1791110553062142E-2</v>
      </c>
      <c r="X8" s="7">
        <v>2436.85</v>
      </c>
      <c r="Y8" s="23">
        <f t="shared" si="11"/>
        <v>1.2055053616121213E-2</v>
      </c>
      <c r="Z8" s="7">
        <v>3897.65</v>
      </c>
      <c r="AA8" s="23">
        <f t="shared" si="12"/>
        <v>1.4302661789308054E-2</v>
      </c>
      <c r="AB8" s="10">
        <v>651.65</v>
      </c>
      <c r="AC8" s="23">
        <f t="shared" si="13"/>
        <v>-2.069521299702269E-3</v>
      </c>
      <c r="AD8" s="11">
        <v>10477.700000000001</v>
      </c>
      <c r="AE8" s="23">
        <f t="shared" si="14"/>
        <v>-1.0397639051246031E-3</v>
      </c>
      <c r="AK8" s="5">
        <f>SUM(AK4:AK7)</f>
        <v>1</v>
      </c>
    </row>
    <row r="9" spans="1:43">
      <c r="A9" s="13">
        <v>45454</v>
      </c>
      <c r="B9" s="7">
        <v>1495.75</v>
      </c>
      <c r="C9" s="49">
        <f t="shared" si="0"/>
        <v>-2.6706742630613432E-3</v>
      </c>
      <c r="D9" s="8">
        <v>474.4</v>
      </c>
      <c r="E9" s="49">
        <f t="shared" si="1"/>
        <v>2.2157751086154861E-3</v>
      </c>
      <c r="F9" s="7">
        <v>2167</v>
      </c>
      <c r="G9" s="49">
        <f t="shared" si="2"/>
        <v>-3.0180529987217761E-3</v>
      </c>
      <c r="H9" s="7">
        <v>1422.7</v>
      </c>
      <c r="I9" s="23">
        <f t="shared" si="3"/>
        <v>2.7097903298322202E-3</v>
      </c>
      <c r="J9" s="7">
        <v>1349.45</v>
      </c>
      <c r="K9" s="23">
        <f t="shared" si="4"/>
        <v>6.7663281425368385E-3</v>
      </c>
      <c r="L9" s="7">
        <v>8382.4</v>
      </c>
      <c r="M9" s="9">
        <f t="shared" si="5"/>
        <v>-4.8792775520052302E-3</v>
      </c>
      <c r="N9" s="7">
        <v>10140.5</v>
      </c>
      <c r="O9" s="23">
        <f t="shared" si="6"/>
        <v>5.4336002526744953E-3</v>
      </c>
      <c r="P9" s="7">
        <v>4475.45</v>
      </c>
      <c r="Q9" s="23">
        <f t="shared" si="7"/>
        <v>-1.34937742147895E-2</v>
      </c>
      <c r="R9" s="7">
        <v>1428.8</v>
      </c>
      <c r="S9" s="23">
        <f t="shared" si="8"/>
        <v>7.0587288925218006E-3</v>
      </c>
      <c r="T9" s="7">
        <v>5175.8500000000004</v>
      </c>
      <c r="U9" s="23">
        <f t="shared" si="9"/>
        <v>-8.522560242461192E-3</v>
      </c>
      <c r="V9" s="7">
        <v>2391.9</v>
      </c>
      <c r="W9" s="23">
        <f t="shared" si="10"/>
        <v>-1.1281731061837203E-3</v>
      </c>
      <c r="X9" s="7">
        <v>2442.4499999999998</v>
      </c>
      <c r="Y9" s="23">
        <f t="shared" si="11"/>
        <v>2.2954122348812179E-3</v>
      </c>
      <c r="Z9" s="7">
        <v>3876.05</v>
      </c>
      <c r="AA9" s="23">
        <f t="shared" si="12"/>
        <v>-5.557213576210124E-3</v>
      </c>
      <c r="AB9" s="10">
        <v>647.29999999999995</v>
      </c>
      <c r="AC9" s="23">
        <f t="shared" si="13"/>
        <v>-6.6977424252642774E-3</v>
      </c>
      <c r="AD9" s="11">
        <v>10368</v>
      </c>
      <c r="AE9" s="23">
        <f t="shared" si="14"/>
        <v>-1.0525049548012736E-2</v>
      </c>
      <c r="AL9" s="23" t="s">
        <v>29</v>
      </c>
      <c r="AM9" s="23">
        <f>SUM(AM4:AM7)</f>
        <v>0.64165169161054147</v>
      </c>
    </row>
    <row r="10" spans="1:43">
      <c r="A10" s="13">
        <v>45455</v>
      </c>
      <c r="B10" s="7">
        <v>1485.2</v>
      </c>
      <c r="C10" s="49">
        <f t="shared" si="0"/>
        <v>-7.0783099672161141E-3</v>
      </c>
      <c r="D10" s="8">
        <v>472.1</v>
      </c>
      <c r="E10" s="49">
        <f t="shared" si="1"/>
        <v>-4.8600201312745802E-3</v>
      </c>
      <c r="F10" s="7">
        <v>2225.0500000000002</v>
      </c>
      <c r="G10" s="49">
        <f t="shared" si="2"/>
        <v>2.6435664721604343E-2</v>
      </c>
      <c r="H10" s="7">
        <v>1421.35</v>
      </c>
      <c r="I10" s="23">
        <f t="shared" si="3"/>
        <v>-9.4935046950133013E-4</v>
      </c>
      <c r="J10" s="7">
        <v>1370.6</v>
      </c>
      <c r="K10" s="23">
        <f t="shared" si="4"/>
        <v>1.5551498139600684E-2</v>
      </c>
      <c r="L10" s="7">
        <v>8350.75</v>
      </c>
      <c r="M10" s="9">
        <f t="shared" si="5"/>
        <v>-3.7829144833795752E-3</v>
      </c>
      <c r="N10" s="7">
        <v>10317.5</v>
      </c>
      <c r="O10" s="23">
        <f t="shared" si="6"/>
        <v>1.7304176032549929E-2</v>
      </c>
      <c r="P10" s="7">
        <v>4452.3500000000004</v>
      </c>
      <c r="Q10" s="23">
        <f t="shared" si="7"/>
        <v>-5.1748586549572075E-3</v>
      </c>
      <c r="R10" s="7">
        <v>1438.75</v>
      </c>
      <c r="S10" s="23">
        <f t="shared" si="8"/>
        <v>6.939749913857771E-3</v>
      </c>
      <c r="T10" s="7">
        <v>5179.2</v>
      </c>
      <c r="U10" s="23">
        <f t="shared" si="9"/>
        <v>6.4702731843329568E-4</v>
      </c>
      <c r="V10" s="7">
        <v>2397.9499999999998</v>
      </c>
      <c r="W10" s="23">
        <f t="shared" si="10"/>
        <v>2.5261764845969227E-3</v>
      </c>
      <c r="X10" s="7">
        <v>2420.5</v>
      </c>
      <c r="Y10" s="23">
        <f t="shared" si="11"/>
        <v>-9.0275034985898561E-3</v>
      </c>
      <c r="Z10" s="7">
        <v>3878.9</v>
      </c>
      <c r="AA10" s="23">
        <f t="shared" si="12"/>
        <v>7.350144432417226E-4</v>
      </c>
      <c r="AB10" s="10">
        <v>629.5</v>
      </c>
      <c r="AC10" s="23">
        <f t="shared" si="13"/>
        <v>-2.7884012067062616E-2</v>
      </c>
      <c r="AD10" s="11">
        <v>10489.3</v>
      </c>
      <c r="AE10" s="23">
        <f t="shared" si="14"/>
        <v>1.1631550352470344E-2</v>
      </c>
    </row>
    <row r="11" spans="1:43">
      <c r="A11" s="13">
        <v>45456</v>
      </c>
      <c r="B11" s="7">
        <v>1493.95</v>
      </c>
      <c r="C11" s="49">
        <f t="shared" si="0"/>
        <v>5.8741756276564396E-3</v>
      </c>
      <c r="D11" s="8">
        <v>462.45</v>
      </c>
      <c r="E11" s="49">
        <f t="shared" si="1"/>
        <v>-2.0652384551972099E-2</v>
      </c>
      <c r="F11" s="7">
        <v>2240.1999999999998</v>
      </c>
      <c r="G11" s="49">
        <f t="shared" si="2"/>
        <v>6.7857603196756055E-3</v>
      </c>
      <c r="H11" s="7">
        <v>1491.1</v>
      </c>
      <c r="I11" s="23">
        <f t="shared" si="3"/>
        <v>4.7906978409241671E-2</v>
      </c>
      <c r="J11" s="7">
        <v>1388.95</v>
      </c>
      <c r="K11" s="23">
        <f t="shared" si="4"/>
        <v>1.3299465834478219E-2</v>
      </c>
      <c r="L11" s="7">
        <v>8253.4500000000007</v>
      </c>
      <c r="M11" s="9">
        <f t="shared" si="5"/>
        <v>-1.1720060437314552E-2</v>
      </c>
      <c r="N11" s="7">
        <v>10855.7</v>
      </c>
      <c r="O11" s="23">
        <f t="shared" si="6"/>
        <v>5.0848805018288035E-2</v>
      </c>
      <c r="P11" s="7">
        <v>4593.5</v>
      </c>
      <c r="Q11" s="23">
        <f t="shared" si="7"/>
        <v>3.1210214053987873E-2</v>
      </c>
      <c r="R11" s="7">
        <v>1444.15</v>
      </c>
      <c r="S11" s="23">
        <f t="shared" si="8"/>
        <v>3.7462321380647722E-3</v>
      </c>
      <c r="T11" s="7">
        <v>5273.25</v>
      </c>
      <c r="U11" s="23">
        <f t="shared" si="9"/>
        <v>1.7996266575400526E-2</v>
      </c>
      <c r="V11" s="7">
        <v>2456.5</v>
      </c>
      <c r="W11" s="23">
        <f t="shared" si="10"/>
        <v>2.4123366947546507E-2</v>
      </c>
      <c r="X11" s="7">
        <v>2441.65</v>
      </c>
      <c r="Y11" s="23">
        <f t="shared" si="11"/>
        <v>8.6999098755458897E-3</v>
      </c>
      <c r="Z11" s="7">
        <v>3859.7</v>
      </c>
      <c r="AA11" s="23">
        <f t="shared" si="12"/>
        <v>-4.9621480362455677E-3</v>
      </c>
      <c r="AB11" s="10">
        <v>611.25</v>
      </c>
      <c r="AC11" s="23">
        <f t="shared" si="13"/>
        <v>-2.9419812695320076E-2</v>
      </c>
      <c r="AD11" s="11">
        <v>10830.85</v>
      </c>
      <c r="AE11" s="23">
        <f t="shared" si="14"/>
        <v>3.2042853658573608E-2</v>
      </c>
      <c r="AL11" s="23" t="s">
        <v>32</v>
      </c>
      <c r="AM11" s="23">
        <v>5.5E-2</v>
      </c>
      <c r="AO11" s="23" t="s">
        <v>33</v>
      </c>
      <c r="AP11" s="23">
        <f t="array" ref="AP11">MMULT(TRANSPOSE(AK4:AK7), MMULT(AM14:AP17,AK4:AK7))</f>
        <v>2.4325453311922025E-4</v>
      </c>
    </row>
    <row r="12" spans="1:43">
      <c r="A12" s="13">
        <v>45457</v>
      </c>
      <c r="B12" s="7">
        <v>1488.9</v>
      </c>
      <c r="C12" s="49">
        <f t="shared" si="0"/>
        <v>-3.3860266690765666E-3</v>
      </c>
      <c r="D12" s="8">
        <v>461.75</v>
      </c>
      <c r="E12" s="49">
        <f t="shared" si="1"/>
        <v>-1.514823920919727E-3</v>
      </c>
      <c r="F12" s="7">
        <v>2240.6</v>
      </c>
      <c r="G12" s="49">
        <f t="shared" si="2"/>
        <v>1.7853954698384469E-4</v>
      </c>
      <c r="H12" s="7">
        <v>1582.8</v>
      </c>
      <c r="I12" s="23">
        <f t="shared" si="3"/>
        <v>5.9681327914407549E-2</v>
      </c>
      <c r="J12" s="7">
        <v>1371.45</v>
      </c>
      <c r="K12" s="23">
        <f t="shared" si="4"/>
        <v>-1.267949170765624E-2</v>
      </c>
      <c r="L12" s="7">
        <v>8302.85</v>
      </c>
      <c r="M12" s="9">
        <f t="shared" si="5"/>
        <v>5.9675346062177522E-3</v>
      </c>
      <c r="N12" s="7">
        <v>11242.85</v>
      </c>
      <c r="O12" s="23">
        <f t="shared" si="6"/>
        <v>3.5042083380939351E-2</v>
      </c>
      <c r="P12" s="7">
        <v>4588.6000000000004</v>
      </c>
      <c r="Q12" s="23">
        <f t="shared" si="7"/>
        <v>-1.0672940754596555E-3</v>
      </c>
      <c r="R12" s="7">
        <v>1431.05</v>
      </c>
      <c r="S12" s="23">
        <f t="shared" si="8"/>
        <v>-9.1124726271365093E-3</v>
      </c>
      <c r="T12" s="7">
        <v>5201.75</v>
      </c>
      <c r="U12" s="23">
        <f t="shared" si="9"/>
        <v>-1.3651763332689231E-2</v>
      </c>
      <c r="V12" s="7">
        <v>2408.85</v>
      </c>
      <c r="W12" s="23">
        <f t="shared" si="10"/>
        <v>-1.9588117433093299E-2</v>
      </c>
      <c r="X12" s="7">
        <v>2503.85</v>
      </c>
      <c r="Y12" s="23">
        <f t="shared" si="11"/>
        <v>2.5155507017014102E-2</v>
      </c>
      <c r="Z12" s="7">
        <v>4093.35</v>
      </c>
      <c r="AA12" s="23">
        <f t="shared" si="12"/>
        <v>5.8774245454721541E-2</v>
      </c>
      <c r="AB12" s="10">
        <v>619.35</v>
      </c>
      <c r="AC12" s="23">
        <f t="shared" si="13"/>
        <v>1.3164500211127207E-2</v>
      </c>
      <c r="AD12" s="11">
        <v>11089.9</v>
      </c>
      <c r="AE12" s="23">
        <f t="shared" si="14"/>
        <v>2.3636240568106457E-2</v>
      </c>
      <c r="AL12" s="23" t="s">
        <v>34</v>
      </c>
      <c r="AM12" s="23">
        <f>SQRT(252)* AP12</f>
        <v>0.24758865552775941</v>
      </c>
      <c r="AO12" s="23" t="s">
        <v>35</v>
      </c>
      <c r="AP12" s="23">
        <f>SQRT(AP11)</f>
        <v>1.5596619284935446E-2</v>
      </c>
    </row>
    <row r="13" spans="1:43" ht="15.75" customHeight="1">
      <c r="A13" s="13">
        <v>45461</v>
      </c>
      <c r="B13" s="7">
        <v>1498.2</v>
      </c>
      <c r="C13" s="49">
        <f t="shared" si="0"/>
        <v>6.22679525227762E-3</v>
      </c>
      <c r="D13" s="8">
        <v>474</v>
      </c>
      <c r="E13" s="49">
        <f t="shared" si="1"/>
        <v>2.6183702615727226E-2</v>
      </c>
      <c r="F13" s="7">
        <v>2243.9499999999998</v>
      </c>
      <c r="G13" s="49">
        <f t="shared" si="2"/>
        <v>1.4940186297958599E-3</v>
      </c>
      <c r="H13" s="7">
        <v>1627.3</v>
      </c>
      <c r="I13" s="23">
        <f t="shared" si="3"/>
        <v>2.7726769155299459E-2</v>
      </c>
      <c r="J13" s="7">
        <v>1371.35</v>
      </c>
      <c r="K13" s="23">
        <f t="shared" si="4"/>
        <v>-7.2918185827956046E-5</v>
      </c>
      <c r="L13" s="7">
        <v>8283.6</v>
      </c>
      <c r="M13" s="9">
        <f t="shared" si="5"/>
        <v>-2.3211728420485327E-3</v>
      </c>
      <c r="N13" s="7">
        <v>11546.85</v>
      </c>
      <c r="O13" s="23">
        <f t="shared" si="6"/>
        <v>2.6680301454402325E-2</v>
      </c>
      <c r="P13" s="7">
        <v>4564.5</v>
      </c>
      <c r="Q13" s="23">
        <f t="shared" si="7"/>
        <v>-5.2659876309260681E-3</v>
      </c>
      <c r="R13" s="7">
        <v>1437.2</v>
      </c>
      <c r="S13" s="23">
        <f t="shared" si="8"/>
        <v>4.2883356923430925E-3</v>
      </c>
      <c r="T13" s="7">
        <v>5273.1</v>
      </c>
      <c r="U13" s="23">
        <f t="shared" si="9"/>
        <v>1.3623317472271169E-2</v>
      </c>
      <c r="V13" s="7">
        <v>2417.35</v>
      </c>
      <c r="W13" s="23">
        <f t="shared" si="10"/>
        <v>3.5224436570061449E-3</v>
      </c>
      <c r="X13" s="7">
        <v>2471.15</v>
      </c>
      <c r="Y13" s="23">
        <f t="shared" si="11"/>
        <v>-1.3145917957769452E-2</v>
      </c>
      <c r="Z13" s="7">
        <v>4246.45</v>
      </c>
      <c r="AA13" s="23">
        <f t="shared" si="12"/>
        <v>3.6719634062323807E-2</v>
      </c>
      <c r="AB13" s="10">
        <v>623.5</v>
      </c>
      <c r="AC13" s="23">
        <f t="shared" si="13"/>
        <v>6.6782241198821476E-3</v>
      </c>
      <c r="AD13" s="11">
        <v>11351.5</v>
      </c>
      <c r="AE13" s="23">
        <f t="shared" si="14"/>
        <v>2.331510959647368E-2</v>
      </c>
      <c r="AK13" s="49"/>
      <c r="AL13" s="50"/>
      <c r="AM13" s="15" t="s">
        <v>11</v>
      </c>
      <c r="AN13" s="15" t="s">
        <v>13</v>
      </c>
      <c r="AO13" s="15" t="s">
        <v>36</v>
      </c>
      <c r="AP13" s="15" t="s">
        <v>19</v>
      </c>
      <c r="AQ13" s="49"/>
    </row>
    <row r="14" spans="1:43" ht="15.75" customHeight="1">
      <c r="A14" s="13">
        <v>45462</v>
      </c>
      <c r="B14" s="7">
        <v>1511.35</v>
      </c>
      <c r="C14" s="49">
        <f t="shared" si="0"/>
        <v>8.7389036148073067E-3</v>
      </c>
      <c r="D14" s="8">
        <v>468.9</v>
      </c>
      <c r="E14" s="49">
        <f t="shared" si="1"/>
        <v>-1.0817795599535936E-2</v>
      </c>
      <c r="F14" s="7">
        <v>2213.25</v>
      </c>
      <c r="G14" s="49">
        <f t="shared" si="2"/>
        <v>-1.3775682263260222E-2</v>
      </c>
      <c r="H14" s="7">
        <v>1563.85</v>
      </c>
      <c r="I14" s="23">
        <f t="shared" si="3"/>
        <v>-3.9771470089160502E-2</v>
      </c>
      <c r="J14" s="7">
        <v>1381.15</v>
      </c>
      <c r="K14" s="23">
        <f t="shared" si="4"/>
        <v>7.1208293624249212E-3</v>
      </c>
      <c r="L14" s="7">
        <v>8199.7000000000007</v>
      </c>
      <c r="M14" s="9">
        <f t="shared" si="5"/>
        <v>-1.0180088280200141E-2</v>
      </c>
      <c r="N14" s="7">
        <v>11336.35</v>
      </c>
      <c r="O14" s="23">
        <f t="shared" si="6"/>
        <v>-1.8398295498261243E-2</v>
      </c>
      <c r="P14" s="7">
        <v>4479.7</v>
      </c>
      <c r="Q14" s="23">
        <f t="shared" si="7"/>
        <v>-1.8752899124026799E-2</v>
      </c>
      <c r="R14" s="7">
        <v>1445.85</v>
      </c>
      <c r="S14" s="23">
        <f t="shared" si="8"/>
        <v>6.0006076587230724E-3</v>
      </c>
      <c r="T14" s="7">
        <v>5395.15</v>
      </c>
      <c r="U14" s="23">
        <f t="shared" si="9"/>
        <v>2.2881976940541206E-2</v>
      </c>
      <c r="V14" s="7">
        <v>2411.4</v>
      </c>
      <c r="W14" s="23">
        <f t="shared" si="10"/>
        <v>-2.4644071494052565E-3</v>
      </c>
      <c r="X14" s="7">
        <v>2437.75</v>
      </c>
      <c r="Y14" s="23">
        <f t="shared" si="11"/>
        <v>-1.3608146599311101E-2</v>
      </c>
      <c r="Z14" s="7">
        <v>4187.7</v>
      </c>
      <c r="AA14" s="23">
        <f t="shared" si="12"/>
        <v>-1.3931682561473839E-2</v>
      </c>
      <c r="AB14" s="10">
        <v>622.45000000000005</v>
      </c>
      <c r="AC14" s="23">
        <f t="shared" si="13"/>
        <v>-1.6854612922960702E-3</v>
      </c>
      <c r="AD14" s="11">
        <v>11375.75</v>
      </c>
      <c r="AE14" s="23">
        <f t="shared" si="14"/>
        <v>2.1340029438503389E-3</v>
      </c>
      <c r="AK14" s="49" t="s">
        <v>37</v>
      </c>
      <c r="AL14" s="16" t="s">
        <v>11</v>
      </c>
      <c r="AM14" s="16">
        <f>VARP($M$3:$M$249)</f>
        <v>5.4847581336654988E-4</v>
      </c>
      <c r="AN14" s="16">
        <f>_xlfn.COVARIANCE.P(M3:M249,O3:O249)</f>
        <v>1.16327291188895E-4</v>
      </c>
      <c r="AO14" s="16">
        <f>_xlfn.COVARIANCE.P(M3:M249,Q3:Q249)</f>
        <v>7.3621631745597369E-5</v>
      </c>
      <c r="AP14" s="17">
        <f>_xlfn.COVARIANCE.P(M3:M249,U3:U249)</f>
        <v>1.4487729543091952E-4</v>
      </c>
      <c r="AQ14" s="49"/>
    </row>
    <row r="15" spans="1:43" ht="15.75" customHeight="1">
      <c r="A15" s="13">
        <v>45463</v>
      </c>
      <c r="B15" s="7">
        <v>1515.4</v>
      </c>
      <c r="C15" s="49">
        <f t="shared" si="0"/>
        <v>2.6761393686833756E-3</v>
      </c>
      <c r="D15" s="8">
        <v>472.3</v>
      </c>
      <c r="E15" s="49">
        <f t="shared" si="1"/>
        <v>7.2248508065309381E-3</v>
      </c>
      <c r="F15" s="7">
        <v>2196.0500000000002</v>
      </c>
      <c r="G15" s="49">
        <f t="shared" si="2"/>
        <v>-7.8017314506297541E-3</v>
      </c>
      <c r="H15" s="7">
        <v>1569.55</v>
      </c>
      <c r="I15" s="23">
        <f t="shared" si="3"/>
        <v>3.6382244765561385E-3</v>
      </c>
      <c r="J15" s="7">
        <v>1393.1</v>
      </c>
      <c r="K15" s="23">
        <f t="shared" si="4"/>
        <v>8.6149942570368024E-3</v>
      </c>
      <c r="L15" s="7">
        <v>8245.7000000000007</v>
      </c>
      <c r="M15" s="9">
        <f t="shared" si="5"/>
        <v>5.5942841120306527E-3</v>
      </c>
      <c r="N15" s="7">
        <v>11485.4</v>
      </c>
      <c r="O15" s="23">
        <f t="shared" si="6"/>
        <v>1.3062286571180786E-2</v>
      </c>
      <c r="P15" s="7">
        <v>4504.05</v>
      </c>
      <c r="Q15" s="23">
        <f t="shared" si="7"/>
        <v>5.4209121201386498E-3</v>
      </c>
      <c r="R15" s="7">
        <v>1443.45</v>
      </c>
      <c r="S15" s="23">
        <f t="shared" si="8"/>
        <v>-1.6613024275672131E-3</v>
      </c>
      <c r="T15" s="7">
        <v>5315.95</v>
      </c>
      <c r="U15" s="23">
        <f t="shared" si="9"/>
        <v>-1.4788666606696669E-2</v>
      </c>
      <c r="V15" s="7">
        <v>2420.9499999999998</v>
      </c>
      <c r="W15" s="23">
        <f t="shared" si="10"/>
        <v>3.95253341869653E-3</v>
      </c>
      <c r="X15" s="7">
        <v>2427.9499999999998</v>
      </c>
      <c r="Y15" s="23">
        <f t="shared" si="11"/>
        <v>-4.0282028286048868E-3</v>
      </c>
      <c r="Z15" s="7">
        <v>4275.8</v>
      </c>
      <c r="AA15" s="23">
        <f t="shared" si="12"/>
        <v>2.081956217948551E-2</v>
      </c>
      <c r="AB15" s="10">
        <v>628.4</v>
      </c>
      <c r="AC15" s="23">
        <f t="shared" si="13"/>
        <v>9.5136025536710789E-3</v>
      </c>
      <c r="AD15" s="11">
        <v>10973.25</v>
      </c>
      <c r="AE15" s="23">
        <f t="shared" si="14"/>
        <v>-3.6023403785148921E-2</v>
      </c>
      <c r="AK15" s="49" t="s">
        <v>38</v>
      </c>
      <c r="AL15" s="18" t="s">
        <v>13</v>
      </c>
      <c r="AM15" s="18">
        <f>_xlfn.COVARIANCE.P(O3:O249,M3:M249)</f>
        <v>1.16327291188895E-4</v>
      </c>
      <c r="AN15" s="18">
        <f>VARP($O$3:$O$249)</f>
        <v>8.3169343983515668E-4</v>
      </c>
      <c r="AO15" s="18">
        <f>_xlfn.COVARIANCE.P(O3:O249,Q3:Q249)</f>
        <v>1.8250968130641013E-4</v>
      </c>
      <c r="AP15" s="19">
        <f>_xlfn.COVARIANCE.P(O3:O249,U3:U249)</f>
        <v>2.0558321204332638E-4</v>
      </c>
      <c r="AQ15" s="49"/>
    </row>
    <row r="16" spans="1:43" ht="15.75" customHeight="1">
      <c r="A16" s="13">
        <v>45464</v>
      </c>
      <c r="B16" s="7">
        <v>1532.7</v>
      </c>
      <c r="C16" s="49">
        <f t="shared" si="0"/>
        <v>1.1351455507588986E-2</v>
      </c>
      <c r="D16" s="8">
        <v>490.65</v>
      </c>
      <c r="E16" s="49">
        <f t="shared" si="1"/>
        <v>3.8116665750431031E-2</v>
      </c>
      <c r="F16" s="7">
        <v>2166.35</v>
      </c>
      <c r="G16" s="49">
        <f t="shared" si="2"/>
        <v>-1.361656835257795E-2</v>
      </c>
      <c r="H16" s="7">
        <v>1530.45</v>
      </c>
      <c r="I16" s="23">
        <f t="shared" si="3"/>
        <v>-2.5227144264540279E-2</v>
      </c>
      <c r="J16" s="7">
        <v>1399.8</v>
      </c>
      <c r="K16" s="23">
        <f t="shared" si="4"/>
        <v>4.7978895432600815E-3</v>
      </c>
      <c r="L16" s="7">
        <v>8226.65</v>
      </c>
      <c r="M16" s="9">
        <f t="shared" si="5"/>
        <v>-2.3129679120271751E-3</v>
      </c>
      <c r="N16" s="7">
        <v>11539.1</v>
      </c>
      <c r="O16" s="23">
        <f t="shared" si="6"/>
        <v>4.6646048660710327E-3</v>
      </c>
      <c r="P16" s="7">
        <v>4522.1499999999996</v>
      </c>
      <c r="Q16" s="23">
        <f t="shared" si="7"/>
        <v>4.0105524497191358E-3</v>
      </c>
      <c r="R16" s="7">
        <v>1447.85</v>
      </c>
      <c r="S16" s="23">
        <f t="shared" si="8"/>
        <v>3.0436159489862381E-3</v>
      </c>
      <c r="T16" s="7">
        <v>5383.4</v>
      </c>
      <c r="U16" s="23">
        <f t="shared" si="9"/>
        <v>1.2608409586134708E-2</v>
      </c>
      <c r="V16" s="7">
        <v>2429.75</v>
      </c>
      <c r="W16" s="23">
        <f t="shared" si="10"/>
        <v>3.6283462816730765E-3</v>
      </c>
      <c r="X16" s="7">
        <v>2435.4</v>
      </c>
      <c r="Y16" s="23">
        <f t="shared" si="11"/>
        <v>3.0637341862836398E-3</v>
      </c>
      <c r="Z16" s="7">
        <v>4264.75</v>
      </c>
      <c r="AA16" s="23">
        <f t="shared" si="12"/>
        <v>-2.5876568056787453E-3</v>
      </c>
      <c r="AB16" s="10">
        <v>609.79999999999995</v>
      </c>
      <c r="AC16" s="23">
        <f t="shared" si="13"/>
        <v>-3.0045871827311749E-2</v>
      </c>
      <c r="AD16" s="11">
        <v>11109.15</v>
      </c>
      <c r="AE16" s="23">
        <f t="shared" si="14"/>
        <v>1.230860012966967E-2</v>
      </c>
      <c r="AK16" s="49" t="s">
        <v>39</v>
      </c>
      <c r="AL16" s="18" t="s">
        <v>36</v>
      </c>
      <c r="AM16" s="18">
        <f>_xlfn.COVARIANCE.P(Q3:Q249,M3:M249)</f>
        <v>7.3621631745597369E-5</v>
      </c>
      <c r="AN16" s="18">
        <f>_xlfn.COVARIANCE.P(Q3:Q249,O3:O249)</f>
        <v>1.8250968130641013E-4</v>
      </c>
      <c r="AO16" s="18">
        <f>VARP($Q$3:$Q$249)</f>
        <v>3.2322781377397506E-4</v>
      </c>
      <c r="AP16" s="20">
        <f>_xlfn.COVARIANCE.P(Q3:Q249,U3:U249)</f>
        <v>9.5912610867153952E-5</v>
      </c>
      <c r="AQ16" s="49"/>
    </row>
    <row r="17" spans="1:43" ht="15.75" customHeight="1">
      <c r="A17" s="13">
        <v>45467</v>
      </c>
      <c r="B17" s="7">
        <v>1527.15</v>
      </c>
      <c r="C17" s="49">
        <f t="shared" si="0"/>
        <v>-3.6276327835474864E-3</v>
      </c>
      <c r="D17" s="8">
        <v>487.6</v>
      </c>
      <c r="E17" s="49">
        <f t="shared" si="1"/>
        <v>-6.2356450453860974E-3</v>
      </c>
      <c r="F17" s="7">
        <v>2165</v>
      </c>
      <c r="G17" s="49">
        <f t="shared" si="2"/>
        <v>-6.2336225136053593E-4</v>
      </c>
      <c r="H17" s="7">
        <v>1553</v>
      </c>
      <c r="I17" s="23">
        <f t="shared" si="3"/>
        <v>1.4626734359263137E-2</v>
      </c>
      <c r="J17" s="7">
        <v>1401.7</v>
      </c>
      <c r="K17" s="23">
        <f t="shared" si="4"/>
        <v>1.3564164135728097E-3</v>
      </c>
      <c r="L17" s="7">
        <v>8724.7999999999993</v>
      </c>
      <c r="M17" s="9">
        <f t="shared" si="5"/>
        <v>5.8790660754563621E-2</v>
      </c>
      <c r="N17" s="7">
        <v>11605.15</v>
      </c>
      <c r="O17" s="23">
        <f t="shared" si="6"/>
        <v>5.7076966688098009E-3</v>
      </c>
      <c r="P17" s="7">
        <v>4519.55</v>
      </c>
      <c r="Q17" s="23">
        <f t="shared" si="7"/>
        <v>-5.7511310299241205E-4</v>
      </c>
      <c r="R17" s="7">
        <v>1440.85</v>
      </c>
      <c r="S17" s="23">
        <f t="shared" si="8"/>
        <v>-4.8464802170831538E-3</v>
      </c>
      <c r="T17" s="7">
        <v>5351.65</v>
      </c>
      <c r="U17" s="23">
        <f t="shared" si="9"/>
        <v>-5.9152202508989515E-3</v>
      </c>
      <c r="V17" s="7">
        <v>2394.1999999999998</v>
      </c>
      <c r="W17" s="23">
        <f t="shared" si="10"/>
        <v>-1.4739225566310559E-2</v>
      </c>
      <c r="X17" s="7">
        <v>2439.6999999999998</v>
      </c>
      <c r="Y17" s="23">
        <f t="shared" si="11"/>
        <v>1.7640668355965916E-3</v>
      </c>
      <c r="Z17" s="7">
        <v>4324.3500000000004</v>
      </c>
      <c r="AA17" s="23">
        <f t="shared" si="12"/>
        <v>1.3878277493483828E-2</v>
      </c>
      <c r="AB17" s="10">
        <v>623.04999999999995</v>
      </c>
      <c r="AC17" s="23">
        <f t="shared" si="13"/>
        <v>2.1495737834722112E-2</v>
      </c>
      <c r="AD17" s="11">
        <v>11605.35</v>
      </c>
      <c r="AE17" s="23">
        <f t="shared" si="14"/>
        <v>4.3697105611746133E-2</v>
      </c>
      <c r="AK17" s="49" t="s">
        <v>40</v>
      </c>
      <c r="AL17" s="21" t="s">
        <v>19</v>
      </c>
      <c r="AM17" s="21">
        <f>_xlfn.COVARIANCE.P(U3:U249,M3:M249)</f>
        <v>1.4487729543091952E-4</v>
      </c>
      <c r="AN17" s="21">
        <f>_xlfn.COVARIANCE.P(U3:U249,O3:O249)</f>
        <v>2.0558321204332638E-4</v>
      </c>
      <c r="AO17" s="21">
        <f>_xlfn.COVARIANCE.P(U3:U249,Q3:Q249)</f>
        <v>9.5912610867153952E-5</v>
      </c>
      <c r="AP17" s="21">
        <f>VARP($U$3:$U$249)</f>
        <v>5.510120177672378E-4</v>
      </c>
      <c r="AQ17" s="49"/>
    </row>
    <row r="18" spans="1:43">
      <c r="A18" s="13">
        <v>45468</v>
      </c>
      <c r="B18" s="7">
        <v>1541.95</v>
      </c>
      <c r="C18" s="49">
        <f t="shared" si="0"/>
        <v>9.644595954714421E-3</v>
      </c>
      <c r="D18" s="8">
        <v>487.8</v>
      </c>
      <c r="E18" s="49">
        <f t="shared" si="1"/>
        <v>4.1008817470346293E-4</v>
      </c>
      <c r="F18" s="7">
        <v>2128.1999999999998</v>
      </c>
      <c r="G18" s="49">
        <f t="shared" si="2"/>
        <v>-1.7143809428959191E-2</v>
      </c>
      <c r="H18" s="7">
        <v>1545.35</v>
      </c>
      <c r="I18" s="23">
        <f t="shared" si="3"/>
        <v>-4.9381222556935276E-3</v>
      </c>
      <c r="J18" s="7">
        <v>1427.75</v>
      </c>
      <c r="K18" s="23">
        <f t="shared" si="4"/>
        <v>1.8413992875960253E-2</v>
      </c>
      <c r="L18" s="7">
        <v>8611.5499999999993</v>
      </c>
      <c r="M18" s="9">
        <f t="shared" si="5"/>
        <v>-1.3065219723453921E-2</v>
      </c>
      <c r="N18" s="7">
        <v>11684.25</v>
      </c>
      <c r="O18" s="23">
        <f t="shared" si="6"/>
        <v>6.7928159724809367E-3</v>
      </c>
      <c r="P18" s="7">
        <v>4539.3</v>
      </c>
      <c r="Q18" s="23">
        <f t="shared" si="7"/>
        <v>4.3603837776608444E-3</v>
      </c>
      <c r="R18" s="7">
        <v>1447.95</v>
      </c>
      <c r="S18" s="23">
        <f t="shared" si="8"/>
        <v>4.9155457603111815E-3</v>
      </c>
      <c r="T18" s="7">
        <v>5350.65</v>
      </c>
      <c r="U18" s="23">
        <f t="shared" si="9"/>
        <v>-1.8687571884743495E-4</v>
      </c>
      <c r="V18" s="7">
        <v>2408.3000000000002</v>
      </c>
      <c r="W18" s="23">
        <f t="shared" si="10"/>
        <v>5.8719585690189249E-3</v>
      </c>
      <c r="X18" s="7">
        <v>2414.6999999999998</v>
      </c>
      <c r="Y18" s="23">
        <f t="shared" si="11"/>
        <v>-1.0300025140705984E-2</v>
      </c>
      <c r="Z18" s="7">
        <v>4413.6499999999996</v>
      </c>
      <c r="AA18" s="23">
        <f t="shared" si="12"/>
        <v>2.0440171460567112E-2</v>
      </c>
      <c r="AB18" s="10">
        <v>615.04999999999995</v>
      </c>
      <c r="AC18" s="23">
        <f t="shared" si="13"/>
        <v>-1.2923207074082526E-2</v>
      </c>
      <c r="AD18" s="11">
        <v>11414.9</v>
      </c>
      <c r="AE18" s="23">
        <f t="shared" si="14"/>
        <v>-1.6546679145252367E-2</v>
      </c>
      <c r="AK18" s="49"/>
      <c r="AL18" s="49"/>
      <c r="AM18" s="49"/>
      <c r="AN18" s="49"/>
      <c r="AO18" s="49"/>
      <c r="AP18" s="49"/>
      <c r="AQ18" s="49"/>
    </row>
    <row r="19" spans="1:43">
      <c r="A19" s="13">
        <v>45469</v>
      </c>
      <c r="B19" s="7">
        <v>1540.7</v>
      </c>
      <c r="C19" s="49">
        <f t="shared" si="0"/>
        <v>-8.1099058829964645E-4</v>
      </c>
      <c r="D19" s="8">
        <v>502.2</v>
      </c>
      <c r="E19" s="49">
        <f t="shared" si="1"/>
        <v>2.9092960941664772E-2</v>
      </c>
      <c r="F19" s="7">
        <v>2139.5</v>
      </c>
      <c r="G19" s="49">
        <f t="shared" si="2"/>
        <v>5.2956048492404555E-3</v>
      </c>
      <c r="H19" s="7">
        <v>1589.75</v>
      </c>
      <c r="I19" s="23">
        <f t="shared" si="3"/>
        <v>2.8326349254523535E-2</v>
      </c>
      <c r="J19" s="7">
        <v>1413.05</v>
      </c>
      <c r="K19" s="23">
        <f t="shared" si="4"/>
        <v>-1.0349289782328651E-2</v>
      </c>
      <c r="L19" s="7">
        <v>8503.6</v>
      </c>
      <c r="M19" s="9">
        <f t="shared" si="5"/>
        <v>-1.2614722221436104E-2</v>
      </c>
      <c r="N19" s="7">
        <v>11398.05</v>
      </c>
      <c r="O19" s="23">
        <f t="shared" si="6"/>
        <v>-2.4799492940809749E-2</v>
      </c>
      <c r="P19" s="7">
        <v>4545.3500000000004</v>
      </c>
      <c r="Q19" s="23">
        <f t="shared" si="7"/>
        <v>1.3319172217738187E-3</v>
      </c>
      <c r="R19" s="7">
        <v>1443.7</v>
      </c>
      <c r="S19" s="23">
        <f t="shared" si="8"/>
        <v>-2.9395003269648895E-3</v>
      </c>
      <c r="T19" s="7">
        <v>5325.35</v>
      </c>
      <c r="U19" s="23">
        <f t="shared" si="9"/>
        <v>-4.7396117200096339E-3</v>
      </c>
      <c r="V19" s="7">
        <v>2419.4499999999998</v>
      </c>
      <c r="W19" s="23">
        <f t="shared" si="10"/>
        <v>4.6191372068110524E-3</v>
      </c>
      <c r="X19" s="7">
        <v>2376.75</v>
      </c>
      <c r="Y19" s="23">
        <f t="shared" si="11"/>
        <v>-1.5841047528657962E-2</v>
      </c>
      <c r="Z19" s="7">
        <v>4427.55</v>
      </c>
      <c r="AA19" s="23">
        <f t="shared" si="12"/>
        <v>3.1443721333142094E-3</v>
      </c>
      <c r="AB19" s="10">
        <v>613.15</v>
      </c>
      <c r="AC19" s="23">
        <f t="shared" si="13"/>
        <v>-3.0939611067589121E-3</v>
      </c>
      <c r="AD19" s="11">
        <v>12630.95</v>
      </c>
      <c r="AE19" s="23">
        <f t="shared" si="14"/>
        <v>0.10123063172883037</v>
      </c>
    </row>
    <row r="20" spans="1:43">
      <c r="A20" s="13">
        <v>45470</v>
      </c>
      <c r="B20" s="7">
        <v>1573.35</v>
      </c>
      <c r="C20" s="49">
        <f t="shared" si="0"/>
        <v>2.0970245487993259E-2</v>
      </c>
      <c r="D20" s="8">
        <v>498.65</v>
      </c>
      <c r="E20" s="49">
        <f t="shared" si="1"/>
        <v>-7.0939998756077462E-3</v>
      </c>
      <c r="F20" s="7">
        <v>2135.15</v>
      </c>
      <c r="G20" s="49">
        <f t="shared" si="2"/>
        <v>-2.0352550508556918E-3</v>
      </c>
      <c r="H20" s="7">
        <v>1601.95</v>
      </c>
      <c r="I20" s="23">
        <f t="shared" si="3"/>
        <v>7.6448660074471516E-3</v>
      </c>
      <c r="J20" s="7">
        <v>1432.25</v>
      </c>
      <c r="K20" s="23">
        <f t="shared" si="4"/>
        <v>1.3496145526043486E-2</v>
      </c>
      <c r="L20" s="7">
        <v>8449.9</v>
      </c>
      <c r="M20" s="9">
        <f t="shared" si="5"/>
        <v>-6.3349962652402879E-3</v>
      </c>
      <c r="N20" s="7">
        <v>11760.8</v>
      </c>
      <c r="O20" s="23">
        <f t="shared" si="6"/>
        <v>3.1329679229918569E-2</v>
      </c>
      <c r="P20" s="7">
        <v>4522.3500000000004</v>
      </c>
      <c r="Q20" s="23">
        <f t="shared" si="7"/>
        <v>-5.0729621238659092E-3</v>
      </c>
      <c r="R20" s="7">
        <v>1454.9</v>
      </c>
      <c r="S20" s="23">
        <f t="shared" si="8"/>
        <v>7.7279070855740808E-3</v>
      </c>
      <c r="T20" s="7">
        <v>5439</v>
      </c>
      <c r="U20" s="23">
        <f t="shared" si="9"/>
        <v>2.1116783305774964E-2</v>
      </c>
      <c r="V20" s="7">
        <v>2442.1</v>
      </c>
      <c r="W20" s="23">
        <f t="shared" si="10"/>
        <v>9.3180832800708133E-3</v>
      </c>
      <c r="X20" s="7">
        <v>2344.15</v>
      </c>
      <c r="Y20" s="23">
        <f t="shared" si="11"/>
        <v>-1.3811145415650891E-2</v>
      </c>
      <c r="Z20" s="7">
        <v>4301.3</v>
      </c>
      <c r="AA20" s="23">
        <f t="shared" si="12"/>
        <v>-2.8929081076114457E-2</v>
      </c>
      <c r="AB20" s="10">
        <v>611.65</v>
      </c>
      <c r="AC20" s="23">
        <f t="shared" si="13"/>
        <v>-2.4493807151097129E-3</v>
      </c>
      <c r="AD20" s="11">
        <v>12581.05</v>
      </c>
      <c r="AE20" s="23">
        <f t="shared" si="14"/>
        <v>-3.9584376612613369E-3</v>
      </c>
      <c r="AL20" s="51" t="s">
        <v>41</v>
      </c>
      <c r="AM20" s="51">
        <f>(AM9-AM11)/AM12</f>
        <v>2.3694611142826236</v>
      </c>
    </row>
    <row r="21" spans="1:43">
      <c r="A21" s="13">
        <v>45471</v>
      </c>
      <c r="B21" s="7">
        <v>1566.75</v>
      </c>
      <c r="C21" s="49">
        <f t="shared" si="0"/>
        <v>-4.2036939709376962E-3</v>
      </c>
      <c r="D21" s="8">
        <v>492.8</v>
      </c>
      <c r="E21" s="49">
        <f t="shared" si="1"/>
        <v>-1.1801034628566883E-2</v>
      </c>
      <c r="F21" s="7">
        <v>2129.1999999999998</v>
      </c>
      <c r="G21" s="49">
        <f t="shared" si="2"/>
        <v>-2.7905795074135409E-3</v>
      </c>
      <c r="H21" s="7">
        <v>1596.6</v>
      </c>
      <c r="I21" s="23">
        <f t="shared" si="3"/>
        <v>-3.3452689432659942E-3</v>
      </c>
      <c r="J21" s="7">
        <v>1430.35</v>
      </c>
      <c r="K21" s="23">
        <f t="shared" si="4"/>
        <v>-1.3274647376575223E-3</v>
      </c>
      <c r="L21" s="7">
        <v>8536.25</v>
      </c>
      <c r="M21" s="9">
        <f t="shared" si="5"/>
        <v>1.0167194313632173E-2</v>
      </c>
      <c r="N21" s="7">
        <v>11971.3</v>
      </c>
      <c r="O21" s="23">
        <f t="shared" si="6"/>
        <v>1.7740151150630008E-2</v>
      </c>
      <c r="P21" s="7">
        <v>4596.45</v>
      </c>
      <c r="Q21" s="23">
        <f t="shared" si="7"/>
        <v>1.6252496179266232E-2</v>
      </c>
      <c r="R21" s="7">
        <v>1459.6</v>
      </c>
      <c r="S21" s="23">
        <f t="shared" si="8"/>
        <v>3.2252558409494058E-3</v>
      </c>
      <c r="T21" s="7">
        <v>5458.8</v>
      </c>
      <c r="U21" s="23">
        <f t="shared" si="9"/>
        <v>3.6337649409979027E-3</v>
      </c>
      <c r="V21" s="7">
        <v>2456.5500000000002</v>
      </c>
      <c r="W21" s="23">
        <f t="shared" si="10"/>
        <v>5.8996016908161222E-3</v>
      </c>
      <c r="X21" s="7">
        <v>2364.85</v>
      </c>
      <c r="Y21" s="23">
        <f t="shared" si="11"/>
        <v>8.7917321439515313E-3</v>
      </c>
      <c r="Z21" s="7">
        <v>4124.5</v>
      </c>
      <c r="AA21" s="23">
        <f t="shared" si="12"/>
        <v>-4.1972502271093087E-2</v>
      </c>
      <c r="AB21" s="10">
        <v>613</v>
      </c>
      <c r="AC21" s="23">
        <f t="shared" si="13"/>
        <v>2.204712443286063E-3</v>
      </c>
      <c r="AD21" s="11">
        <v>12911.6</v>
      </c>
      <c r="AE21" s="23">
        <f t="shared" si="14"/>
        <v>2.5934418505434483E-2</v>
      </c>
      <c r="AG21" s="23" t="s">
        <v>42</v>
      </c>
      <c r="AH21" s="23">
        <f>SQRT(AM14)</f>
        <v>2.341956048619508E-2</v>
      </c>
      <c r="AN21" s="23"/>
      <c r="AO21" s="24"/>
    </row>
    <row r="22" spans="1:43">
      <c r="A22" s="12">
        <v>45474</v>
      </c>
      <c r="B22" s="7">
        <v>1590.8</v>
      </c>
      <c r="C22" s="49">
        <f t="shared" si="0"/>
        <v>1.5233624228750627E-2</v>
      </c>
      <c r="D22" s="8">
        <v>494.65</v>
      </c>
      <c r="E22" s="49">
        <f t="shared" si="1"/>
        <v>3.7470295499214107E-3</v>
      </c>
      <c r="F22" s="7">
        <v>2160.85</v>
      </c>
      <c r="G22" s="49">
        <f t="shared" si="2"/>
        <v>1.4755340490021678E-2</v>
      </c>
      <c r="H22" s="7">
        <v>1615.3</v>
      </c>
      <c r="I22" s="23">
        <f t="shared" si="3"/>
        <v>1.1644329708013877E-2</v>
      </c>
      <c r="J22" s="7">
        <v>1472.1</v>
      </c>
      <c r="K22" s="23">
        <f t="shared" si="4"/>
        <v>2.8770783212937544E-2</v>
      </c>
      <c r="L22" s="7">
        <v>8756.4</v>
      </c>
      <c r="M22" s="9">
        <f t="shared" si="5"/>
        <v>2.5463060284275675E-2</v>
      </c>
      <c r="N22" s="7">
        <v>12446.45</v>
      </c>
      <c r="O22" s="23">
        <f t="shared" si="6"/>
        <v>3.8923323169918631E-2</v>
      </c>
      <c r="P22" s="7">
        <v>4602.1000000000004</v>
      </c>
      <c r="Q22" s="23">
        <f t="shared" si="7"/>
        <v>1.2284546391628964E-3</v>
      </c>
      <c r="R22" s="7">
        <v>1468.85</v>
      </c>
      <c r="S22" s="23">
        <f t="shared" si="8"/>
        <v>6.3173561188738939E-3</v>
      </c>
      <c r="T22" s="7">
        <v>5518.4</v>
      </c>
      <c r="U22" s="23">
        <f t="shared" si="9"/>
        <v>1.0858977818617567E-2</v>
      </c>
      <c r="V22" s="7">
        <v>2494.9</v>
      </c>
      <c r="W22" s="23">
        <f t="shared" si="10"/>
        <v>1.5490721658081272E-2</v>
      </c>
      <c r="X22" s="7">
        <v>2354.6</v>
      </c>
      <c r="Y22" s="23">
        <f t="shared" si="11"/>
        <v>-4.3437333233440198E-3</v>
      </c>
      <c r="Z22" s="7">
        <v>4258.8</v>
      </c>
      <c r="AA22" s="23">
        <f t="shared" si="12"/>
        <v>3.2042630139664824E-2</v>
      </c>
      <c r="AB22" s="10">
        <v>620.5</v>
      </c>
      <c r="AC22" s="23">
        <f t="shared" si="13"/>
        <v>1.2160668708450574E-2</v>
      </c>
      <c r="AD22" s="11">
        <v>13012.15</v>
      </c>
      <c r="AE22" s="23">
        <f t="shared" si="14"/>
        <v>7.757404251722365E-3</v>
      </c>
      <c r="AG22" s="23" t="s">
        <v>43</v>
      </c>
      <c r="AH22" s="23">
        <f>SQRT(252)*AH21</f>
        <v>0.37177399716544268</v>
      </c>
    </row>
    <row r="23" spans="1:43">
      <c r="A23" s="12">
        <v>45475</v>
      </c>
      <c r="B23" s="7">
        <v>1621.05</v>
      </c>
      <c r="C23" s="49">
        <f t="shared" si="0"/>
        <v>1.8837053083748757E-2</v>
      </c>
      <c r="D23" s="8">
        <v>491.2</v>
      </c>
      <c r="E23" s="49">
        <f t="shared" si="1"/>
        <v>-6.9990649362988138E-3</v>
      </c>
      <c r="F23" s="7">
        <v>2129.1</v>
      </c>
      <c r="G23" s="49">
        <f t="shared" si="2"/>
        <v>-1.4802307589577131E-2</v>
      </c>
      <c r="H23" s="7">
        <v>1596.3</v>
      </c>
      <c r="I23" s="23">
        <f t="shared" si="3"/>
        <v>-1.183224664927905E-2</v>
      </c>
      <c r="J23" s="7">
        <v>1472.15</v>
      </c>
      <c r="K23" s="23">
        <f t="shared" si="4"/>
        <v>3.3964507093459714E-5</v>
      </c>
      <c r="L23" s="7">
        <v>8896.4500000000007</v>
      </c>
      <c r="M23" s="9">
        <f t="shared" si="5"/>
        <v>1.5867459183808705E-2</v>
      </c>
      <c r="N23" s="7">
        <v>12517.4</v>
      </c>
      <c r="O23" s="23">
        <f t="shared" si="6"/>
        <v>5.6842346862257982E-3</v>
      </c>
      <c r="P23" s="7">
        <v>4571.45</v>
      </c>
      <c r="Q23" s="23">
        <f t="shared" si="7"/>
        <v>-6.6822798264077827E-3</v>
      </c>
      <c r="R23" s="7">
        <v>1480.8</v>
      </c>
      <c r="S23" s="23">
        <f t="shared" si="8"/>
        <v>8.1027005781212601E-3</v>
      </c>
      <c r="T23" s="7">
        <v>5653.75</v>
      </c>
      <c r="U23" s="23">
        <f t="shared" si="9"/>
        <v>2.4231078609476545E-2</v>
      </c>
      <c r="V23" s="7">
        <v>2506.15</v>
      </c>
      <c r="W23" s="23">
        <f t="shared" si="10"/>
        <v>4.4990627873992437E-3</v>
      </c>
      <c r="X23" s="7">
        <v>2338.35</v>
      </c>
      <c r="Y23" s="23">
        <f t="shared" si="11"/>
        <v>-6.9253092172968031E-3</v>
      </c>
      <c r="Z23" s="7">
        <v>4224</v>
      </c>
      <c r="AA23" s="23">
        <f t="shared" si="12"/>
        <v>-8.2048840543537671E-3</v>
      </c>
      <c r="AB23" s="10">
        <v>603.15</v>
      </c>
      <c r="AC23" s="23">
        <f t="shared" si="13"/>
        <v>-2.8359682633269226E-2</v>
      </c>
      <c r="AD23" s="11">
        <v>13393.45</v>
      </c>
      <c r="AE23" s="23">
        <f t="shared" si="14"/>
        <v>2.888224511700014E-2</v>
      </c>
      <c r="AG23" s="23" t="s">
        <v>44</v>
      </c>
      <c r="AH23" s="23">
        <f>SQRT(AN15)</f>
        <v>2.8839095683380167E-2</v>
      </c>
      <c r="AN23" s="5">
        <v>0</v>
      </c>
    </row>
    <row r="24" spans="1:43">
      <c r="A24" s="12">
        <v>45476</v>
      </c>
      <c r="B24" s="7">
        <v>1627.4</v>
      </c>
      <c r="C24" s="49">
        <f t="shared" si="0"/>
        <v>3.9095618452726286E-3</v>
      </c>
      <c r="D24" s="8">
        <v>500.2</v>
      </c>
      <c r="E24" s="49">
        <f t="shared" si="1"/>
        <v>1.8156641610586034E-2</v>
      </c>
      <c r="F24" s="7">
        <v>2139.5</v>
      </c>
      <c r="G24" s="49">
        <f t="shared" si="2"/>
        <v>4.8728016578247144E-3</v>
      </c>
      <c r="H24" s="7">
        <v>1633.8</v>
      </c>
      <c r="I24" s="23">
        <f t="shared" si="3"/>
        <v>2.3220138637335699E-2</v>
      </c>
      <c r="J24" s="7">
        <v>1479.8</v>
      </c>
      <c r="K24" s="23">
        <f t="shared" si="4"/>
        <v>5.1830262203896669E-3</v>
      </c>
      <c r="L24" s="7">
        <v>9296.75</v>
      </c>
      <c r="M24" s="9">
        <f t="shared" si="5"/>
        <v>4.4012555956170402E-2</v>
      </c>
      <c r="N24" s="7">
        <v>12648.85</v>
      </c>
      <c r="O24" s="23">
        <f t="shared" si="6"/>
        <v>1.044662557574449E-2</v>
      </c>
      <c r="P24" s="7">
        <v>4559.1499999999996</v>
      </c>
      <c r="Q24" s="23">
        <f t="shared" si="7"/>
        <v>-2.6942385911974957E-3</v>
      </c>
      <c r="R24" s="7">
        <v>1481</v>
      </c>
      <c r="S24" s="23">
        <f t="shared" si="8"/>
        <v>1.3505300851105292E-4</v>
      </c>
      <c r="T24" s="7">
        <v>5680.9</v>
      </c>
      <c r="U24" s="23">
        <f t="shared" si="9"/>
        <v>4.7906290753825364E-3</v>
      </c>
      <c r="V24" s="7">
        <v>2569.4499999999998</v>
      </c>
      <c r="W24" s="23">
        <f t="shared" si="10"/>
        <v>2.4944157194764442E-2</v>
      </c>
      <c r="X24" s="7">
        <v>2314.6</v>
      </c>
      <c r="Y24" s="23">
        <f t="shared" si="11"/>
        <v>-1.0208666012822299E-2</v>
      </c>
      <c r="Z24" s="7">
        <v>4287.45</v>
      </c>
      <c r="AA24" s="23">
        <f t="shared" si="12"/>
        <v>1.4909604212518256E-2</v>
      </c>
      <c r="AB24" s="10">
        <v>607.5</v>
      </c>
      <c r="AC24" s="23">
        <f t="shared" si="13"/>
        <v>7.186253203310804E-3</v>
      </c>
      <c r="AD24" s="11">
        <v>13959.5</v>
      </c>
      <c r="AE24" s="23">
        <f t="shared" si="14"/>
        <v>4.1394498591751268E-2</v>
      </c>
      <c r="AG24" s="23" t="s">
        <v>45</v>
      </c>
      <c r="AH24" s="23">
        <f>SQRT(252)*AH23</f>
        <v>0.45780645128532155</v>
      </c>
      <c r="AN24" s="5">
        <v>1</v>
      </c>
    </row>
    <row r="25" spans="1:43">
      <c r="A25" s="12">
        <v>45477</v>
      </c>
      <c r="B25" s="7">
        <v>1650.65</v>
      </c>
      <c r="C25" s="49">
        <f t="shared" si="0"/>
        <v>1.4185500452257985E-2</v>
      </c>
      <c r="D25" s="8">
        <v>514.4</v>
      </c>
      <c r="E25" s="49">
        <f t="shared" si="1"/>
        <v>2.7993154479890869E-2</v>
      </c>
      <c r="F25" s="7">
        <v>2173</v>
      </c>
      <c r="G25" s="49">
        <f t="shared" si="2"/>
        <v>1.5536544399558214E-2</v>
      </c>
      <c r="H25" s="7">
        <v>1683.9</v>
      </c>
      <c r="I25" s="23">
        <f t="shared" si="3"/>
        <v>3.0203941708494456E-2</v>
      </c>
      <c r="J25" s="7">
        <v>1459.15</v>
      </c>
      <c r="K25" s="23">
        <f t="shared" si="4"/>
        <v>-1.4052869109331297E-2</v>
      </c>
      <c r="L25" s="7">
        <v>9902.9</v>
      </c>
      <c r="M25" s="9">
        <f t="shared" si="5"/>
        <v>6.3162766820648128E-2</v>
      </c>
      <c r="N25" s="7">
        <v>12658.45</v>
      </c>
      <c r="O25" s="23">
        <f t="shared" si="6"/>
        <v>7.5867441097782152E-4</v>
      </c>
      <c r="P25" s="7">
        <v>4544.05</v>
      </c>
      <c r="Q25" s="23">
        <f t="shared" si="7"/>
        <v>-3.3175177627906903E-3</v>
      </c>
      <c r="R25" s="7">
        <v>1522.35</v>
      </c>
      <c r="S25" s="23">
        <f t="shared" si="8"/>
        <v>2.7537658295137924E-2</v>
      </c>
      <c r="T25" s="7">
        <v>5898.7</v>
      </c>
      <c r="U25" s="23">
        <f t="shared" si="9"/>
        <v>3.7622316765124411E-2</v>
      </c>
      <c r="V25" s="7">
        <v>2583.1999999999998</v>
      </c>
      <c r="W25" s="23">
        <f t="shared" si="10"/>
        <v>5.3370722398341126E-3</v>
      </c>
      <c r="X25" s="7">
        <v>2365.9499999999998</v>
      </c>
      <c r="Y25" s="23">
        <f t="shared" si="11"/>
        <v>2.1942746187615405E-2</v>
      </c>
      <c r="Z25" s="7">
        <v>4356.25</v>
      </c>
      <c r="AA25" s="23">
        <f t="shared" si="12"/>
        <v>1.5919444910218329E-2</v>
      </c>
      <c r="AB25" s="10">
        <v>608.04999999999995</v>
      </c>
      <c r="AC25" s="23">
        <f t="shared" si="13"/>
        <v>9.0494021230495944E-4</v>
      </c>
      <c r="AD25" s="11">
        <v>13750.25</v>
      </c>
      <c r="AE25" s="23">
        <f t="shared" si="14"/>
        <v>-1.5103274308410004E-2</v>
      </c>
      <c r="AG25" s="23" t="s">
        <v>46</v>
      </c>
      <c r="AH25" s="23">
        <f>SQRT(AO16)</f>
        <v>1.7978537587189206E-2</v>
      </c>
      <c r="AK25" s="23" t="s">
        <v>47</v>
      </c>
      <c r="AL25" s="23">
        <f>(M253-AM11)/AH22</f>
        <v>1.7444857728893843</v>
      </c>
    </row>
    <row r="26" spans="1:43">
      <c r="A26" s="12">
        <v>45478</v>
      </c>
      <c r="B26" s="7">
        <v>1647.45</v>
      </c>
      <c r="C26" s="49">
        <f t="shared" si="0"/>
        <v>-1.9405118123502884E-3</v>
      </c>
      <c r="D26" s="8">
        <v>526</v>
      </c>
      <c r="E26" s="49">
        <f t="shared" si="1"/>
        <v>2.2300039814300249E-2</v>
      </c>
      <c r="F26" s="7">
        <v>2137.85</v>
      </c>
      <c r="G26" s="49">
        <f t="shared" si="2"/>
        <v>-1.6308050159826951E-2</v>
      </c>
      <c r="H26" s="7">
        <v>1731.85</v>
      </c>
      <c r="I26" s="23">
        <f t="shared" si="3"/>
        <v>2.8077669674849072E-2</v>
      </c>
      <c r="J26" s="7">
        <v>1461.35</v>
      </c>
      <c r="K26" s="23">
        <f t="shared" si="4"/>
        <v>1.506591622073778E-3</v>
      </c>
      <c r="L26" s="7">
        <v>9667.6</v>
      </c>
      <c r="M26" s="9">
        <f t="shared" si="5"/>
        <v>-2.404755515638022E-2</v>
      </c>
      <c r="N26" s="7">
        <v>12505.95</v>
      </c>
      <c r="O26" s="23">
        <f t="shared" si="6"/>
        <v>-1.2120445304923481E-2</v>
      </c>
      <c r="P26" s="7">
        <v>4629.7</v>
      </c>
      <c r="Q26" s="23">
        <f t="shared" si="7"/>
        <v>1.8673386303014364E-2</v>
      </c>
      <c r="R26" s="7">
        <v>1519.4</v>
      </c>
      <c r="S26" s="23">
        <f t="shared" si="8"/>
        <v>-1.9396734938155653E-3</v>
      </c>
      <c r="T26" s="7">
        <v>5870.15</v>
      </c>
      <c r="U26" s="23">
        <f t="shared" si="9"/>
        <v>-4.8518004742154177E-3</v>
      </c>
      <c r="V26" s="7">
        <v>2628.9</v>
      </c>
      <c r="W26" s="23">
        <f t="shared" si="10"/>
        <v>1.7536567285849406E-2</v>
      </c>
      <c r="X26" s="7">
        <v>2430.15</v>
      </c>
      <c r="Y26" s="23">
        <f t="shared" si="11"/>
        <v>2.6773351222944195E-2</v>
      </c>
      <c r="Z26" s="7">
        <v>4333.1000000000004</v>
      </c>
      <c r="AA26" s="23">
        <f t="shared" si="12"/>
        <v>-5.3283743368721295E-3</v>
      </c>
      <c r="AB26" s="10">
        <v>615.35</v>
      </c>
      <c r="AC26" s="23">
        <f t="shared" si="13"/>
        <v>1.1934096191337252E-2</v>
      </c>
      <c r="AD26" s="11">
        <v>14019.55</v>
      </c>
      <c r="AE26" s="23">
        <f t="shared" si="14"/>
        <v>1.9395778321569544E-2</v>
      </c>
      <c r="AG26" s="23" t="s">
        <v>48</v>
      </c>
      <c r="AH26" s="23">
        <f>SQRT(252)*AH25</f>
        <v>0.28540043635397921</v>
      </c>
      <c r="AK26" s="23" t="s">
        <v>49</v>
      </c>
      <c r="AL26" s="23">
        <f>(O253-AM11)/AH24</f>
        <v>1.1405422468936719</v>
      </c>
    </row>
    <row r="27" spans="1:43">
      <c r="A27" s="12">
        <v>45481</v>
      </c>
      <c r="B27" s="7">
        <v>1661.65</v>
      </c>
      <c r="C27" s="49">
        <f t="shared" si="0"/>
        <v>8.5824466847920378E-3</v>
      </c>
      <c r="D27" s="8">
        <v>518.6</v>
      </c>
      <c r="E27" s="49">
        <f t="shared" si="1"/>
        <v>-1.4168339633145849E-2</v>
      </c>
      <c r="F27" s="7">
        <v>2062.1999999999998</v>
      </c>
      <c r="G27" s="49">
        <f t="shared" si="2"/>
        <v>-3.6027277012759561E-2</v>
      </c>
      <c r="H27" s="7">
        <v>1696.95</v>
      </c>
      <c r="I27" s="23">
        <f t="shared" si="3"/>
        <v>-2.0357679250526901E-2</v>
      </c>
      <c r="J27" s="7">
        <v>1467.6</v>
      </c>
      <c r="K27" s="23">
        <f t="shared" si="4"/>
        <v>4.2677474769340371E-3</v>
      </c>
      <c r="L27" s="7">
        <v>9905.15</v>
      </c>
      <c r="M27" s="9">
        <f t="shared" si="5"/>
        <v>2.4274735520896398E-2</v>
      </c>
      <c r="N27" s="7">
        <v>12482.5</v>
      </c>
      <c r="O27" s="23">
        <f t="shared" si="6"/>
        <v>-1.8768676635654684E-3</v>
      </c>
      <c r="P27" s="7">
        <v>4464.2</v>
      </c>
      <c r="Q27" s="23">
        <f t="shared" si="7"/>
        <v>-3.6402044239678369E-2</v>
      </c>
      <c r="R27" s="7">
        <v>1533.4</v>
      </c>
      <c r="S27" s="23">
        <f t="shared" si="8"/>
        <v>9.1719720556728748E-3</v>
      </c>
      <c r="T27" s="7">
        <v>5855.45</v>
      </c>
      <c r="U27" s="23">
        <f t="shared" si="9"/>
        <v>-2.5073356930555802E-3</v>
      </c>
      <c r="V27" s="7">
        <v>2609.5500000000002</v>
      </c>
      <c r="W27" s="23">
        <f t="shared" si="10"/>
        <v>-7.3877150712456374E-3</v>
      </c>
      <c r="X27" s="7">
        <v>2398.25</v>
      </c>
      <c r="Y27" s="23">
        <f t="shared" si="11"/>
        <v>-1.3213679126479982E-2</v>
      </c>
      <c r="Z27" s="7">
        <v>4225.3999999999996</v>
      </c>
      <c r="AA27" s="23">
        <f t="shared" si="12"/>
        <v>-2.5169290305827617E-2</v>
      </c>
      <c r="AB27" s="10">
        <v>641.29999999999995</v>
      </c>
      <c r="AC27" s="23">
        <f t="shared" si="13"/>
        <v>4.1306154536471372E-2</v>
      </c>
      <c r="AD27" s="11">
        <v>13756.15</v>
      </c>
      <c r="AE27" s="23">
        <f t="shared" si="14"/>
        <v>-1.8966787243821726E-2</v>
      </c>
      <c r="AG27" s="23" t="s">
        <v>50</v>
      </c>
      <c r="AH27" s="23">
        <f>SQRT(AP17)</f>
        <v>2.3473645174263792E-2</v>
      </c>
      <c r="AK27" s="23" t="s">
        <v>51</v>
      </c>
      <c r="AL27" s="23">
        <f>(Q253-AM11)/AH26</f>
        <v>1.7270259453948977</v>
      </c>
    </row>
    <row r="28" spans="1:43">
      <c r="A28" s="12">
        <v>45482</v>
      </c>
      <c r="B28" s="7">
        <v>1657.15</v>
      </c>
      <c r="C28" s="49">
        <f t="shared" si="0"/>
        <v>-2.7118252125756842E-3</v>
      </c>
      <c r="D28" s="8">
        <v>521.45000000000005</v>
      </c>
      <c r="E28" s="49">
        <f t="shared" si="1"/>
        <v>5.4805194626578613E-3</v>
      </c>
      <c r="F28" s="7">
        <v>2102.5</v>
      </c>
      <c r="G28" s="49">
        <f t="shared" si="2"/>
        <v>1.9353738763259916E-2</v>
      </c>
      <c r="H28" s="7">
        <v>1681.25</v>
      </c>
      <c r="I28" s="23">
        <f t="shared" si="3"/>
        <v>-9.2949576904362702E-3</v>
      </c>
      <c r="J28" s="7">
        <v>1465.75</v>
      </c>
      <c r="K28" s="23">
        <f t="shared" si="4"/>
        <v>-1.2613566368024783E-3</v>
      </c>
      <c r="L28" s="7">
        <v>9848</v>
      </c>
      <c r="M28" s="9">
        <f t="shared" si="5"/>
        <v>-5.7864350204286617E-3</v>
      </c>
      <c r="N28" s="7">
        <v>12531.85</v>
      </c>
      <c r="O28" s="23">
        <f t="shared" si="6"/>
        <v>3.9457402672423555E-3</v>
      </c>
      <c r="P28" s="7">
        <v>4551.95</v>
      </c>
      <c r="Q28" s="23">
        <f t="shared" si="7"/>
        <v>1.9465685638151532E-2</v>
      </c>
      <c r="R28" s="7">
        <v>1531.1</v>
      </c>
      <c r="S28" s="23">
        <f t="shared" si="8"/>
        <v>-1.5010608137446819E-3</v>
      </c>
      <c r="T28" s="7">
        <v>5760.65</v>
      </c>
      <c r="U28" s="23">
        <f t="shared" si="9"/>
        <v>-1.6322535919898597E-2</v>
      </c>
      <c r="V28" s="7">
        <v>2600.5</v>
      </c>
      <c r="W28" s="23">
        <f t="shared" si="10"/>
        <v>-3.4740584455418399E-3</v>
      </c>
      <c r="X28" s="7">
        <v>2438.1999999999998</v>
      </c>
      <c r="Y28" s="23">
        <f t="shared" si="11"/>
        <v>1.6520757432988857E-2</v>
      </c>
      <c r="Z28" s="7">
        <v>4091.55</v>
      </c>
      <c r="AA28" s="23">
        <f t="shared" si="12"/>
        <v>-3.2190059516321826E-2</v>
      </c>
      <c r="AB28" s="10">
        <v>637.79999999999995</v>
      </c>
      <c r="AC28" s="23">
        <f t="shared" si="13"/>
        <v>-5.4726115788600376E-3</v>
      </c>
      <c r="AD28" s="11">
        <v>13488.95</v>
      </c>
      <c r="AE28" s="23">
        <f t="shared" si="14"/>
        <v>-1.9615165086547377E-2</v>
      </c>
      <c r="AG28" s="23" t="s">
        <v>52</v>
      </c>
      <c r="AH28" s="23">
        <f>SQRT(252)*AH27</f>
        <v>0.3726325649716406</v>
      </c>
      <c r="AK28" s="23" t="s">
        <v>53</v>
      </c>
      <c r="AL28" s="23">
        <f>(U253-AM11)/AH28</f>
        <v>1.8329336318394169</v>
      </c>
    </row>
    <row r="29" spans="1:43">
      <c r="A29" s="13">
        <v>45483</v>
      </c>
      <c r="B29" s="7">
        <v>1648.25</v>
      </c>
      <c r="C29" s="49">
        <f t="shared" si="0"/>
        <v>-5.385140381271844E-3</v>
      </c>
      <c r="D29" s="8">
        <v>518.29999999999995</v>
      </c>
      <c r="E29" s="49">
        <f t="shared" si="1"/>
        <v>-6.059167371561174E-3</v>
      </c>
      <c r="F29" s="7">
        <v>2150.25</v>
      </c>
      <c r="G29" s="49">
        <f t="shared" si="2"/>
        <v>2.2457001584485898E-2</v>
      </c>
      <c r="H29" s="7">
        <v>1631.85</v>
      </c>
      <c r="I29" s="23">
        <f t="shared" si="3"/>
        <v>-2.9823223814947893E-2</v>
      </c>
      <c r="J29" s="7">
        <v>1463.35</v>
      </c>
      <c r="K29" s="23">
        <f t="shared" si="4"/>
        <v>-1.6387289864371545E-3</v>
      </c>
      <c r="L29" s="7">
        <v>9767.7999999999993</v>
      </c>
      <c r="M29" s="9">
        <f t="shared" si="5"/>
        <v>-8.1771273038400687E-3</v>
      </c>
      <c r="N29" s="7">
        <v>12412.1</v>
      </c>
      <c r="O29" s="23">
        <f t="shared" si="6"/>
        <v>-9.6016003868870849E-3</v>
      </c>
      <c r="P29" s="7">
        <v>4636.95</v>
      </c>
      <c r="Q29" s="23">
        <f t="shared" si="7"/>
        <v>1.8501109936533481E-2</v>
      </c>
      <c r="R29" s="7">
        <v>1509.95</v>
      </c>
      <c r="S29" s="23">
        <f t="shared" si="8"/>
        <v>-1.3909893633094481E-2</v>
      </c>
      <c r="T29" s="7">
        <v>5669.1</v>
      </c>
      <c r="U29" s="23">
        <f t="shared" si="9"/>
        <v>-1.6019940581287462E-2</v>
      </c>
      <c r="V29" s="7">
        <v>2550</v>
      </c>
      <c r="W29" s="23">
        <f t="shared" si="10"/>
        <v>-1.9610375060655275E-2</v>
      </c>
      <c r="X29" s="7">
        <v>2440.25</v>
      </c>
      <c r="Y29" s="23">
        <f t="shared" si="11"/>
        <v>8.4043092402869099E-4</v>
      </c>
      <c r="Z29" s="7">
        <v>3997.65</v>
      </c>
      <c r="AA29" s="23">
        <f t="shared" si="12"/>
        <v>-2.3217182893532563E-2</v>
      </c>
      <c r="AB29" s="10">
        <v>646.1</v>
      </c>
      <c r="AC29" s="23">
        <f t="shared" si="13"/>
        <v>1.2929535988162598E-2</v>
      </c>
      <c r="AD29" s="11">
        <v>12857.5</v>
      </c>
      <c r="AE29" s="23">
        <f t="shared" si="14"/>
        <v>-4.7943533089741218E-2</v>
      </c>
    </row>
    <row r="30" spans="1:43">
      <c r="A30" s="13">
        <v>45484</v>
      </c>
      <c r="B30" s="7">
        <v>1652.7</v>
      </c>
      <c r="C30" s="49">
        <f t="shared" si="0"/>
        <v>2.6961951533714251E-3</v>
      </c>
      <c r="D30" s="8">
        <v>514.70000000000005</v>
      </c>
      <c r="E30" s="49">
        <f t="shared" si="1"/>
        <v>-6.9700185369518108E-3</v>
      </c>
      <c r="F30" s="7">
        <v>2117.25</v>
      </c>
      <c r="G30" s="49">
        <f t="shared" si="2"/>
        <v>-1.5466037629880518E-2</v>
      </c>
      <c r="H30" s="7">
        <v>1666.3</v>
      </c>
      <c r="I30" s="23">
        <f t="shared" si="3"/>
        <v>2.0891259009376446E-2</v>
      </c>
      <c r="J30" s="7">
        <v>1460.6</v>
      </c>
      <c r="K30" s="23">
        <f t="shared" si="4"/>
        <v>-1.8810176718779138E-3</v>
      </c>
      <c r="L30" s="7">
        <v>9773.9</v>
      </c>
      <c r="M30" s="9">
        <f t="shared" si="5"/>
        <v>6.2430599161056061E-4</v>
      </c>
      <c r="N30" s="7">
        <v>12613.3</v>
      </c>
      <c r="O30" s="23">
        <f t="shared" si="6"/>
        <v>1.6080009532962267E-2</v>
      </c>
      <c r="P30" s="7">
        <v>4582.5</v>
      </c>
      <c r="Q30" s="23">
        <f t="shared" si="7"/>
        <v>-1.1812121785736889E-2</v>
      </c>
      <c r="R30" s="7">
        <v>1511.9</v>
      </c>
      <c r="S30" s="23">
        <f t="shared" si="8"/>
        <v>1.2906003082007191E-3</v>
      </c>
      <c r="T30" s="7">
        <v>5563.5</v>
      </c>
      <c r="U30" s="23">
        <f t="shared" si="9"/>
        <v>-1.8802968366347636E-2</v>
      </c>
      <c r="V30" s="7">
        <v>2560.3000000000002</v>
      </c>
      <c r="W30" s="23">
        <f t="shared" si="10"/>
        <v>4.0310799552176575E-3</v>
      </c>
      <c r="X30" s="7">
        <v>2475.6999999999998</v>
      </c>
      <c r="Y30" s="23">
        <f t="shared" si="11"/>
        <v>1.4422691242165334E-2</v>
      </c>
      <c r="Z30" s="7">
        <v>4102.55</v>
      </c>
      <c r="AA30" s="23">
        <f t="shared" si="12"/>
        <v>2.5902043124129647E-2</v>
      </c>
      <c r="AB30" s="10">
        <v>644.79999999999995</v>
      </c>
      <c r="AC30" s="23">
        <f t="shared" si="13"/>
        <v>-2.0140993717013673E-3</v>
      </c>
      <c r="AD30" s="11">
        <v>12680.9</v>
      </c>
      <c r="AE30" s="23">
        <f t="shared" si="14"/>
        <v>-1.3830374258686591E-2</v>
      </c>
    </row>
    <row r="31" spans="1:43">
      <c r="A31" s="13">
        <v>45485</v>
      </c>
      <c r="B31" s="7">
        <v>1711.75</v>
      </c>
      <c r="C31" s="49">
        <f t="shared" si="0"/>
        <v>3.5105924854391714E-2</v>
      </c>
      <c r="D31" s="8">
        <v>514.35</v>
      </c>
      <c r="E31" s="49">
        <f t="shared" si="1"/>
        <v>-6.802390816698508E-4</v>
      </c>
      <c r="F31" s="7">
        <v>2152.4499999999998</v>
      </c>
      <c r="G31" s="49">
        <f t="shared" si="2"/>
        <v>1.6488651426667843E-2</v>
      </c>
      <c r="H31" s="7">
        <v>1665.55</v>
      </c>
      <c r="I31" s="23">
        <f t="shared" si="3"/>
        <v>-4.5020034675485974E-4</v>
      </c>
      <c r="J31" s="7">
        <v>1505.05</v>
      </c>
      <c r="K31" s="23">
        <f t="shared" si="4"/>
        <v>2.9978810036470762E-2</v>
      </c>
      <c r="L31" s="7">
        <v>9903.35</v>
      </c>
      <c r="M31" s="9">
        <f t="shared" si="5"/>
        <v>1.3157516170106269E-2</v>
      </c>
      <c r="N31" s="7">
        <v>12410</v>
      </c>
      <c r="O31" s="23">
        <f t="shared" si="6"/>
        <v>-1.6249213589428858E-2</v>
      </c>
      <c r="P31" s="7">
        <v>4539.3</v>
      </c>
      <c r="Q31" s="23">
        <f t="shared" si="7"/>
        <v>-9.4718855882252664E-3</v>
      </c>
      <c r="R31" s="7">
        <v>1560.2</v>
      </c>
      <c r="S31" s="23">
        <f t="shared" si="8"/>
        <v>3.1446880168057224E-2</v>
      </c>
      <c r="T31" s="7">
        <v>5977.65</v>
      </c>
      <c r="U31" s="23">
        <f t="shared" si="9"/>
        <v>7.1800107522758588E-2</v>
      </c>
      <c r="V31" s="7">
        <v>2690.7</v>
      </c>
      <c r="W31" s="23">
        <f t="shared" si="10"/>
        <v>4.9676943684377438E-2</v>
      </c>
      <c r="X31" s="7">
        <v>2439.4499999999998</v>
      </c>
      <c r="Y31" s="23">
        <f t="shared" si="11"/>
        <v>-1.4750580254673311E-2</v>
      </c>
      <c r="Z31" s="7">
        <v>4057.1</v>
      </c>
      <c r="AA31" s="23">
        <f t="shared" si="12"/>
        <v>-1.1140298922499825E-2</v>
      </c>
      <c r="AB31" s="10">
        <v>650.1</v>
      </c>
      <c r="AC31" s="23">
        <f t="shared" si="13"/>
        <v>8.1860060180045796E-3</v>
      </c>
      <c r="AD31" s="11">
        <v>12362.2</v>
      </c>
      <c r="AE31" s="23">
        <f t="shared" si="14"/>
        <v>-2.5453494690163302E-2</v>
      </c>
    </row>
    <row r="32" spans="1:43" ht="13.8">
      <c r="A32" s="13">
        <v>45488</v>
      </c>
      <c r="B32" s="7">
        <v>1707.05</v>
      </c>
      <c r="C32" s="49">
        <f t="shared" si="0"/>
        <v>-2.7495044816377044E-3</v>
      </c>
      <c r="D32" s="8">
        <v>520.15</v>
      </c>
      <c r="E32" s="49">
        <f t="shared" si="1"/>
        <v>1.1213263939865088E-2</v>
      </c>
      <c r="F32" s="7">
        <v>2148.6</v>
      </c>
      <c r="G32" s="49">
        <f t="shared" si="2"/>
        <v>-1.7902609959343329E-3</v>
      </c>
      <c r="H32" s="7">
        <v>1628.75</v>
      </c>
      <c r="I32" s="23">
        <f t="shared" si="3"/>
        <v>-2.2342549758768065E-2</v>
      </c>
      <c r="J32" s="7">
        <v>1499.05</v>
      </c>
      <c r="K32" s="23">
        <f t="shared" si="4"/>
        <v>-3.9945461057868887E-3</v>
      </c>
      <c r="L32" s="7">
        <v>9908.75</v>
      </c>
      <c r="M32" s="9">
        <f t="shared" si="5"/>
        <v>5.4512142919936092E-4</v>
      </c>
      <c r="N32" s="7">
        <v>12679.6</v>
      </c>
      <c r="O32" s="23">
        <f t="shared" si="6"/>
        <v>2.149180355366186E-2</v>
      </c>
      <c r="P32" s="7">
        <v>4575.3999999999996</v>
      </c>
      <c r="Q32" s="23">
        <f t="shared" si="7"/>
        <v>7.9213114560480608E-3</v>
      </c>
      <c r="R32" s="7">
        <v>1569.6</v>
      </c>
      <c r="S32" s="23">
        <f t="shared" si="8"/>
        <v>6.006791656885886E-3</v>
      </c>
      <c r="T32" s="7">
        <v>5916</v>
      </c>
      <c r="U32" s="23">
        <f t="shared" si="9"/>
        <v>-1.0366969289823429E-2</v>
      </c>
      <c r="V32" s="7">
        <v>2736.85</v>
      </c>
      <c r="W32" s="23">
        <f t="shared" si="10"/>
        <v>1.7006241216280967E-2</v>
      </c>
      <c r="X32" s="7">
        <v>2450.85</v>
      </c>
      <c r="Y32" s="23">
        <f t="shared" si="11"/>
        <v>4.6622991023757684E-3</v>
      </c>
      <c r="Z32" s="7">
        <v>4734.25</v>
      </c>
      <c r="AA32" s="23">
        <f t="shared" si="12"/>
        <v>0.15435488648510504</v>
      </c>
      <c r="AB32" s="10">
        <v>652.95000000000005</v>
      </c>
      <c r="AC32" s="23">
        <f t="shared" si="13"/>
        <v>4.3743594559931057E-3</v>
      </c>
      <c r="AD32" s="11">
        <v>12060.15</v>
      </c>
      <c r="AE32" s="23">
        <f t="shared" si="14"/>
        <v>-2.4736800685448666E-2</v>
      </c>
    </row>
    <row r="33" spans="1:31" ht="13.8">
      <c r="A33" s="13">
        <v>45489</v>
      </c>
      <c r="B33" s="7">
        <v>1726.05</v>
      </c>
      <c r="C33" s="49">
        <f t="shared" si="0"/>
        <v>1.106882641804257E-2</v>
      </c>
      <c r="D33" s="8">
        <v>520.85</v>
      </c>
      <c r="E33" s="49">
        <f t="shared" si="1"/>
        <v>1.3448609135536581E-3</v>
      </c>
      <c r="F33" s="7">
        <v>2115.6999999999998</v>
      </c>
      <c r="G33" s="49">
        <f t="shared" si="2"/>
        <v>-1.5430740243170239E-2</v>
      </c>
      <c r="H33" s="7">
        <v>1601.9</v>
      </c>
      <c r="I33" s="23">
        <f t="shared" si="3"/>
        <v>-1.6622424731617041E-2</v>
      </c>
      <c r="J33" s="7">
        <v>1516.2</v>
      </c>
      <c r="K33" s="23">
        <f t="shared" si="4"/>
        <v>1.1375630505510239E-2</v>
      </c>
      <c r="L33" s="7">
        <v>9796.9</v>
      </c>
      <c r="M33" s="9">
        <f t="shared" si="5"/>
        <v>-1.1352196065104885E-2</v>
      </c>
      <c r="N33" s="7">
        <v>12551.8</v>
      </c>
      <c r="O33" s="23">
        <f t="shared" si="6"/>
        <v>-1.0130321182131731E-2</v>
      </c>
      <c r="P33" s="7">
        <v>4570.8</v>
      </c>
      <c r="Q33" s="23">
        <f t="shared" si="7"/>
        <v>-1.0058823091242241E-3</v>
      </c>
      <c r="R33" s="7">
        <v>1569.55</v>
      </c>
      <c r="S33" s="23">
        <f t="shared" si="8"/>
        <v>-3.1855757134382065E-5</v>
      </c>
      <c r="T33" s="7">
        <v>5896.9</v>
      </c>
      <c r="U33" s="23">
        <f t="shared" si="9"/>
        <v>-3.2337557491109721E-3</v>
      </c>
      <c r="V33" s="7">
        <v>2799.45</v>
      </c>
      <c r="W33" s="23">
        <f t="shared" si="10"/>
        <v>2.2615345288900007E-2</v>
      </c>
      <c r="X33" s="7">
        <v>2455.4</v>
      </c>
      <c r="Y33" s="23">
        <f t="shared" si="11"/>
        <v>1.8547776017973413E-3</v>
      </c>
      <c r="Z33" s="7">
        <v>4439.8500000000004</v>
      </c>
      <c r="AA33" s="23">
        <f t="shared" si="12"/>
        <v>-6.4202727071212579E-2</v>
      </c>
      <c r="AB33" s="10">
        <v>667.35</v>
      </c>
      <c r="AC33" s="23">
        <f t="shared" si="13"/>
        <v>2.1814089253744118E-2</v>
      </c>
      <c r="AD33" s="11">
        <v>12055.5</v>
      </c>
      <c r="AE33" s="23">
        <f t="shared" si="14"/>
        <v>-3.8564169388998805E-4</v>
      </c>
    </row>
    <row r="34" spans="1:31" ht="13.8">
      <c r="A34" s="13">
        <v>45491</v>
      </c>
      <c r="B34" s="7">
        <v>1758.05</v>
      </c>
      <c r="C34" s="49">
        <f t="shared" si="0"/>
        <v>1.836967931378982E-2</v>
      </c>
      <c r="D34" s="8">
        <v>519</v>
      </c>
      <c r="E34" s="49">
        <f t="shared" si="1"/>
        <v>-3.5582092645692364E-3</v>
      </c>
      <c r="F34" s="7">
        <v>2138.85</v>
      </c>
      <c r="G34" s="49">
        <f t="shared" si="2"/>
        <v>1.0882574406965977E-2</v>
      </c>
      <c r="H34" s="7">
        <v>1546.45</v>
      </c>
      <c r="I34" s="23">
        <f t="shared" si="3"/>
        <v>-3.5228443175132268E-2</v>
      </c>
      <c r="J34" s="7">
        <v>1539.35</v>
      </c>
      <c r="K34" s="23">
        <f t="shared" si="4"/>
        <v>1.515304476343487E-2</v>
      </c>
      <c r="L34" s="7">
        <v>9780.7000000000007</v>
      </c>
      <c r="M34" s="9">
        <f t="shared" si="5"/>
        <v>-1.6549529766132643E-3</v>
      </c>
      <c r="N34" s="7">
        <v>11945.85</v>
      </c>
      <c r="O34" s="23">
        <f t="shared" si="6"/>
        <v>-4.9480143861034449E-2</v>
      </c>
      <c r="P34" s="7">
        <v>4584.8</v>
      </c>
      <c r="Q34" s="23">
        <f t="shared" si="7"/>
        <v>3.0582399649690894E-3</v>
      </c>
      <c r="R34" s="7">
        <v>1594.55</v>
      </c>
      <c r="S34" s="23">
        <f t="shared" si="8"/>
        <v>1.5802610696914087E-2</v>
      </c>
      <c r="T34" s="7">
        <v>5997.6</v>
      </c>
      <c r="U34" s="23">
        <f t="shared" si="9"/>
        <v>1.6932600107272995E-2</v>
      </c>
      <c r="V34" s="7">
        <v>2833.25</v>
      </c>
      <c r="W34" s="23">
        <f t="shared" si="10"/>
        <v>1.2001493315809625E-2</v>
      </c>
      <c r="X34" s="7">
        <v>2407.6</v>
      </c>
      <c r="Y34" s="23">
        <f t="shared" si="11"/>
        <v>-1.9659280073123887E-2</v>
      </c>
      <c r="Z34" s="7">
        <v>4292.25</v>
      </c>
      <c r="AA34" s="23">
        <f t="shared" si="12"/>
        <v>-3.3809521114480559E-2</v>
      </c>
      <c r="AB34" s="10">
        <v>684.85</v>
      </c>
      <c r="AC34" s="23">
        <f t="shared" si="13"/>
        <v>2.5885190260669641E-2</v>
      </c>
      <c r="AD34" s="11">
        <v>11828.55</v>
      </c>
      <c r="AE34" s="23">
        <f t="shared" si="14"/>
        <v>-1.9004886598688955E-2</v>
      </c>
    </row>
    <row r="35" spans="1:31" ht="13.8">
      <c r="A35" s="13">
        <v>45492</v>
      </c>
      <c r="B35" s="7">
        <v>1792.95</v>
      </c>
      <c r="C35" s="49">
        <f t="shared" si="0"/>
        <v>1.9657067740732684E-2</v>
      </c>
      <c r="D35" s="8">
        <v>503</v>
      </c>
      <c r="E35" s="49">
        <f t="shared" si="1"/>
        <v>-3.1313713066149378E-2</v>
      </c>
      <c r="F35" s="7">
        <v>2129</v>
      </c>
      <c r="G35" s="49">
        <f t="shared" si="2"/>
        <v>-4.6159155027582863E-3</v>
      </c>
      <c r="H35" s="7">
        <v>1467.75</v>
      </c>
      <c r="I35" s="23">
        <f t="shared" si="3"/>
        <v>-5.2231365588010274E-2</v>
      </c>
      <c r="J35" s="7">
        <v>1491.4</v>
      </c>
      <c r="K35" s="23">
        <f t="shared" si="4"/>
        <v>-3.1644973275943941E-2</v>
      </c>
      <c r="L35" s="7">
        <v>9714.35</v>
      </c>
      <c r="M35" s="9">
        <f t="shared" si="5"/>
        <v>-6.8068823815545902E-3</v>
      </c>
      <c r="N35" s="7">
        <v>11267.2</v>
      </c>
      <c r="O35" s="23">
        <f t="shared" si="6"/>
        <v>-5.8488087748415137E-2</v>
      </c>
      <c r="P35" s="7">
        <v>4519.8</v>
      </c>
      <c r="Q35" s="23">
        <f t="shared" si="7"/>
        <v>-1.4278739177823629E-2</v>
      </c>
      <c r="R35" s="7">
        <v>1594.55</v>
      </c>
      <c r="S35" s="23">
        <f t="shared" si="8"/>
        <v>0</v>
      </c>
      <c r="T35" s="7">
        <v>5983.75</v>
      </c>
      <c r="U35" s="23">
        <f t="shared" si="9"/>
        <v>-2.3119274821335571E-3</v>
      </c>
      <c r="V35" s="7">
        <v>2873.55</v>
      </c>
      <c r="W35" s="23">
        <f t="shared" si="10"/>
        <v>1.4123736566162009E-2</v>
      </c>
      <c r="X35" s="7">
        <v>2404.5500000000002</v>
      </c>
      <c r="Y35" s="23">
        <f t="shared" si="11"/>
        <v>-1.267624828159171E-3</v>
      </c>
      <c r="Z35" s="7">
        <v>4208.3999999999996</v>
      </c>
      <c r="AA35" s="23">
        <f t="shared" si="12"/>
        <v>-1.9728543023188751E-2</v>
      </c>
      <c r="AB35" s="10">
        <v>668.65</v>
      </c>
      <c r="AC35" s="23">
        <f t="shared" si="13"/>
        <v>-2.3939081862024758E-2</v>
      </c>
      <c r="AD35" s="11">
        <v>11190.35</v>
      </c>
      <c r="AE35" s="23">
        <f t="shared" si="14"/>
        <v>-5.5464300978646804E-2</v>
      </c>
    </row>
    <row r="36" spans="1:31" ht="13.8">
      <c r="A36" s="13">
        <v>45495</v>
      </c>
      <c r="B36" s="7">
        <v>1810.85</v>
      </c>
      <c r="C36" s="49">
        <f t="shared" si="0"/>
        <v>9.9340402936435382E-3</v>
      </c>
      <c r="D36" s="8">
        <v>517.79999999999995</v>
      </c>
      <c r="E36" s="49">
        <f t="shared" si="1"/>
        <v>2.8998897217698074E-2</v>
      </c>
      <c r="F36" s="7">
        <v>2108.3000000000002</v>
      </c>
      <c r="G36" s="49">
        <f t="shared" si="2"/>
        <v>-9.7704503675317272E-3</v>
      </c>
      <c r="H36" s="7">
        <v>1493.75</v>
      </c>
      <c r="I36" s="23">
        <f t="shared" si="3"/>
        <v>1.7559120735525482E-2</v>
      </c>
      <c r="J36" s="7">
        <v>1495.55</v>
      </c>
      <c r="K36" s="23">
        <f t="shared" si="4"/>
        <v>2.77875603565262E-3</v>
      </c>
      <c r="L36" s="7">
        <v>9979</v>
      </c>
      <c r="M36" s="9">
        <f t="shared" si="5"/>
        <v>2.6878711156219651E-2</v>
      </c>
      <c r="N36" s="7">
        <v>11353.45</v>
      </c>
      <c r="O36" s="23">
        <f t="shared" si="6"/>
        <v>7.6258125185971063E-3</v>
      </c>
      <c r="P36" s="7">
        <v>4534.8</v>
      </c>
      <c r="Q36" s="23">
        <f t="shared" si="7"/>
        <v>3.3132360837396339E-3</v>
      </c>
      <c r="R36" s="7">
        <v>1577.1</v>
      </c>
      <c r="S36" s="23">
        <f t="shared" si="8"/>
        <v>-1.1003847257366377E-2</v>
      </c>
      <c r="T36" s="7">
        <v>6076.2</v>
      </c>
      <c r="U36" s="23">
        <f t="shared" si="9"/>
        <v>1.533203885957545E-2</v>
      </c>
      <c r="V36" s="7">
        <v>2925.75</v>
      </c>
      <c r="W36" s="23">
        <f t="shared" si="10"/>
        <v>1.8002658875655893E-2</v>
      </c>
      <c r="X36" s="7">
        <v>2426.1</v>
      </c>
      <c r="Y36" s="23">
        <f t="shared" si="11"/>
        <v>8.9222539244295795E-3</v>
      </c>
      <c r="Z36" s="7">
        <v>4277.45</v>
      </c>
      <c r="AA36" s="23">
        <f t="shared" si="12"/>
        <v>1.6274509693179187E-2</v>
      </c>
      <c r="AB36" s="10">
        <v>668.05</v>
      </c>
      <c r="AC36" s="23">
        <f t="shared" si="13"/>
        <v>-8.9773328390257707E-4</v>
      </c>
      <c r="AD36" s="11">
        <v>11268.35</v>
      </c>
      <c r="AE36" s="23">
        <f t="shared" si="14"/>
        <v>6.9461111831710708E-3</v>
      </c>
    </row>
    <row r="37" spans="1:31" ht="13.8">
      <c r="A37" s="13">
        <v>45496</v>
      </c>
      <c r="B37" s="7">
        <v>1836.9</v>
      </c>
      <c r="C37" s="49">
        <f t="shared" si="0"/>
        <v>1.4283019866275391E-2</v>
      </c>
      <c r="D37" s="8">
        <v>526.75</v>
      </c>
      <c r="E37" s="49">
        <f t="shared" si="1"/>
        <v>1.7136985366861181E-2</v>
      </c>
      <c r="F37" s="7">
        <v>2081.1999999999998</v>
      </c>
      <c r="G37" s="49">
        <f t="shared" si="2"/>
        <v>-1.29372851097994E-2</v>
      </c>
      <c r="H37" s="7">
        <v>1467.9</v>
      </c>
      <c r="I37" s="23">
        <f t="shared" si="3"/>
        <v>-1.7456928716633142E-2</v>
      </c>
      <c r="J37" s="7">
        <v>1493.4</v>
      </c>
      <c r="K37" s="23">
        <f t="shared" si="4"/>
        <v>-1.4386325437458557E-3</v>
      </c>
      <c r="L37" s="7">
        <v>9738.15</v>
      </c>
      <c r="M37" s="9">
        <f t="shared" si="5"/>
        <v>-2.443172368667107E-2</v>
      </c>
      <c r="N37" s="7">
        <v>10943.1</v>
      </c>
      <c r="O37" s="23">
        <f t="shared" si="6"/>
        <v>-3.681254184073849E-2</v>
      </c>
      <c r="P37" s="7">
        <v>4527</v>
      </c>
      <c r="Q37" s="23">
        <f t="shared" si="7"/>
        <v>-1.7215127074850867E-3</v>
      </c>
      <c r="R37" s="7">
        <v>1598.35</v>
      </c>
      <c r="S37" s="23">
        <f t="shared" si="8"/>
        <v>1.3384129630226255E-2</v>
      </c>
      <c r="T37" s="7">
        <v>6179.35</v>
      </c>
      <c r="U37" s="23">
        <f t="shared" si="9"/>
        <v>1.6833587360321787E-2</v>
      </c>
      <c r="V37" s="7">
        <v>2937.15</v>
      </c>
      <c r="W37" s="23">
        <f t="shared" si="10"/>
        <v>3.8888653625702447E-3</v>
      </c>
      <c r="X37" s="7">
        <v>2472.1999999999998</v>
      </c>
      <c r="Y37" s="23">
        <f t="shared" si="11"/>
        <v>1.8823412683836478E-2</v>
      </c>
      <c r="Z37" s="7">
        <v>4140.75</v>
      </c>
      <c r="AA37" s="23">
        <f t="shared" si="12"/>
        <v>-3.2480106795048251E-2</v>
      </c>
      <c r="AB37" s="10">
        <v>672.55</v>
      </c>
      <c r="AC37" s="23">
        <f t="shared" si="13"/>
        <v>6.7134371196874987E-3</v>
      </c>
      <c r="AD37" s="11">
        <v>11396.8</v>
      </c>
      <c r="AE37" s="23">
        <f t="shared" si="14"/>
        <v>1.1334703297371115E-2</v>
      </c>
    </row>
    <row r="38" spans="1:31" ht="13.8">
      <c r="A38" s="13">
        <v>45497</v>
      </c>
      <c r="B38" s="7">
        <v>1833.95</v>
      </c>
      <c r="C38" s="49">
        <f t="shared" si="0"/>
        <v>-1.6072575207679923E-3</v>
      </c>
      <c r="D38" s="8">
        <v>537.95000000000005</v>
      </c>
      <c r="E38" s="49">
        <f t="shared" si="1"/>
        <v>2.1039566355619852E-2</v>
      </c>
      <c r="F38" s="7">
        <v>2104.4</v>
      </c>
      <c r="G38" s="49">
        <f t="shared" si="2"/>
        <v>1.108574044050376E-2</v>
      </c>
      <c r="H38" s="7">
        <v>1428.75</v>
      </c>
      <c r="I38" s="23">
        <f t="shared" si="3"/>
        <v>-2.7032871854167206E-2</v>
      </c>
      <c r="J38" s="7">
        <v>1533.3</v>
      </c>
      <c r="K38" s="23">
        <f t="shared" si="4"/>
        <v>2.6366875840742134E-2</v>
      </c>
      <c r="L38" s="7">
        <v>9501.5</v>
      </c>
      <c r="M38" s="9">
        <f t="shared" si="5"/>
        <v>-2.4601480336229133E-2</v>
      </c>
      <c r="N38" s="7">
        <v>10987.65</v>
      </c>
      <c r="O38" s="23">
        <f t="shared" si="6"/>
        <v>4.062794138787529E-3</v>
      </c>
      <c r="P38" s="7">
        <v>4551.6000000000004</v>
      </c>
      <c r="Q38" s="23">
        <f t="shared" si="7"/>
        <v>5.4193510468949768E-3</v>
      </c>
      <c r="R38" s="7">
        <v>1583.7</v>
      </c>
      <c r="S38" s="23">
        <f t="shared" si="8"/>
        <v>-9.2079656260580355E-3</v>
      </c>
      <c r="T38" s="7">
        <v>6334.1</v>
      </c>
      <c r="U38" s="23">
        <f t="shared" si="9"/>
        <v>2.473464785915238E-2</v>
      </c>
      <c r="V38" s="7">
        <v>2869.85</v>
      </c>
      <c r="W38" s="23">
        <f t="shared" si="10"/>
        <v>-2.3179959837994146E-2</v>
      </c>
      <c r="X38" s="7">
        <v>2449.5500000000002</v>
      </c>
      <c r="Y38" s="23">
        <f t="shared" si="11"/>
        <v>-9.204108254375112E-3</v>
      </c>
      <c r="Z38" s="7">
        <v>4178.2</v>
      </c>
      <c r="AA38" s="23">
        <f t="shared" si="12"/>
        <v>9.0036009326851883E-3</v>
      </c>
      <c r="AB38" s="10">
        <v>657.95</v>
      </c>
      <c r="AC38" s="23">
        <f t="shared" si="13"/>
        <v>-2.1947517558440825E-2</v>
      </c>
      <c r="AD38" s="11">
        <v>12030.3</v>
      </c>
      <c r="AE38" s="23">
        <f t="shared" si="14"/>
        <v>5.4095853089557361E-2</v>
      </c>
    </row>
    <row r="39" spans="1:31" ht="13.8">
      <c r="A39" s="13">
        <v>45498</v>
      </c>
      <c r="B39" s="7">
        <v>1824.85</v>
      </c>
      <c r="C39" s="49">
        <f t="shared" si="0"/>
        <v>-4.9743187734101928E-3</v>
      </c>
      <c r="D39" s="8">
        <v>550.9</v>
      </c>
      <c r="E39" s="49">
        <f t="shared" si="1"/>
        <v>2.3787685438752551E-2</v>
      </c>
      <c r="F39" s="7">
        <v>2144.4</v>
      </c>
      <c r="G39" s="49">
        <f t="shared" si="2"/>
        <v>1.8829402096730424E-2</v>
      </c>
      <c r="H39" s="7">
        <v>1406.85</v>
      </c>
      <c r="I39" s="23">
        <f t="shared" si="3"/>
        <v>-1.5446773485963272E-2</v>
      </c>
      <c r="J39" s="7">
        <v>1530</v>
      </c>
      <c r="K39" s="23">
        <f t="shared" si="4"/>
        <v>-2.154540055862375E-3</v>
      </c>
      <c r="L39" s="7">
        <v>9409.85</v>
      </c>
      <c r="M39" s="9">
        <f t="shared" si="5"/>
        <v>-9.6926678978795471E-3</v>
      </c>
      <c r="N39" s="7">
        <v>10910.15</v>
      </c>
      <c r="O39" s="23">
        <f t="shared" si="6"/>
        <v>-7.0783661905154888E-3</v>
      </c>
      <c r="P39" s="7">
        <v>4547</v>
      </c>
      <c r="Q39" s="23">
        <f t="shared" si="7"/>
        <v>-1.011144657843067E-3</v>
      </c>
      <c r="R39" s="7">
        <v>1587.6</v>
      </c>
      <c r="S39" s="23">
        <f t="shared" si="8"/>
        <v>2.4595604112300886E-3</v>
      </c>
      <c r="T39" s="7">
        <v>6321.7</v>
      </c>
      <c r="U39" s="23">
        <f t="shared" si="9"/>
        <v>-1.9595764737018501E-3</v>
      </c>
      <c r="V39" s="7">
        <v>2844.6</v>
      </c>
      <c r="W39" s="23">
        <f t="shared" si="10"/>
        <v>-8.8373034433240367E-3</v>
      </c>
      <c r="X39" s="7">
        <v>2449.3000000000002</v>
      </c>
      <c r="Y39" s="23">
        <f t="shared" si="11"/>
        <v>-1.0206477039188728E-4</v>
      </c>
      <c r="Z39" s="7">
        <v>4294.45</v>
      </c>
      <c r="AA39" s="23">
        <f t="shared" si="12"/>
        <v>2.7442959574623817E-2</v>
      </c>
      <c r="AB39" s="10">
        <v>675</v>
      </c>
      <c r="AC39" s="23">
        <f t="shared" si="13"/>
        <v>2.5583750276380136E-2</v>
      </c>
      <c r="AD39" s="11">
        <v>11750.3</v>
      </c>
      <c r="AE39" s="23">
        <f t="shared" si="14"/>
        <v>-2.3549695152381946E-2</v>
      </c>
    </row>
    <row r="40" spans="1:31" ht="13.8">
      <c r="A40" s="13">
        <v>45499</v>
      </c>
      <c r="B40" s="7">
        <v>1878.9</v>
      </c>
      <c r="C40" s="49">
        <f t="shared" si="0"/>
        <v>2.9188707341636467E-2</v>
      </c>
      <c r="D40" s="8">
        <v>563.1</v>
      </c>
      <c r="E40" s="49">
        <f t="shared" si="1"/>
        <v>2.1903927781902015E-2</v>
      </c>
      <c r="F40" s="7">
        <v>2055.9</v>
      </c>
      <c r="G40" s="49">
        <f t="shared" si="2"/>
        <v>-4.2146084693494963E-2</v>
      </c>
      <c r="H40" s="7">
        <v>1412.5</v>
      </c>
      <c r="I40" s="23">
        <f t="shared" si="3"/>
        <v>4.0080213975388678E-3</v>
      </c>
      <c r="J40" s="7">
        <v>1541.15</v>
      </c>
      <c r="K40" s="23">
        <f t="shared" si="4"/>
        <v>7.2611555864701824E-3</v>
      </c>
      <c r="L40" s="7">
        <v>9480.65</v>
      </c>
      <c r="M40" s="9">
        <f t="shared" si="5"/>
        <v>7.4958663358788728E-3</v>
      </c>
      <c r="N40" s="7">
        <v>11272.6</v>
      </c>
      <c r="O40" s="23">
        <f t="shared" si="6"/>
        <v>3.2681453815622707E-2</v>
      </c>
      <c r="P40" s="7">
        <v>4790.6000000000004</v>
      </c>
      <c r="Q40" s="23">
        <f t="shared" si="7"/>
        <v>5.2187989695785517E-2</v>
      </c>
      <c r="R40" s="7">
        <v>1635.35</v>
      </c>
      <c r="S40" s="23">
        <f t="shared" si="8"/>
        <v>2.9633406791600436E-2</v>
      </c>
      <c r="T40" s="7">
        <v>6343.7</v>
      </c>
      <c r="U40" s="23">
        <f t="shared" si="9"/>
        <v>3.4740351076709931E-3</v>
      </c>
      <c r="V40" s="7">
        <v>3029.8</v>
      </c>
      <c r="W40" s="23">
        <f t="shared" si="10"/>
        <v>6.3074150588095595E-2</v>
      </c>
      <c r="X40" s="7">
        <v>2508</v>
      </c>
      <c r="Y40" s="23">
        <f t="shared" si="11"/>
        <v>2.3683353323855558E-2</v>
      </c>
      <c r="Z40" s="7">
        <v>4302.55</v>
      </c>
      <c r="AA40" s="23">
        <f t="shared" si="12"/>
        <v>1.8843788290906745E-3</v>
      </c>
      <c r="AB40" s="10">
        <v>679.75</v>
      </c>
      <c r="AC40" s="23">
        <f t="shared" si="13"/>
        <v>7.0123926400501874E-3</v>
      </c>
      <c r="AD40" s="11">
        <v>11547.6</v>
      </c>
      <c r="AE40" s="23">
        <f t="shared" si="14"/>
        <v>-1.7401149010909302E-2</v>
      </c>
    </row>
    <row r="41" spans="1:31" ht="13.8">
      <c r="A41" s="13">
        <v>45502</v>
      </c>
      <c r="B41" s="7">
        <v>1871.1</v>
      </c>
      <c r="C41" s="49">
        <f t="shared" si="0"/>
        <v>-4.160005999290335E-3</v>
      </c>
      <c r="D41" s="8">
        <v>564.85</v>
      </c>
      <c r="E41" s="49">
        <f t="shared" si="1"/>
        <v>3.1029769123649144E-3</v>
      </c>
      <c r="F41" s="7">
        <v>2063</v>
      </c>
      <c r="G41" s="49">
        <f t="shared" si="2"/>
        <v>3.4475258113641598E-3</v>
      </c>
      <c r="H41" s="7">
        <v>1469.35</v>
      </c>
      <c r="I41" s="23">
        <f t="shared" si="3"/>
        <v>3.9458942092417258E-2</v>
      </c>
      <c r="J41" s="7">
        <v>1525.35</v>
      </c>
      <c r="K41" s="23">
        <f t="shared" si="4"/>
        <v>-1.0304999067695161E-2</v>
      </c>
      <c r="L41" s="7">
        <v>9642.5</v>
      </c>
      <c r="M41" s="9">
        <f t="shared" si="5"/>
        <v>1.6927531782971093E-2</v>
      </c>
      <c r="N41" s="7">
        <v>11627.65</v>
      </c>
      <c r="O41" s="23">
        <f t="shared" si="6"/>
        <v>3.1010880064071163E-2</v>
      </c>
      <c r="P41" s="7">
        <v>4923.8500000000004</v>
      </c>
      <c r="Q41" s="23">
        <f t="shared" si="7"/>
        <v>2.7435080281360085E-2</v>
      </c>
      <c r="R41" s="7">
        <v>1632.35</v>
      </c>
      <c r="S41" s="23">
        <f t="shared" si="8"/>
        <v>-1.8361543855713344E-3</v>
      </c>
      <c r="T41" s="7">
        <v>6313.45</v>
      </c>
      <c r="U41" s="23">
        <f t="shared" si="9"/>
        <v>-4.7799161098612359E-3</v>
      </c>
      <c r="V41" s="7">
        <v>2931.6</v>
      </c>
      <c r="W41" s="23">
        <f t="shared" si="10"/>
        <v>-3.2948261672528185E-2</v>
      </c>
      <c r="X41" s="7">
        <v>2484.6</v>
      </c>
      <c r="Y41" s="23">
        <f t="shared" si="11"/>
        <v>-9.3739419732347413E-3</v>
      </c>
      <c r="Z41" s="7">
        <v>4265.3</v>
      </c>
      <c r="AA41" s="23">
        <f t="shared" si="12"/>
        <v>-8.6953517400706129E-3</v>
      </c>
      <c r="AB41" s="10">
        <v>683.05</v>
      </c>
      <c r="AC41" s="23">
        <f t="shared" si="13"/>
        <v>4.842979820916078E-3</v>
      </c>
      <c r="AD41" s="11">
        <v>11898.05</v>
      </c>
      <c r="AE41" s="23">
        <f t="shared" si="14"/>
        <v>2.9896897975621242E-2</v>
      </c>
    </row>
    <row r="42" spans="1:31" ht="13.8">
      <c r="A42" s="13">
        <v>45503</v>
      </c>
      <c r="B42" s="7">
        <v>1877.15</v>
      </c>
      <c r="C42" s="49">
        <f t="shared" si="0"/>
        <v>3.2281759509000894E-3</v>
      </c>
      <c r="D42" s="8">
        <v>588.95000000000005</v>
      </c>
      <c r="E42" s="49">
        <f t="shared" si="1"/>
        <v>4.1781081231855685E-2</v>
      </c>
      <c r="F42" s="7">
        <v>2055.65</v>
      </c>
      <c r="G42" s="49">
        <f t="shared" si="2"/>
        <v>-3.5691344505916654E-3</v>
      </c>
      <c r="H42" s="7">
        <v>1478.3</v>
      </c>
      <c r="I42" s="23">
        <f t="shared" si="3"/>
        <v>6.0726527940308831E-3</v>
      </c>
      <c r="J42" s="7">
        <v>1538.05</v>
      </c>
      <c r="K42" s="23">
        <f t="shared" si="4"/>
        <v>8.2914883848284431E-3</v>
      </c>
      <c r="L42" s="7">
        <v>9675.15</v>
      </c>
      <c r="M42" s="9">
        <f t="shared" si="5"/>
        <v>3.3803315713848282E-3</v>
      </c>
      <c r="N42" s="7">
        <v>11977.35</v>
      </c>
      <c r="O42" s="23">
        <f t="shared" si="6"/>
        <v>2.9631483730772269E-2</v>
      </c>
      <c r="P42" s="7">
        <v>4912.3500000000004</v>
      </c>
      <c r="Q42" s="23">
        <f t="shared" si="7"/>
        <v>-2.3383024419671803E-3</v>
      </c>
      <c r="R42" s="7">
        <v>1630.25</v>
      </c>
      <c r="S42" s="23">
        <f t="shared" si="8"/>
        <v>-1.2873170416276781E-3</v>
      </c>
      <c r="T42" s="7">
        <v>6313</v>
      </c>
      <c r="U42" s="23">
        <f t="shared" si="9"/>
        <v>-7.1278942250693869E-5</v>
      </c>
      <c r="V42" s="7">
        <v>2915.05</v>
      </c>
      <c r="W42" s="23">
        <f t="shared" si="10"/>
        <v>-5.6613767555453399E-3</v>
      </c>
      <c r="X42" s="7">
        <v>2496.6999999999998</v>
      </c>
      <c r="Y42" s="23">
        <f t="shared" si="11"/>
        <v>4.8581791092996846E-3</v>
      </c>
      <c r="Z42" s="7">
        <v>4240.3999999999996</v>
      </c>
      <c r="AA42" s="23">
        <f t="shared" si="12"/>
        <v>-5.8549140296502399E-3</v>
      </c>
      <c r="AB42" s="10">
        <v>681</v>
      </c>
      <c r="AC42" s="23">
        <f t="shared" si="13"/>
        <v>-3.0057571839837106E-3</v>
      </c>
      <c r="AD42" s="11">
        <v>11872.3</v>
      </c>
      <c r="AE42" s="23">
        <f t="shared" si="14"/>
        <v>-2.1665654963056095E-3</v>
      </c>
    </row>
    <row r="43" spans="1:31" ht="13.8">
      <c r="A43" s="13">
        <v>45504</v>
      </c>
      <c r="B43" s="7">
        <v>1868.25</v>
      </c>
      <c r="C43" s="49">
        <f t="shared" si="0"/>
        <v>-4.7525053406871831E-3</v>
      </c>
      <c r="D43" s="8">
        <v>630.1</v>
      </c>
      <c r="E43" s="49">
        <f t="shared" si="1"/>
        <v>6.7537246543216231E-2</v>
      </c>
      <c r="F43" s="7">
        <v>2028.1</v>
      </c>
      <c r="G43" s="49">
        <f t="shared" si="2"/>
        <v>-1.3492705460573684E-2</v>
      </c>
      <c r="H43" s="7">
        <v>1460.1</v>
      </c>
      <c r="I43" s="23">
        <f t="shared" si="3"/>
        <v>-1.2387852399525966E-2</v>
      </c>
      <c r="J43" s="7">
        <v>1554.4</v>
      </c>
      <c r="K43" s="23">
        <f t="shared" si="4"/>
        <v>1.0574238773145712E-2</v>
      </c>
      <c r="L43" s="7">
        <v>9619.5</v>
      </c>
      <c r="M43" s="9">
        <f t="shared" si="5"/>
        <v>-5.7684543967403083E-3</v>
      </c>
      <c r="N43" s="7">
        <v>12106.45</v>
      </c>
      <c r="O43" s="23">
        <f t="shared" si="6"/>
        <v>1.072100221387527E-2</v>
      </c>
      <c r="P43" s="7">
        <v>4923.2</v>
      </c>
      <c r="Q43" s="23">
        <f t="shared" si="7"/>
        <v>2.2062832075883526E-3</v>
      </c>
      <c r="R43" s="7">
        <v>1642.6</v>
      </c>
      <c r="S43" s="23">
        <f t="shared" si="8"/>
        <v>7.5469750327801632E-3</v>
      </c>
      <c r="T43" s="7">
        <v>6305.5</v>
      </c>
      <c r="U43" s="23">
        <f t="shared" si="9"/>
        <v>-1.1887309716964083E-3</v>
      </c>
      <c r="V43" s="7">
        <v>2892.5</v>
      </c>
      <c r="W43" s="23">
        <f t="shared" si="10"/>
        <v>-7.7657922283180959E-3</v>
      </c>
      <c r="X43" s="7">
        <v>2531</v>
      </c>
      <c r="Y43" s="23">
        <f t="shared" si="11"/>
        <v>1.364462165624775E-2</v>
      </c>
      <c r="Z43" s="7">
        <v>4228.45</v>
      </c>
      <c r="AA43" s="23">
        <f t="shared" si="12"/>
        <v>-2.8221087706387653E-3</v>
      </c>
      <c r="AB43" s="10">
        <v>674.1</v>
      </c>
      <c r="AC43" s="23">
        <f t="shared" si="13"/>
        <v>-1.0183838290119179E-2</v>
      </c>
      <c r="AD43" s="11">
        <v>11607.1</v>
      </c>
      <c r="AE43" s="23">
        <f t="shared" si="14"/>
        <v>-2.2590975807509368E-2</v>
      </c>
    </row>
    <row r="44" spans="1:31" ht="13.8">
      <c r="A44" s="12">
        <v>45505</v>
      </c>
      <c r="B44" s="7">
        <v>1852.6</v>
      </c>
      <c r="C44" s="49">
        <f t="shared" si="0"/>
        <v>-8.4121059904723895E-3</v>
      </c>
      <c r="D44" s="8">
        <v>631.5</v>
      </c>
      <c r="E44" s="49">
        <f t="shared" si="1"/>
        <v>2.2194048425358886E-3</v>
      </c>
      <c r="F44" s="7">
        <v>2004.75</v>
      </c>
      <c r="G44" s="49">
        <f t="shared" si="2"/>
        <v>-1.1580029472948342E-2</v>
      </c>
      <c r="H44" s="7">
        <v>1450.25</v>
      </c>
      <c r="I44" s="23">
        <f t="shared" si="3"/>
        <v>-6.7689711613445258E-3</v>
      </c>
      <c r="J44" s="7">
        <v>1544.45</v>
      </c>
      <c r="K44" s="23">
        <f t="shared" si="4"/>
        <v>-6.4217591648341081E-3</v>
      </c>
      <c r="L44" s="7">
        <v>9412.4500000000007</v>
      </c>
      <c r="M44" s="9">
        <f t="shared" si="5"/>
        <v>-2.1759007247980688E-2</v>
      </c>
      <c r="N44" s="7">
        <v>11670.55</v>
      </c>
      <c r="O44" s="23">
        <f t="shared" si="6"/>
        <v>-3.6669793849556029E-2</v>
      </c>
      <c r="P44" s="7">
        <v>4917.8999999999996</v>
      </c>
      <c r="Q44" s="23">
        <f t="shared" si="7"/>
        <v>-1.0771154672571054E-3</v>
      </c>
      <c r="R44" s="7">
        <v>1640.55</v>
      </c>
      <c r="S44" s="23">
        <f t="shared" si="8"/>
        <v>-1.2488008567474529E-3</v>
      </c>
      <c r="T44" s="7">
        <v>6286.15</v>
      </c>
      <c r="U44" s="23">
        <f t="shared" si="9"/>
        <v>-3.0734677714202591E-3</v>
      </c>
      <c r="V44" s="7">
        <v>2855</v>
      </c>
      <c r="W44" s="23">
        <f t="shared" si="10"/>
        <v>-1.3049336977721098E-2</v>
      </c>
      <c r="X44" s="7">
        <v>2584.1999999999998</v>
      </c>
      <c r="Y44" s="23">
        <f t="shared" si="11"/>
        <v>2.0801500742995797E-2</v>
      </c>
      <c r="Z44" s="7">
        <v>4245.3</v>
      </c>
      <c r="AA44" s="23">
        <f t="shared" si="12"/>
        <v>3.9769929981316307E-3</v>
      </c>
      <c r="AB44" s="10">
        <v>674.9</v>
      </c>
      <c r="AC44" s="23">
        <f t="shared" si="13"/>
        <v>1.1860638899676217E-3</v>
      </c>
      <c r="AD44" s="11">
        <v>12392.15</v>
      </c>
      <c r="AE44" s="23">
        <f t="shared" si="14"/>
        <v>6.544622778488518E-2</v>
      </c>
    </row>
    <row r="45" spans="1:31" ht="13.8">
      <c r="A45" s="12">
        <v>45506</v>
      </c>
      <c r="B45" s="7">
        <v>1821.2</v>
      </c>
      <c r="C45" s="49">
        <f t="shared" si="0"/>
        <v>-1.7094433359300068E-2</v>
      </c>
      <c r="D45" s="8">
        <v>646.1</v>
      </c>
      <c r="E45" s="49">
        <f t="shared" si="1"/>
        <v>2.2856348773574113E-2</v>
      </c>
      <c r="F45" s="7">
        <v>2000.05</v>
      </c>
      <c r="G45" s="49">
        <f t="shared" si="2"/>
        <v>-2.3471844575505452E-3</v>
      </c>
      <c r="H45" s="7">
        <v>1419.2</v>
      </c>
      <c r="I45" s="23">
        <f t="shared" si="3"/>
        <v>-2.1642622790858646E-2</v>
      </c>
      <c r="J45" s="7">
        <v>1507.7</v>
      </c>
      <c r="K45" s="23">
        <f t="shared" si="4"/>
        <v>-2.4082549113523428E-2</v>
      </c>
      <c r="L45" s="7">
        <v>9434.6</v>
      </c>
      <c r="M45" s="9">
        <f t="shared" si="5"/>
        <v>2.350501558383481E-3</v>
      </c>
      <c r="N45" s="7">
        <v>11654.55</v>
      </c>
      <c r="O45" s="23">
        <f t="shared" si="6"/>
        <v>-1.3719128757884607E-3</v>
      </c>
      <c r="P45" s="7">
        <v>4991.25</v>
      </c>
      <c r="Q45" s="23">
        <f t="shared" si="7"/>
        <v>1.4804769276910759E-2</v>
      </c>
      <c r="R45" s="7">
        <v>1609.3</v>
      </c>
      <c r="S45" s="23">
        <f t="shared" si="8"/>
        <v>-1.9232249624895306E-2</v>
      </c>
      <c r="T45" s="7">
        <v>6080</v>
      </c>
      <c r="U45" s="23">
        <f t="shared" si="9"/>
        <v>-3.3344104664296187E-2</v>
      </c>
      <c r="V45" s="7">
        <v>2775.3</v>
      </c>
      <c r="W45" s="23">
        <f t="shared" si="10"/>
        <v>-2.8312993644727884E-2</v>
      </c>
      <c r="X45" s="7">
        <v>2569.4</v>
      </c>
      <c r="Y45" s="23">
        <f t="shared" si="11"/>
        <v>-5.7435736906105298E-3</v>
      </c>
      <c r="Z45" s="7">
        <v>4183.1499999999996</v>
      </c>
      <c r="AA45" s="23">
        <f t="shared" si="12"/>
        <v>-1.4747937396140772E-2</v>
      </c>
      <c r="AB45" s="10">
        <v>662.4</v>
      </c>
      <c r="AC45" s="23">
        <f t="shared" si="13"/>
        <v>-1.8694928678310845E-2</v>
      </c>
      <c r="AD45" s="11">
        <v>12039.55</v>
      </c>
      <c r="AE45" s="23">
        <f t="shared" si="14"/>
        <v>-2.8866143857995654E-2</v>
      </c>
    </row>
    <row r="46" spans="1:31" ht="13.8">
      <c r="A46" s="12">
        <v>45509</v>
      </c>
      <c r="B46" s="7">
        <v>1751.9</v>
      </c>
      <c r="C46" s="49">
        <f t="shared" si="0"/>
        <v>-3.8794711218850662E-2</v>
      </c>
      <c r="D46" s="8">
        <v>641.70000000000005</v>
      </c>
      <c r="E46" s="49">
        <f t="shared" si="1"/>
        <v>-6.8333858076500761E-3</v>
      </c>
      <c r="F46" s="7">
        <v>1990.4</v>
      </c>
      <c r="G46" s="49">
        <f t="shared" si="2"/>
        <v>-4.8365566847271696E-3</v>
      </c>
      <c r="H46" s="7">
        <v>1341.15</v>
      </c>
      <c r="I46" s="23">
        <f t="shared" si="3"/>
        <v>-5.6565877705878224E-2</v>
      </c>
      <c r="J46" s="7">
        <v>1456.35</v>
      </c>
      <c r="K46" s="23">
        <f t="shared" si="4"/>
        <v>-3.465200530060928E-2</v>
      </c>
      <c r="L46" s="7">
        <v>9121.4</v>
      </c>
      <c r="M46" s="9">
        <f t="shared" si="5"/>
        <v>-3.3760481508388972E-2</v>
      </c>
      <c r="N46" s="7">
        <v>11141.6</v>
      </c>
      <c r="O46" s="23">
        <f t="shared" si="6"/>
        <v>-4.5010810946978466E-2</v>
      </c>
      <c r="P46" s="7">
        <v>4826.95</v>
      </c>
      <c r="Q46" s="23">
        <f t="shared" si="7"/>
        <v>-3.3471581171249709E-2</v>
      </c>
      <c r="R46" s="7">
        <v>1562.4</v>
      </c>
      <c r="S46" s="23">
        <f t="shared" si="8"/>
        <v>-2.9576201261979868E-2</v>
      </c>
      <c r="T46" s="7">
        <v>5897.05</v>
      </c>
      <c r="U46" s="23">
        <f t="shared" si="9"/>
        <v>-3.0552470108084193E-2</v>
      </c>
      <c r="V46" s="7">
        <v>2652.25</v>
      </c>
      <c r="W46" s="23">
        <f t="shared" si="10"/>
        <v>-4.5350513106001751E-2</v>
      </c>
      <c r="X46" s="7">
        <v>2493.35</v>
      </c>
      <c r="Y46" s="23">
        <f t="shared" si="11"/>
        <v>-3.0045220827458665E-2</v>
      </c>
      <c r="Z46" s="7">
        <v>3989.5</v>
      </c>
      <c r="AA46" s="23">
        <f t="shared" si="12"/>
        <v>-4.739864148195902E-2</v>
      </c>
      <c r="AB46" s="10">
        <v>672.15</v>
      </c>
      <c r="AC46" s="23">
        <f t="shared" si="13"/>
        <v>1.4611926829211839E-2</v>
      </c>
      <c r="AD46" s="11">
        <v>11589.25</v>
      </c>
      <c r="AE46" s="23">
        <f t="shared" si="14"/>
        <v>-3.8119119466820464E-2</v>
      </c>
    </row>
    <row r="47" spans="1:31" ht="13.8">
      <c r="A47" s="12">
        <v>45510</v>
      </c>
      <c r="B47" s="7">
        <v>1751.1</v>
      </c>
      <c r="C47" s="49">
        <f t="shared" si="0"/>
        <v>-4.5675136392135109E-4</v>
      </c>
      <c r="D47" s="8">
        <v>649</v>
      </c>
      <c r="E47" s="49">
        <f t="shared" si="1"/>
        <v>1.1311811947620289E-2</v>
      </c>
      <c r="F47" s="7">
        <v>2031.2</v>
      </c>
      <c r="G47" s="49">
        <f t="shared" si="2"/>
        <v>2.0291127845608416E-2</v>
      </c>
      <c r="H47" s="7">
        <v>1342.55</v>
      </c>
      <c r="I47" s="23">
        <f t="shared" si="3"/>
        <v>1.0433357879028489E-3</v>
      </c>
      <c r="J47" s="7">
        <v>1483.4</v>
      </c>
      <c r="K47" s="23">
        <f t="shared" si="4"/>
        <v>1.8403444818194267E-2</v>
      </c>
      <c r="L47" s="7">
        <v>9189.9500000000007</v>
      </c>
      <c r="M47" s="9">
        <f t="shared" si="5"/>
        <v>7.487194579482076E-3</v>
      </c>
      <c r="N47" s="7">
        <v>11110.85</v>
      </c>
      <c r="O47" s="23">
        <f t="shared" si="6"/>
        <v>-2.7637423810025047E-3</v>
      </c>
      <c r="P47" s="7">
        <v>4827.55</v>
      </c>
      <c r="Q47" s="23">
        <f t="shared" si="7"/>
        <v>1.2429437066082503E-4</v>
      </c>
      <c r="R47" s="7">
        <v>1582.75</v>
      </c>
      <c r="S47" s="23">
        <f t="shared" si="8"/>
        <v>1.2940739861766705E-2</v>
      </c>
      <c r="T47" s="7">
        <v>5896</v>
      </c>
      <c r="U47" s="23">
        <f t="shared" si="9"/>
        <v>-1.7807098295605705E-4</v>
      </c>
      <c r="V47" s="7">
        <v>2639.05</v>
      </c>
      <c r="W47" s="23">
        <f t="shared" si="10"/>
        <v>-4.9893324448701147E-3</v>
      </c>
      <c r="X47" s="7">
        <v>2478.8000000000002</v>
      </c>
      <c r="Y47" s="23">
        <f t="shared" si="11"/>
        <v>-5.8526156820981551E-3</v>
      </c>
      <c r="Z47" s="7">
        <v>4071.2</v>
      </c>
      <c r="AA47" s="23">
        <f t="shared" si="12"/>
        <v>2.0271886526287211E-2</v>
      </c>
      <c r="AB47" s="10">
        <v>628.5</v>
      </c>
      <c r="AC47" s="23">
        <f t="shared" si="13"/>
        <v>-6.7145501869959628E-2</v>
      </c>
      <c r="AD47" s="11">
        <v>10910.95</v>
      </c>
      <c r="AE47" s="23">
        <f t="shared" si="14"/>
        <v>-6.0311072169022269E-2</v>
      </c>
    </row>
    <row r="48" spans="1:31" ht="13.8">
      <c r="A48" s="12">
        <v>45511</v>
      </c>
      <c r="B48" s="7">
        <v>1791.65</v>
      </c>
      <c r="C48" s="49">
        <f t="shared" si="0"/>
        <v>2.2892821081050528E-2</v>
      </c>
      <c r="D48" s="8">
        <v>656.8</v>
      </c>
      <c r="E48" s="49">
        <f t="shared" si="1"/>
        <v>1.1946841434128443E-2</v>
      </c>
      <c r="F48" s="7">
        <v>2058.1</v>
      </c>
      <c r="G48" s="49">
        <f t="shared" si="2"/>
        <v>1.3156475687945703E-2</v>
      </c>
      <c r="H48" s="7">
        <v>1402.65</v>
      </c>
      <c r="I48" s="23">
        <f t="shared" si="3"/>
        <v>4.3792513912225953E-2</v>
      </c>
      <c r="J48" s="7">
        <v>1473.65</v>
      </c>
      <c r="K48" s="23">
        <f t="shared" si="4"/>
        <v>-6.5944338667271998E-3</v>
      </c>
      <c r="L48" s="7">
        <v>9347.7999999999993</v>
      </c>
      <c r="M48" s="9">
        <f t="shared" si="5"/>
        <v>1.7030525840558582E-2</v>
      </c>
      <c r="N48" s="7">
        <v>11606.9</v>
      </c>
      <c r="O48" s="23">
        <f t="shared" si="6"/>
        <v>4.3677640482977113E-2</v>
      </c>
      <c r="P48" s="7">
        <v>4946.5</v>
      </c>
      <c r="Q48" s="23">
        <f t="shared" si="7"/>
        <v>2.4341163186434964E-2</v>
      </c>
      <c r="R48" s="7">
        <v>1594.6</v>
      </c>
      <c r="S48" s="23">
        <f t="shared" si="8"/>
        <v>7.4590806441592042E-3</v>
      </c>
      <c r="T48" s="7">
        <v>6016.7</v>
      </c>
      <c r="U48" s="23">
        <f t="shared" si="9"/>
        <v>2.0264781374603094E-2</v>
      </c>
      <c r="V48" s="7">
        <v>2726</v>
      </c>
      <c r="W48" s="23">
        <f t="shared" si="10"/>
        <v>3.2416329361967179E-2</v>
      </c>
      <c r="X48" s="7">
        <v>2574.5500000000002</v>
      </c>
      <c r="Y48" s="23">
        <f t="shared" si="11"/>
        <v>3.7900189456497785E-2</v>
      </c>
      <c r="Z48" s="7">
        <v>4190.95</v>
      </c>
      <c r="AA48" s="23">
        <f t="shared" si="12"/>
        <v>2.8989642252390629E-2</v>
      </c>
      <c r="AB48" s="10">
        <v>649.04999999999995</v>
      </c>
      <c r="AC48" s="23">
        <f t="shared" si="13"/>
        <v>3.2173727308701203E-2</v>
      </c>
      <c r="AD48" s="11">
        <v>10940.3</v>
      </c>
      <c r="AE48" s="23">
        <f t="shared" si="14"/>
        <v>2.6863467902525167E-3</v>
      </c>
    </row>
    <row r="49" spans="1:31" ht="13.8">
      <c r="A49" s="12">
        <v>45512</v>
      </c>
      <c r="B49" s="7">
        <v>1743.15</v>
      </c>
      <c r="C49" s="49">
        <f t="shared" si="0"/>
        <v>-2.744316162191314E-2</v>
      </c>
      <c r="D49" s="8">
        <v>652.85</v>
      </c>
      <c r="E49" s="49">
        <f t="shared" si="1"/>
        <v>-6.0321642841708054E-3</v>
      </c>
      <c r="F49" s="7">
        <v>2072.35</v>
      </c>
      <c r="G49" s="49">
        <f t="shared" si="2"/>
        <v>6.9000019546840456E-3</v>
      </c>
      <c r="H49" s="7">
        <v>1414.25</v>
      </c>
      <c r="I49" s="23">
        <f t="shared" si="3"/>
        <v>8.2360506736995198E-3</v>
      </c>
      <c r="J49" s="7">
        <v>1466.45</v>
      </c>
      <c r="K49" s="23">
        <f t="shared" si="4"/>
        <v>-4.8978023829632901E-3</v>
      </c>
      <c r="L49" s="7">
        <v>9401.35</v>
      </c>
      <c r="M49" s="9">
        <f t="shared" si="5"/>
        <v>5.7122744883531026E-3</v>
      </c>
      <c r="N49" s="7">
        <v>11453.75</v>
      </c>
      <c r="O49" s="23">
        <f t="shared" si="6"/>
        <v>-1.3282561561433842E-2</v>
      </c>
      <c r="P49" s="7">
        <v>4834.5</v>
      </c>
      <c r="Q49" s="23">
        <f t="shared" si="7"/>
        <v>-2.2902544839674979E-2</v>
      </c>
      <c r="R49" s="7">
        <v>1557.85</v>
      </c>
      <c r="S49" s="23">
        <f t="shared" si="8"/>
        <v>-2.3316255551218454E-2</v>
      </c>
      <c r="T49" s="7">
        <v>5845.1</v>
      </c>
      <c r="U49" s="23">
        <f t="shared" si="9"/>
        <v>-2.8935232844094751E-2</v>
      </c>
      <c r="V49" s="7">
        <v>2645.5</v>
      </c>
      <c r="W49" s="23">
        <f t="shared" si="10"/>
        <v>-2.9975249912291523E-2</v>
      </c>
      <c r="X49" s="7">
        <v>2529.0500000000002</v>
      </c>
      <c r="Y49" s="23">
        <f t="shared" si="11"/>
        <v>-1.7831023409581873E-2</v>
      </c>
      <c r="Z49" s="7">
        <v>4127.7</v>
      </c>
      <c r="AA49" s="23">
        <f t="shared" si="12"/>
        <v>-1.5207087425133181E-2</v>
      </c>
      <c r="AB49" s="10">
        <v>652.25</v>
      </c>
      <c r="AC49" s="23">
        <f t="shared" si="13"/>
        <v>4.9181686778344532E-3</v>
      </c>
      <c r="AD49" s="11">
        <v>11000.2</v>
      </c>
      <c r="AE49" s="23">
        <f t="shared" si="14"/>
        <v>5.4602355299410562E-3</v>
      </c>
    </row>
    <row r="50" spans="1:31" ht="13.8">
      <c r="A50" s="12">
        <v>45513</v>
      </c>
      <c r="B50" s="7">
        <v>1770.75</v>
      </c>
      <c r="C50" s="49">
        <f t="shared" si="0"/>
        <v>1.5709364296739515E-2</v>
      </c>
      <c r="D50" s="8">
        <v>658.75</v>
      </c>
      <c r="E50" s="49">
        <f t="shared" si="1"/>
        <v>8.9967060015244977E-3</v>
      </c>
      <c r="F50" s="7">
        <v>2136.15</v>
      </c>
      <c r="G50" s="49">
        <f t="shared" si="2"/>
        <v>3.0321914300448057E-2</v>
      </c>
      <c r="H50" s="7">
        <v>1434.05</v>
      </c>
      <c r="I50" s="23">
        <f t="shared" si="3"/>
        <v>1.3903253831930064E-2</v>
      </c>
      <c r="J50" s="7">
        <v>1506.7</v>
      </c>
      <c r="K50" s="23">
        <f t="shared" si="4"/>
        <v>2.7077314754475543E-2</v>
      </c>
      <c r="L50" s="7">
        <v>9454.1</v>
      </c>
      <c r="M50" s="9">
        <f t="shared" si="5"/>
        <v>5.5952138631244885E-3</v>
      </c>
      <c r="N50" s="7">
        <v>11740.45</v>
      </c>
      <c r="O50" s="23">
        <f t="shared" si="6"/>
        <v>2.4722956862107359E-2</v>
      </c>
      <c r="P50" s="7">
        <v>4829.95</v>
      </c>
      <c r="Q50" s="23">
        <f t="shared" si="7"/>
        <v>-9.4159529743961952E-4</v>
      </c>
      <c r="R50" s="7">
        <v>1589.95</v>
      </c>
      <c r="S50" s="23">
        <f t="shared" si="8"/>
        <v>2.0395903661767256E-2</v>
      </c>
      <c r="T50" s="7">
        <v>5878.4</v>
      </c>
      <c r="U50" s="23">
        <f t="shared" si="9"/>
        <v>5.68091262112557E-3</v>
      </c>
      <c r="V50" s="7">
        <v>2720.5</v>
      </c>
      <c r="W50" s="23">
        <f t="shared" si="10"/>
        <v>2.7955603581793685E-2</v>
      </c>
      <c r="X50" s="7">
        <v>2581.4499999999998</v>
      </c>
      <c r="Y50" s="23">
        <f t="shared" si="11"/>
        <v>2.0507518413105455E-2</v>
      </c>
      <c r="Z50" s="7">
        <v>4430.05</v>
      </c>
      <c r="AA50" s="23">
        <f t="shared" si="12"/>
        <v>7.069051955532242E-2</v>
      </c>
      <c r="AB50" s="10">
        <v>653</v>
      </c>
      <c r="AC50" s="23">
        <f t="shared" si="13"/>
        <v>1.1492052595933181E-3</v>
      </c>
      <c r="AD50" s="11">
        <v>11010.8</v>
      </c>
      <c r="AE50" s="23">
        <f t="shared" si="14"/>
        <v>9.6315486070029383E-4</v>
      </c>
    </row>
    <row r="51" spans="1:31" ht="13.8">
      <c r="A51" s="13">
        <v>45516</v>
      </c>
      <c r="B51" s="7">
        <v>1797.4</v>
      </c>
      <c r="C51" s="49">
        <f t="shared" si="0"/>
        <v>1.4937990590541163E-2</v>
      </c>
      <c r="D51" s="8">
        <v>689.1</v>
      </c>
      <c r="E51" s="49">
        <f t="shared" si="1"/>
        <v>4.5042298507590235E-2</v>
      </c>
      <c r="F51" s="7">
        <v>2152.0500000000002</v>
      </c>
      <c r="G51" s="49">
        <f t="shared" si="2"/>
        <v>7.4157328789622645E-3</v>
      </c>
      <c r="H51" s="7">
        <v>1343.95</v>
      </c>
      <c r="I51" s="23">
        <f t="shared" si="3"/>
        <v>-6.4889570045078365E-2</v>
      </c>
      <c r="J51" s="7">
        <v>1512.5</v>
      </c>
      <c r="K51" s="23">
        <f t="shared" si="4"/>
        <v>3.8420820977538286E-3</v>
      </c>
      <c r="L51" s="7">
        <v>9374.0499999999993</v>
      </c>
      <c r="M51" s="9">
        <f t="shared" si="5"/>
        <v>-8.5032764598501984E-3</v>
      </c>
      <c r="N51" s="7">
        <v>11664.25</v>
      </c>
      <c r="O51" s="23">
        <f t="shared" si="6"/>
        <v>-6.5115356522769891E-3</v>
      </c>
      <c r="P51" s="7">
        <v>4891</v>
      </c>
      <c r="Q51" s="23">
        <f t="shared" si="7"/>
        <v>1.2560665913194579E-2</v>
      </c>
      <c r="R51" s="7">
        <v>1585.25</v>
      </c>
      <c r="S51" s="23">
        <f t="shared" si="8"/>
        <v>-2.9604455988029481E-3</v>
      </c>
      <c r="T51" s="7">
        <v>5874.55</v>
      </c>
      <c r="U51" s="23">
        <f t="shared" si="9"/>
        <v>-6.5515468673144593E-4</v>
      </c>
      <c r="V51" s="7">
        <v>2702.9</v>
      </c>
      <c r="W51" s="23">
        <f t="shared" si="10"/>
        <v>-6.4904162643463024E-3</v>
      </c>
      <c r="X51" s="7">
        <v>2578</v>
      </c>
      <c r="Y51" s="23">
        <f t="shared" si="11"/>
        <v>-1.3373520488410829E-3</v>
      </c>
      <c r="Z51" s="7">
        <v>4444.55</v>
      </c>
      <c r="AA51" s="23">
        <f t="shared" si="12"/>
        <v>3.2677558206245082E-3</v>
      </c>
      <c r="AB51" s="10">
        <v>644.65</v>
      </c>
      <c r="AC51" s="23">
        <f t="shared" si="13"/>
        <v>-1.2869595419584512E-2</v>
      </c>
      <c r="AD51" s="11">
        <v>11514.8</v>
      </c>
      <c r="AE51" s="23">
        <f t="shared" si="14"/>
        <v>4.4756555160258768E-2</v>
      </c>
    </row>
    <row r="52" spans="1:31" ht="13.8">
      <c r="A52" s="13">
        <v>45517</v>
      </c>
      <c r="B52" s="7">
        <v>1797.45</v>
      </c>
      <c r="C52" s="49">
        <f t="shared" si="0"/>
        <v>2.7817572362280521E-5</v>
      </c>
      <c r="D52" s="8">
        <v>676.45</v>
      </c>
      <c r="E52" s="49">
        <f t="shared" si="1"/>
        <v>-1.8527863313793004E-2</v>
      </c>
      <c r="F52" s="7">
        <v>2175.65</v>
      </c>
      <c r="G52" s="49">
        <f t="shared" si="2"/>
        <v>1.0906594238050335E-2</v>
      </c>
      <c r="H52" s="7">
        <v>1335.65</v>
      </c>
      <c r="I52" s="23">
        <f t="shared" si="3"/>
        <v>-6.1949742831491732E-3</v>
      </c>
      <c r="J52" s="7">
        <v>1503.4</v>
      </c>
      <c r="K52" s="23">
        <f t="shared" si="4"/>
        <v>-6.0347011616279523E-3</v>
      </c>
      <c r="L52" s="7">
        <v>9148.9</v>
      </c>
      <c r="M52" s="9">
        <f t="shared" si="5"/>
        <v>-2.431157990720963E-2</v>
      </c>
      <c r="N52" s="7">
        <v>11986.15</v>
      </c>
      <c r="O52" s="23">
        <f t="shared" si="6"/>
        <v>2.7223208050937222E-2</v>
      </c>
      <c r="P52" s="7">
        <v>4861.8</v>
      </c>
      <c r="Q52" s="23">
        <f t="shared" si="7"/>
        <v>-5.9880418446225572E-3</v>
      </c>
      <c r="R52" s="7">
        <v>1592.65</v>
      </c>
      <c r="S52" s="23">
        <f t="shared" si="8"/>
        <v>4.6571719531975269E-3</v>
      </c>
      <c r="T52" s="7">
        <v>5847.75</v>
      </c>
      <c r="U52" s="23">
        <f t="shared" si="9"/>
        <v>-4.5724894762560093E-3</v>
      </c>
      <c r="V52" s="7">
        <v>2696.55</v>
      </c>
      <c r="W52" s="23">
        <f t="shared" si="10"/>
        <v>-2.3520925010989012E-3</v>
      </c>
      <c r="X52" s="7">
        <v>2635.8</v>
      </c>
      <c r="Y52" s="23">
        <f t="shared" si="11"/>
        <v>2.2172836710656302E-2</v>
      </c>
      <c r="Z52" s="7">
        <v>4391.3500000000004</v>
      </c>
      <c r="AA52" s="23">
        <f t="shared" si="12"/>
        <v>-1.2041929598014842E-2</v>
      </c>
      <c r="AB52" s="10">
        <v>660.55</v>
      </c>
      <c r="AC52" s="23">
        <f t="shared" si="13"/>
        <v>2.4365287467516521E-2</v>
      </c>
      <c r="AD52" s="11">
        <v>11374.8</v>
      </c>
      <c r="AE52" s="23">
        <f t="shared" si="14"/>
        <v>-1.2232782207365069E-2</v>
      </c>
    </row>
    <row r="53" spans="1:31" ht="13.8">
      <c r="A53" s="13">
        <v>45518</v>
      </c>
      <c r="B53" s="7">
        <v>1823.25</v>
      </c>
      <c r="C53" s="49">
        <f t="shared" si="0"/>
        <v>1.4251629067707005E-2</v>
      </c>
      <c r="D53" s="8">
        <v>669.3</v>
      </c>
      <c r="E53" s="49">
        <f t="shared" si="1"/>
        <v>-1.0626144942772848E-2</v>
      </c>
      <c r="F53" s="7">
        <v>2216.1999999999998</v>
      </c>
      <c r="G53" s="49">
        <f t="shared" si="2"/>
        <v>1.8466547051665866E-2</v>
      </c>
      <c r="H53" s="7">
        <v>1317.8</v>
      </c>
      <c r="I53" s="23">
        <f t="shared" si="3"/>
        <v>-1.3454385247248174E-2</v>
      </c>
      <c r="J53" s="7">
        <v>1524.4</v>
      </c>
      <c r="K53" s="23">
        <f t="shared" si="4"/>
        <v>1.3871680256336656E-2</v>
      </c>
      <c r="L53" s="7">
        <v>9390.6</v>
      </c>
      <c r="M53" s="9">
        <f t="shared" si="5"/>
        <v>2.6075535461012451E-2</v>
      </c>
      <c r="N53" s="7">
        <v>11913.9</v>
      </c>
      <c r="O53" s="23">
        <f t="shared" si="6"/>
        <v>-6.0460308734377813E-3</v>
      </c>
      <c r="P53" s="7">
        <v>4662</v>
      </c>
      <c r="Q53" s="23">
        <f t="shared" si="7"/>
        <v>-4.1964199099032193E-2</v>
      </c>
      <c r="R53" s="7">
        <v>1626.15</v>
      </c>
      <c r="S53" s="23">
        <f t="shared" si="8"/>
        <v>2.081596224207196E-2</v>
      </c>
      <c r="T53" s="7">
        <v>5870.3</v>
      </c>
      <c r="U53" s="23">
        <f t="shared" si="9"/>
        <v>3.8487679837715416E-3</v>
      </c>
      <c r="V53" s="7">
        <v>2718.85</v>
      </c>
      <c r="W53" s="23">
        <f t="shared" si="10"/>
        <v>8.23581860922795E-3</v>
      </c>
      <c r="X53" s="7">
        <v>2605.5</v>
      </c>
      <c r="Y53" s="23">
        <f t="shared" si="11"/>
        <v>-1.1562145860519624E-2</v>
      </c>
      <c r="Z53" s="7">
        <v>4343.3</v>
      </c>
      <c r="AA53" s="23">
        <f t="shared" si="12"/>
        <v>-1.1002269055564791E-2</v>
      </c>
      <c r="AB53" s="10">
        <v>650.25</v>
      </c>
      <c r="AC53" s="23">
        <f t="shared" si="13"/>
        <v>-1.5715916995602049E-2</v>
      </c>
      <c r="AD53" s="11">
        <v>11120.65</v>
      </c>
      <c r="AE53" s="23">
        <f t="shared" si="14"/>
        <v>-2.2596641913336688E-2</v>
      </c>
    </row>
    <row r="54" spans="1:31" ht="13.8">
      <c r="A54" s="13">
        <v>45520</v>
      </c>
      <c r="B54" s="7">
        <v>1858.95</v>
      </c>
      <c r="C54" s="49">
        <f t="shared" si="0"/>
        <v>1.9391189314650583E-2</v>
      </c>
      <c r="D54" s="8">
        <v>662.35</v>
      </c>
      <c r="E54" s="49">
        <f t="shared" si="1"/>
        <v>-1.0438272976325848E-2</v>
      </c>
      <c r="F54" s="7">
        <v>2300.9</v>
      </c>
      <c r="G54" s="49">
        <f t="shared" si="2"/>
        <v>3.7506333223262002E-2</v>
      </c>
      <c r="H54" s="7">
        <v>1318.8</v>
      </c>
      <c r="I54" s="23">
        <f t="shared" si="3"/>
        <v>7.5855271785652792E-4</v>
      </c>
      <c r="J54" s="7">
        <v>1585.3</v>
      </c>
      <c r="K54" s="23">
        <f t="shared" si="4"/>
        <v>3.9172773849476789E-2</v>
      </c>
      <c r="L54" s="7">
        <v>9585.5</v>
      </c>
      <c r="M54" s="9">
        <f t="shared" si="5"/>
        <v>2.0542351035592321E-2</v>
      </c>
      <c r="N54" s="7">
        <v>12374.9</v>
      </c>
      <c r="O54" s="23">
        <f t="shared" si="6"/>
        <v>3.7964441929407525E-2</v>
      </c>
      <c r="P54" s="7">
        <v>4633.8999999999996</v>
      </c>
      <c r="Q54" s="23">
        <f t="shared" si="7"/>
        <v>-6.0456944650549588E-3</v>
      </c>
      <c r="R54" s="7">
        <v>1668.25</v>
      </c>
      <c r="S54" s="23">
        <f t="shared" si="8"/>
        <v>2.5559915008305484E-2</v>
      </c>
      <c r="T54" s="7">
        <v>6077</v>
      </c>
      <c r="U54" s="23">
        <f t="shared" si="9"/>
        <v>3.4605413293764514E-2</v>
      </c>
      <c r="V54" s="7">
        <v>2910.95</v>
      </c>
      <c r="W54" s="23">
        <f t="shared" si="10"/>
        <v>6.8270491600247035E-2</v>
      </c>
      <c r="X54" s="7">
        <v>2600.25</v>
      </c>
      <c r="Y54" s="23">
        <f t="shared" si="11"/>
        <v>-2.0170011160267937E-3</v>
      </c>
      <c r="Z54" s="7">
        <v>4535.5</v>
      </c>
      <c r="AA54" s="23">
        <f t="shared" si="12"/>
        <v>4.3300903230751128E-2</v>
      </c>
      <c r="AB54" s="10">
        <v>661.05</v>
      </c>
      <c r="AC54" s="23">
        <f t="shared" si="13"/>
        <v>1.6472575627344801E-2</v>
      </c>
      <c r="AD54" s="11">
        <v>11828.7</v>
      </c>
      <c r="AE54" s="23">
        <f t="shared" si="14"/>
        <v>6.1725041490522325E-2</v>
      </c>
    </row>
    <row r="55" spans="1:31" ht="13.8">
      <c r="A55" s="13">
        <v>45523</v>
      </c>
      <c r="B55" s="7">
        <v>1864.8</v>
      </c>
      <c r="C55" s="49">
        <f t="shared" si="0"/>
        <v>3.1419965425544551E-3</v>
      </c>
      <c r="D55" s="8">
        <v>663.6</v>
      </c>
      <c r="E55" s="49">
        <f t="shared" si="1"/>
        <v>1.8854411860188579E-3</v>
      </c>
      <c r="F55" s="7">
        <v>2319.5500000000002</v>
      </c>
      <c r="G55" s="49">
        <f t="shared" si="2"/>
        <v>8.072850603883585E-3</v>
      </c>
      <c r="H55" s="7">
        <v>1330.6</v>
      </c>
      <c r="I55" s="23">
        <f t="shared" si="3"/>
        <v>8.9077361102110723E-3</v>
      </c>
      <c r="J55" s="7">
        <v>1594.65</v>
      </c>
      <c r="K55" s="23">
        <f t="shared" si="4"/>
        <v>5.8806125535418871E-3</v>
      </c>
      <c r="L55" s="7">
        <v>9607.65</v>
      </c>
      <c r="M55" s="9">
        <f t="shared" si="5"/>
        <v>2.3081161595144436E-3</v>
      </c>
      <c r="N55" s="7">
        <v>12779.95</v>
      </c>
      <c r="O55" s="23">
        <f t="shared" si="6"/>
        <v>3.2207308964645041E-2</v>
      </c>
      <c r="P55" s="7">
        <v>4669.8999999999996</v>
      </c>
      <c r="Q55" s="23">
        <f t="shared" si="7"/>
        <v>7.7388120267966936E-3</v>
      </c>
      <c r="R55" s="7">
        <v>1678.5</v>
      </c>
      <c r="S55" s="23">
        <f t="shared" si="8"/>
        <v>6.1253646363736572E-3</v>
      </c>
      <c r="T55" s="7">
        <v>6059.65</v>
      </c>
      <c r="U55" s="23">
        <f t="shared" si="9"/>
        <v>-2.8591105155016845E-3</v>
      </c>
      <c r="V55" s="7">
        <v>2977.7</v>
      </c>
      <c r="W55" s="23">
        <f t="shared" si="10"/>
        <v>2.2671702048616228E-2</v>
      </c>
      <c r="X55" s="7">
        <v>2607.6</v>
      </c>
      <c r="Y55" s="23">
        <f t="shared" si="11"/>
        <v>2.822663817141764E-3</v>
      </c>
      <c r="Z55" s="7">
        <v>5238.6000000000004</v>
      </c>
      <c r="AA55" s="23">
        <f t="shared" si="12"/>
        <v>0.14411895598981814</v>
      </c>
      <c r="AB55" s="10">
        <v>669.15</v>
      </c>
      <c r="AC55" s="23">
        <f t="shared" si="13"/>
        <v>1.2178770286277889E-2</v>
      </c>
      <c r="AD55" s="11">
        <v>12346.2</v>
      </c>
      <c r="AE55" s="23">
        <f t="shared" si="14"/>
        <v>4.2819541577258466E-2</v>
      </c>
    </row>
    <row r="56" spans="1:31" ht="13.8">
      <c r="A56" s="13">
        <v>45524</v>
      </c>
      <c r="B56" s="7">
        <v>1872.2</v>
      </c>
      <c r="C56" s="49">
        <f t="shared" si="0"/>
        <v>3.9604012160969143E-3</v>
      </c>
      <c r="D56" s="8">
        <v>675.45</v>
      </c>
      <c r="E56" s="49">
        <f t="shared" si="1"/>
        <v>1.7699577099400857E-2</v>
      </c>
      <c r="F56" s="7">
        <v>2358.15</v>
      </c>
      <c r="G56" s="49">
        <f t="shared" si="2"/>
        <v>1.6504211976261979E-2</v>
      </c>
      <c r="H56" s="7">
        <v>1309.1500000000001</v>
      </c>
      <c r="I56" s="23">
        <f t="shared" si="3"/>
        <v>-1.6251896671905675E-2</v>
      </c>
      <c r="J56" s="7">
        <v>1628.6</v>
      </c>
      <c r="K56" s="23">
        <f t="shared" si="4"/>
        <v>2.1066473630306982E-2</v>
      </c>
      <c r="L56" s="7">
        <v>9776.5</v>
      </c>
      <c r="M56" s="9">
        <f t="shared" si="5"/>
        <v>1.742189064671102E-2</v>
      </c>
      <c r="N56" s="7">
        <v>12675.7</v>
      </c>
      <c r="O56" s="23">
        <f t="shared" si="6"/>
        <v>-8.1907618019086068E-3</v>
      </c>
      <c r="P56" s="7">
        <v>4723.1499999999996</v>
      </c>
      <c r="Q56" s="23">
        <f t="shared" si="7"/>
        <v>1.1338291709261324E-2</v>
      </c>
      <c r="R56" s="7">
        <v>1686.75</v>
      </c>
      <c r="S56" s="23">
        <f t="shared" si="8"/>
        <v>4.9030630874451813E-3</v>
      </c>
      <c r="T56" s="7">
        <v>6115.25</v>
      </c>
      <c r="U56" s="23">
        <f t="shared" si="9"/>
        <v>9.1336087401364223E-3</v>
      </c>
      <c r="V56" s="7">
        <v>3008.95</v>
      </c>
      <c r="W56" s="23">
        <f t="shared" si="10"/>
        <v>1.0439990257140272E-2</v>
      </c>
      <c r="X56" s="7">
        <v>2636.2</v>
      </c>
      <c r="Y56" s="23">
        <f t="shared" si="11"/>
        <v>1.0908228227981131E-2</v>
      </c>
      <c r="Z56" s="7">
        <v>5845.55</v>
      </c>
      <c r="AA56" s="23">
        <f t="shared" si="12"/>
        <v>0.10962640095370514</v>
      </c>
      <c r="AB56" s="10">
        <v>668.9</v>
      </c>
      <c r="AC56" s="23">
        <f t="shared" si="13"/>
        <v>-3.7367811802106765E-4</v>
      </c>
      <c r="AD56" s="11">
        <v>12405.9</v>
      </c>
      <c r="AE56" s="23">
        <f t="shared" si="14"/>
        <v>4.8238424833043306E-3</v>
      </c>
    </row>
    <row r="57" spans="1:31" ht="13.8">
      <c r="A57" s="13">
        <v>45525</v>
      </c>
      <c r="B57" s="7">
        <v>1872.7</v>
      </c>
      <c r="C57" s="49">
        <f t="shared" si="0"/>
        <v>2.6702982881838817E-4</v>
      </c>
      <c r="D57" s="8">
        <v>694.6</v>
      </c>
      <c r="E57" s="49">
        <f t="shared" si="1"/>
        <v>2.795700489428327E-2</v>
      </c>
      <c r="F57" s="7">
        <v>2281.6999999999998</v>
      </c>
      <c r="G57" s="49">
        <f t="shared" si="2"/>
        <v>-3.2956634154108072E-2</v>
      </c>
      <c r="H57" s="7">
        <v>1321.4</v>
      </c>
      <c r="I57" s="23">
        <f t="shared" si="3"/>
        <v>9.3137089599040091E-3</v>
      </c>
      <c r="J57" s="7">
        <v>1604.65</v>
      </c>
      <c r="K57" s="23">
        <f t="shared" si="4"/>
        <v>-1.4815085785140474E-2</v>
      </c>
      <c r="L57" s="7">
        <v>9746.5</v>
      </c>
      <c r="M57" s="9">
        <f t="shared" si="5"/>
        <v>-3.0733005801297899E-3</v>
      </c>
      <c r="N57" s="7">
        <v>12736.2</v>
      </c>
      <c r="O57" s="23">
        <f t="shared" si="6"/>
        <v>4.7615577195567775E-3</v>
      </c>
      <c r="P57" s="7">
        <v>4900.8</v>
      </c>
      <c r="Q57" s="23">
        <f t="shared" si="7"/>
        <v>3.6922507211805136E-2</v>
      </c>
      <c r="R57" s="7">
        <v>1677.25</v>
      </c>
      <c r="S57" s="23">
        <f t="shared" si="8"/>
        <v>-5.6480530645372905E-3</v>
      </c>
      <c r="T57" s="7">
        <v>6090.35</v>
      </c>
      <c r="U57" s="23">
        <f t="shared" si="9"/>
        <v>-4.0801000430890407E-3</v>
      </c>
      <c r="V57" s="7">
        <v>3036.95</v>
      </c>
      <c r="W57" s="23">
        <f t="shared" si="10"/>
        <v>9.2625416190455761E-3</v>
      </c>
      <c r="X57" s="7">
        <v>2631.5</v>
      </c>
      <c r="Y57" s="23">
        <f t="shared" si="11"/>
        <v>-1.7844604845316664E-3</v>
      </c>
      <c r="Z57" s="7">
        <v>5657.35</v>
      </c>
      <c r="AA57" s="23">
        <f t="shared" si="12"/>
        <v>-3.2725103320002627E-2</v>
      </c>
      <c r="AB57" s="10">
        <v>679.3</v>
      </c>
      <c r="AC57" s="23">
        <f t="shared" si="13"/>
        <v>1.5428284072893868E-2</v>
      </c>
      <c r="AD57" s="11">
        <v>12414.25</v>
      </c>
      <c r="AE57" s="23">
        <f t="shared" si="14"/>
        <v>6.7284043932155663E-4</v>
      </c>
    </row>
    <row r="58" spans="1:31" ht="13.8">
      <c r="A58" s="13">
        <v>45526</v>
      </c>
      <c r="B58" s="7">
        <v>1880.25</v>
      </c>
      <c r="C58" s="49">
        <f t="shared" si="0"/>
        <v>4.0235069400496601E-3</v>
      </c>
      <c r="D58" s="8">
        <v>685.2</v>
      </c>
      <c r="E58" s="49">
        <f t="shared" si="1"/>
        <v>-1.3625373860008739E-2</v>
      </c>
      <c r="F58" s="7">
        <v>2319.6</v>
      </c>
      <c r="G58" s="49">
        <f t="shared" si="2"/>
        <v>1.6473977850761046E-2</v>
      </c>
      <c r="H58" s="7">
        <v>1304.45</v>
      </c>
      <c r="I58" s="23">
        <f t="shared" si="3"/>
        <v>-1.2910284615204661E-2</v>
      </c>
      <c r="J58" s="7">
        <v>1611.25</v>
      </c>
      <c r="K58" s="23">
        <f t="shared" si="4"/>
        <v>4.1046110055068651E-3</v>
      </c>
      <c r="L58" s="7">
        <v>9880.9</v>
      </c>
      <c r="M58" s="9">
        <f t="shared" si="5"/>
        <v>1.3695354524396675E-2</v>
      </c>
      <c r="N58" s="7">
        <v>12859.75</v>
      </c>
      <c r="O58" s="23">
        <f t="shared" si="6"/>
        <v>9.6539459997785852E-3</v>
      </c>
      <c r="P58" s="7">
        <v>4911.45</v>
      </c>
      <c r="Q58" s="23">
        <f t="shared" si="7"/>
        <v>2.1707567952434824E-3</v>
      </c>
      <c r="R58" s="7">
        <v>1676.15</v>
      </c>
      <c r="S58" s="23">
        <f t="shared" si="8"/>
        <v>-6.5605059906567351E-4</v>
      </c>
      <c r="T58" s="7">
        <v>6084.2</v>
      </c>
      <c r="U58" s="23">
        <f t="shared" si="9"/>
        <v>-1.0103043682298987E-3</v>
      </c>
      <c r="V58" s="7">
        <v>3065.65</v>
      </c>
      <c r="W58" s="23">
        <f t="shared" si="10"/>
        <v>9.4058963695994469E-3</v>
      </c>
      <c r="X58" s="7">
        <v>2706.25</v>
      </c>
      <c r="Y58" s="23">
        <f t="shared" si="11"/>
        <v>2.8009886956966299E-2</v>
      </c>
      <c r="Z58" s="7">
        <v>5630.6</v>
      </c>
      <c r="AA58" s="23">
        <f t="shared" si="12"/>
        <v>-4.7395762871119112E-3</v>
      </c>
      <c r="AB58" s="10">
        <v>682.95</v>
      </c>
      <c r="AC58" s="23">
        <f t="shared" si="13"/>
        <v>5.3587942516447494E-3</v>
      </c>
      <c r="AD58" s="11">
        <v>12049.95</v>
      </c>
      <c r="AE58" s="23">
        <f t="shared" si="14"/>
        <v>-2.9784495791467389E-2</v>
      </c>
    </row>
    <row r="59" spans="1:31" ht="13.8">
      <c r="A59" s="13">
        <v>45527</v>
      </c>
      <c r="B59" s="7">
        <v>1862.1</v>
      </c>
      <c r="C59" s="49">
        <f t="shared" si="0"/>
        <v>-9.6998636187957867E-3</v>
      </c>
      <c r="D59" s="8">
        <v>683.65</v>
      </c>
      <c r="E59" s="49">
        <f t="shared" si="1"/>
        <v>-2.2646756948743337E-3</v>
      </c>
      <c r="F59" s="7">
        <v>2362.4499999999998</v>
      </c>
      <c r="G59" s="49">
        <f t="shared" si="2"/>
        <v>1.8304459120487105E-2</v>
      </c>
      <c r="H59" s="7">
        <v>1315.75</v>
      </c>
      <c r="I59" s="23">
        <f t="shared" si="3"/>
        <v>8.6253492533075789E-3</v>
      </c>
      <c r="J59" s="7">
        <v>1598.4</v>
      </c>
      <c r="K59" s="23">
        <f t="shared" si="4"/>
        <v>-8.0071463591080243E-3</v>
      </c>
      <c r="L59" s="7">
        <v>9874.15</v>
      </c>
      <c r="M59" s="9">
        <f t="shared" si="5"/>
        <v>-6.8336959538790767E-4</v>
      </c>
      <c r="N59" s="7">
        <v>13270.55</v>
      </c>
      <c r="O59" s="23">
        <f t="shared" si="6"/>
        <v>3.1445015861768413E-2</v>
      </c>
      <c r="P59" s="7">
        <v>4855.95</v>
      </c>
      <c r="Q59" s="23">
        <f t="shared" si="7"/>
        <v>-1.136445672779232E-2</v>
      </c>
      <c r="R59" s="7">
        <v>1661.45</v>
      </c>
      <c r="S59" s="23">
        <f t="shared" si="8"/>
        <v>-8.8087817912913639E-3</v>
      </c>
      <c r="T59" s="7">
        <v>6022.25</v>
      </c>
      <c r="U59" s="23">
        <f t="shared" si="9"/>
        <v>-1.023430332166495E-2</v>
      </c>
      <c r="V59" s="7">
        <v>2997.65</v>
      </c>
      <c r="W59" s="23">
        <f t="shared" si="10"/>
        <v>-2.2430970313368281E-2</v>
      </c>
      <c r="X59" s="7">
        <v>2767</v>
      </c>
      <c r="Y59" s="23">
        <f t="shared" si="11"/>
        <v>2.2199788036125989E-2</v>
      </c>
      <c r="Z59" s="7">
        <v>5402.35</v>
      </c>
      <c r="AA59" s="23">
        <f t="shared" si="12"/>
        <v>-4.1381964319465642E-2</v>
      </c>
      <c r="AB59" s="10">
        <v>678.2</v>
      </c>
      <c r="AC59" s="23">
        <f t="shared" si="13"/>
        <v>-6.9794207573625347E-3</v>
      </c>
      <c r="AD59" s="11">
        <v>12202.2</v>
      </c>
      <c r="AE59" s="23">
        <f t="shared" si="14"/>
        <v>1.2555752800485579E-2</v>
      </c>
    </row>
    <row r="60" spans="1:31" ht="13.8">
      <c r="A60" s="13">
        <v>45530</v>
      </c>
      <c r="B60" s="7">
        <v>1876.15</v>
      </c>
      <c r="C60" s="49">
        <f t="shared" si="0"/>
        <v>7.5169216381111466E-3</v>
      </c>
      <c r="D60" s="8">
        <v>683.25</v>
      </c>
      <c r="E60" s="49">
        <f t="shared" si="1"/>
        <v>-5.8526594691319994E-4</v>
      </c>
      <c r="F60" s="7">
        <v>2352.9499999999998</v>
      </c>
      <c r="G60" s="49">
        <f t="shared" si="2"/>
        <v>-4.0293560899467146E-3</v>
      </c>
      <c r="H60" s="7">
        <v>1311.6</v>
      </c>
      <c r="I60" s="23">
        <f t="shared" si="3"/>
        <v>-3.1590792633952461E-3</v>
      </c>
      <c r="J60" s="7">
        <v>1640.15</v>
      </c>
      <c r="K60" s="23">
        <f t="shared" si="4"/>
        <v>2.5784572156066148E-2</v>
      </c>
      <c r="L60" s="7">
        <v>9911.9</v>
      </c>
      <c r="M60" s="9">
        <f t="shared" si="5"/>
        <v>3.8158243616026439E-3</v>
      </c>
      <c r="N60" s="7">
        <v>13393.45</v>
      </c>
      <c r="O60" s="23">
        <f t="shared" si="6"/>
        <v>9.2184871242704716E-3</v>
      </c>
      <c r="P60" s="7">
        <v>4926.25</v>
      </c>
      <c r="Q60" s="23">
        <f t="shared" si="7"/>
        <v>1.4373292363251491E-2</v>
      </c>
      <c r="R60" s="7">
        <v>1719.45</v>
      </c>
      <c r="S60" s="23">
        <f t="shared" si="8"/>
        <v>3.4313757176487929E-2</v>
      </c>
      <c r="T60" s="7">
        <v>6026.15</v>
      </c>
      <c r="U60" s="23">
        <f t="shared" si="9"/>
        <v>6.4738888752208376E-4</v>
      </c>
      <c r="V60" s="7">
        <v>3019.75</v>
      </c>
      <c r="W60" s="23">
        <f t="shared" si="10"/>
        <v>7.3453981343447388E-3</v>
      </c>
      <c r="X60" s="7">
        <v>2775.2</v>
      </c>
      <c r="Y60" s="23">
        <f t="shared" si="11"/>
        <v>2.9591158686140522E-3</v>
      </c>
      <c r="Z60" s="7">
        <v>5686.15</v>
      </c>
      <c r="AA60" s="23">
        <f t="shared" si="12"/>
        <v>5.1199349374931875E-2</v>
      </c>
      <c r="AB60" s="10">
        <v>688.55</v>
      </c>
      <c r="AC60" s="23">
        <f t="shared" si="13"/>
        <v>1.5145707481596502E-2</v>
      </c>
      <c r="AD60" s="11">
        <v>12031.25</v>
      </c>
      <c r="AE60" s="23">
        <f t="shared" si="14"/>
        <v>-1.4108831862889996E-2</v>
      </c>
    </row>
    <row r="61" spans="1:31" ht="13.8">
      <c r="A61" s="13">
        <v>45531</v>
      </c>
      <c r="B61" s="7">
        <v>1900.1</v>
      </c>
      <c r="C61" s="49">
        <f t="shared" si="0"/>
        <v>1.2684711622658496E-2</v>
      </c>
      <c r="D61" s="8">
        <v>674.15</v>
      </c>
      <c r="E61" s="49">
        <f t="shared" si="1"/>
        <v>-1.3408186728093812E-2</v>
      </c>
      <c r="F61" s="7">
        <v>2427.1</v>
      </c>
      <c r="G61" s="49">
        <f t="shared" si="2"/>
        <v>3.1027268976387634E-2</v>
      </c>
      <c r="H61" s="7">
        <v>1312.05</v>
      </c>
      <c r="I61" s="23">
        <f t="shared" si="3"/>
        <v>3.4303356348055591E-4</v>
      </c>
      <c r="J61" s="7">
        <v>1624.6</v>
      </c>
      <c r="K61" s="23">
        <f t="shared" si="4"/>
        <v>-9.5260694335017743E-3</v>
      </c>
      <c r="L61" s="7">
        <v>9934.6</v>
      </c>
      <c r="M61" s="9">
        <f t="shared" si="5"/>
        <v>2.2875579975254016E-3</v>
      </c>
      <c r="N61" s="7">
        <v>13227.55</v>
      </c>
      <c r="O61" s="23">
        <f t="shared" si="6"/>
        <v>-1.246400568934819E-2</v>
      </c>
      <c r="P61" s="7">
        <v>4902.5</v>
      </c>
      <c r="Q61" s="23">
        <f t="shared" si="7"/>
        <v>-4.8327704387120659E-3</v>
      </c>
      <c r="R61" s="7">
        <v>1711.6</v>
      </c>
      <c r="S61" s="23">
        <f t="shared" si="8"/>
        <v>-4.5758666864666774E-3</v>
      </c>
      <c r="T61" s="7">
        <v>6080.9</v>
      </c>
      <c r="U61" s="23">
        <f t="shared" si="9"/>
        <v>9.044378806659991E-3</v>
      </c>
      <c r="V61" s="7">
        <v>3034</v>
      </c>
      <c r="W61" s="23">
        <f t="shared" si="10"/>
        <v>4.7078344230897327E-3</v>
      </c>
      <c r="X61" s="7">
        <v>2741.1</v>
      </c>
      <c r="Y61" s="23">
        <f t="shared" si="11"/>
        <v>-1.2363516982855377E-2</v>
      </c>
      <c r="Z61" s="7">
        <v>5735</v>
      </c>
      <c r="AA61" s="23">
        <f t="shared" si="12"/>
        <v>8.554357116597364E-3</v>
      </c>
      <c r="AB61" s="10">
        <v>675.8</v>
      </c>
      <c r="AC61" s="23">
        <f t="shared" si="13"/>
        <v>-1.8690762892945304E-2</v>
      </c>
      <c r="AD61" s="11">
        <v>12176.15</v>
      </c>
      <c r="AE61" s="23">
        <f t="shared" si="14"/>
        <v>1.1971688872078648E-2</v>
      </c>
    </row>
    <row r="62" spans="1:31" ht="13.8">
      <c r="A62" s="13">
        <v>45532</v>
      </c>
      <c r="B62" s="7">
        <v>1939.1</v>
      </c>
      <c r="C62" s="49">
        <f t="shared" si="0"/>
        <v>2.0317431540086025E-2</v>
      </c>
      <c r="D62" s="8">
        <v>706.45</v>
      </c>
      <c r="E62" s="49">
        <f t="shared" si="1"/>
        <v>4.6799790131733264E-2</v>
      </c>
      <c r="F62" s="7">
        <v>2428.5500000000002</v>
      </c>
      <c r="G62" s="49">
        <f t="shared" si="2"/>
        <v>5.9724240548705019E-4</v>
      </c>
      <c r="H62" s="7">
        <v>1323.25</v>
      </c>
      <c r="I62" s="23">
        <f t="shared" si="3"/>
        <v>8.5000322041234259E-3</v>
      </c>
      <c r="J62" s="7">
        <v>1627.35</v>
      </c>
      <c r="K62" s="23">
        <f t="shared" si="4"/>
        <v>1.6912933197159089E-3</v>
      </c>
      <c r="L62" s="7">
        <v>9972.4500000000007</v>
      </c>
      <c r="M62" s="9">
        <f t="shared" si="5"/>
        <v>3.8026775047394928E-3</v>
      </c>
      <c r="N62" s="7">
        <v>13247.8</v>
      </c>
      <c r="O62" s="23">
        <f t="shared" si="6"/>
        <v>1.5297251178057298E-3</v>
      </c>
      <c r="P62" s="7">
        <v>5030.7</v>
      </c>
      <c r="Q62" s="23">
        <f t="shared" si="7"/>
        <v>2.5813860350672083E-2</v>
      </c>
      <c r="R62" s="7">
        <v>1719.45</v>
      </c>
      <c r="S62" s="23">
        <f t="shared" si="8"/>
        <v>4.575866686466732E-3</v>
      </c>
      <c r="T62" s="7">
        <v>6255.45</v>
      </c>
      <c r="U62" s="23">
        <f t="shared" si="9"/>
        <v>2.8300372438132947E-2</v>
      </c>
      <c r="V62" s="7">
        <v>3089.45</v>
      </c>
      <c r="W62" s="23">
        <f t="shared" si="10"/>
        <v>1.8111200613077513E-2</v>
      </c>
      <c r="X62" s="7">
        <v>2737.25</v>
      </c>
      <c r="Y62" s="23">
        <f t="shared" si="11"/>
        <v>-1.4055329191503226E-3</v>
      </c>
      <c r="Z62" s="7">
        <v>5798.7</v>
      </c>
      <c r="AA62" s="23">
        <f t="shared" si="12"/>
        <v>1.1046003917344971E-2</v>
      </c>
      <c r="AB62" s="10">
        <v>661.9</v>
      </c>
      <c r="AC62" s="23">
        <f t="shared" si="13"/>
        <v>-2.0782687155312479E-2</v>
      </c>
      <c r="AD62" s="11">
        <v>12194.05</v>
      </c>
      <c r="AE62" s="23">
        <f t="shared" si="14"/>
        <v>1.469007494316094E-3</v>
      </c>
    </row>
    <row r="63" spans="1:31" ht="13.8">
      <c r="A63" s="13">
        <v>45533</v>
      </c>
      <c r="B63" s="7">
        <v>1933.35</v>
      </c>
      <c r="C63" s="49">
        <f t="shared" si="0"/>
        <v>-2.9696983696740251E-3</v>
      </c>
      <c r="D63" s="8">
        <v>703.85</v>
      </c>
      <c r="E63" s="49">
        <f t="shared" si="1"/>
        <v>-3.6871629378425076E-3</v>
      </c>
      <c r="F63" s="7">
        <v>2425.9499999999998</v>
      </c>
      <c r="G63" s="49">
        <f t="shared" si="2"/>
        <v>-1.0711711808035717E-3</v>
      </c>
      <c r="H63" s="7">
        <v>1298.6500000000001</v>
      </c>
      <c r="I63" s="23">
        <f t="shared" si="3"/>
        <v>-1.8765568401697841E-2</v>
      </c>
      <c r="J63" s="7">
        <v>1647.35</v>
      </c>
      <c r="K63" s="23">
        <f t="shared" si="4"/>
        <v>1.2215011254088314E-2</v>
      </c>
      <c r="L63" s="7">
        <v>10059.6</v>
      </c>
      <c r="M63" s="9">
        <f t="shared" si="5"/>
        <v>8.7011114527361794E-3</v>
      </c>
      <c r="N63" s="7">
        <v>13201.9</v>
      </c>
      <c r="O63" s="23">
        <f t="shared" si="6"/>
        <v>-3.4707422826072911E-3</v>
      </c>
      <c r="P63" s="7">
        <v>5012.55</v>
      </c>
      <c r="Q63" s="23">
        <f t="shared" si="7"/>
        <v>-3.6143717937552932E-3</v>
      </c>
      <c r="R63" s="7">
        <v>1751.85</v>
      </c>
      <c r="S63" s="23">
        <f t="shared" si="8"/>
        <v>1.8667900163555708E-2</v>
      </c>
      <c r="T63" s="7">
        <v>6282.25</v>
      </c>
      <c r="U63" s="23">
        <f t="shared" si="9"/>
        <v>4.2751127906559151E-3</v>
      </c>
      <c r="V63" s="7">
        <v>3103.45</v>
      </c>
      <c r="W63" s="23">
        <f t="shared" si="10"/>
        <v>4.5213143597741352E-3</v>
      </c>
      <c r="X63" s="7">
        <v>2751.55</v>
      </c>
      <c r="Y63" s="23">
        <f t="shared" si="11"/>
        <v>5.2106224874050736E-3</v>
      </c>
      <c r="Z63" s="7">
        <v>6129.95</v>
      </c>
      <c r="AA63" s="23">
        <f t="shared" si="12"/>
        <v>5.5552838809324157E-2</v>
      </c>
      <c r="AB63" s="10">
        <v>660.75</v>
      </c>
      <c r="AC63" s="23">
        <f t="shared" si="13"/>
        <v>-1.73893364047844E-3</v>
      </c>
      <c r="AD63" s="11">
        <v>11770</v>
      </c>
      <c r="AE63" s="23">
        <f t="shared" si="14"/>
        <v>-3.5394206582267142E-2</v>
      </c>
    </row>
    <row r="64" spans="1:31" ht="13.8">
      <c r="A64" s="13">
        <v>45534</v>
      </c>
      <c r="B64" s="7">
        <v>1943.7</v>
      </c>
      <c r="C64" s="49">
        <f t="shared" si="0"/>
        <v>5.3391236051231576E-3</v>
      </c>
      <c r="D64" s="8">
        <v>718.1</v>
      </c>
      <c r="E64" s="49">
        <f t="shared" si="1"/>
        <v>2.0043569842297472E-2</v>
      </c>
      <c r="F64" s="7">
        <v>2487.75</v>
      </c>
      <c r="G64" s="49">
        <f t="shared" si="2"/>
        <v>2.5155487261374353E-2</v>
      </c>
      <c r="H64" s="7">
        <v>1302.9000000000001</v>
      </c>
      <c r="I64" s="23">
        <f t="shared" si="3"/>
        <v>3.2672858724868106E-3</v>
      </c>
      <c r="J64" s="7">
        <v>1636.5</v>
      </c>
      <c r="K64" s="23">
        <f t="shared" si="4"/>
        <v>-6.6081212494223836E-3</v>
      </c>
      <c r="L64" s="7">
        <v>10057.700000000001</v>
      </c>
      <c r="M64" s="9">
        <f t="shared" si="5"/>
        <v>-1.8889214811620265E-4</v>
      </c>
      <c r="N64" s="7">
        <v>13170.95</v>
      </c>
      <c r="O64" s="23">
        <f t="shared" si="6"/>
        <v>-2.3471118372459668E-3</v>
      </c>
      <c r="P64" s="7">
        <v>5093.8999999999996</v>
      </c>
      <c r="Q64" s="23">
        <f t="shared" si="7"/>
        <v>1.6098977780935733E-2</v>
      </c>
      <c r="R64" s="7">
        <v>1753.25</v>
      </c>
      <c r="S64" s="23">
        <f t="shared" si="8"/>
        <v>7.9883602433586701E-4</v>
      </c>
      <c r="T64" s="7">
        <v>6344.05</v>
      </c>
      <c r="U64" s="23">
        <f t="shared" si="9"/>
        <v>9.7891691964478184E-3</v>
      </c>
      <c r="V64" s="7">
        <v>3104.95</v>
      </c>
      <c r="W64" s="23">
        <f t="shared" si="10"/>
        <v>4.832162970129454E-4</v>
      </c>
      <c r="X64" s="7">
        <v>2813.3</v>
      </c>
      <c r="Y64" s="23">
        <f t="shared" si="11"/>
        <v>2.2193782269529453E-2</v>
      </c>
      <c r="Z64" s="7">
        <v>6508.4</v>
      </c>
      <c r="AA64" s="23">
        <f t="shared" si="12"/>
        <v>5.9907056975023701E-2</v>
      </c>
      <c r="AB64" s="10">
        <v>647.15</v>
      </c>
      <c r="AC64" s="23">
        <f t="shared" si="13"/>
        <v>-2.0797446595951414E-2</v>
      </c>
      <c r="AD64" s="11">
        <v>12095.05</v>
      </c>
      <c r="AE64" s="23">
        <f t="shared" si="14"/>
        <v>2.7242356720904949E-2</v>
      </c>
    </row>
    <row r="65" spans="1:31" ht="13.8">
      <c r="A65" s="12">
        <v>45537</v>
      </c>
      <c r="B65" s="7">
        <v>1964.5</v>
      </c>
      <c r="C65" s="49">
        <f t="shared" si="0"/>
        <v>1.0644386874493258E-2</v>
      </c>
      <c r="D65" s="8">
        <v>683.85</v>
      </c>
      <c r="E65" s="49">
        <f t="shared" si="1"/>
        <v>-4.8870239788711738E-2</v>
      </c>
      <c r="F65" s="7">
        <v>2391.15</v>
      </c>
      <c r="G65" s="49">
        <f t="shared" si="2"/>
        <v>-3.9604265747506154E-2</v>
      </c>
      <c r="H65" s="7">
        <v>1303.8499999999999</v>
      </c>
      <c r="I65" s="23">
        <f t="shared" si="3"/>
        <v>7.288769863302198E-4</v>
      </c>
      <c r="J65" s="7">
        <v>1646.65</v>
      </c>
      <c r="K65" s="23">
        <f t="shared" si="4"/>
        <v>6.1831060639112772E-3</v>
      </c>
      <c r="L65" s="7">
        <v>10631.25</v>
      </c>
      <c r="M65" s="9">
        <f t="shared" si="5"/>
        <v>5.5459266860476079E-2</v>
      </c>
      <c r="N65" s="7">
        <v>12614.45</v>
      </c>
      <c r="O65" s="23">
        <f t="shared" si="6"/>
        <v>-4.3170664538386166E-2</v>
      </c>
      <c r="P65" s="7">
        <v>5036.8500000000004</v>
      </c>
      <c r="Q65" s="23">
        <f t="shared" si="7"/>
        <v>-1.126285873685798E-2</v>
      </c>
      <c r="R65" s="7">
        <v>1806.65</v>
      </c>
      <c r="S65" s="23">
        <f t="shared" si="8"/>
        <v>3.0003093213759997E-2</v>
      </c>
      <c r="T65" s="7">
        <v>6340.6</v>
      </c>
      <c r="U65" s="23">
        <f t="shared" si="9"/>
        <v>-5.4396456899798585E-4</v>
      </c>
      <c r="V65" s="7">
        <v>3102.5</v>
      </c>
      <c r="W65" s="23">
        <f t="shared" si="10"/>
        <v>-7.8937409957984526E-4</v>
      </c>
      <c r="X65" s="7">
        <v>2790.7</v>
      </c>
      <c r="Y65" s="23">
        <f t="shared" si="11"/>
        <v>-8.065711106862156E-3</v>
      </c>
      <c r="Z65" s="7">
        <v>6676.7</v>
      </c>
      <c r="AA65" s="23">
        <f t="shared" si="12"/>
        <v>2.5530203225360922E-2</v>
      </c>
      <c r="AB65" s="10">
        <v>650.95000000000005</v>
      </c>
      <c r="AC65" s="23">
        <f t="shared" si="13"/>
        <v>5.8547274549589469E-3</v>
      </c>
      <c r="AD65" s="11">
        <v>11879.7</v>
      </c>
      <c r="AE65" s="23">
        <f t="shared" si="14"/>
        <v>-1.7965216902694234E-2</v>
      </c>
    </row>
    <row r="66" spans="1:31" ht="13.8">
      <c r="A66" s="12">
        <v>45538</v>
      </c>
      <c r="B66" s="7">
        <v>1941.25</v>
      </c>
      <c r="C66" s="49">
        <f t="shared" si="0"/>
        <v>-1.1905664535617618E-2</v>
      </c>
      <c r="D66" s="8">
        <v>684.7</v>
      </c>
      <c r="E66" s="49">
        <f t="shared" si="1"/>
        <v>1.2421907994572055E-3</v>
      </c>
      <c r="F66" s="7">
        <v>2391.1</v>
      </c>
      <c r="G66" s="49">
        <f t="shared" si="2"/>
        <v>-2.0910659209365542E-5</v>
      </c>
      <c r="H66" s="7">
        <v>1320.25</v>
      </c>
      <c r="I66" s="23">
        <f t="shared" si="3"/>
        <v>1.2499686391826538E-2</v>
      </c>
      <c r="J66" s="7">
        <v>1644.1</v>
      </c>
      <c r="K66" s="23">
        <f t="shared" si="4"/>
        <v>-1.5497989883150945E-3</v>
      </c>
      <c r="L66" s="7">
        <v>10903.9</v>
      </c>
      <c r="M66" s="9">
        <f t="shared" si="5"/>
        <v>2.5322746243701517E-2</v>
      </c>
      <c r="N66" s="7">
        <v>12991.8</v>
      </c>
      <c r="O66" s="23">
        <f t="shared" si="6"/>
        <v>2.9475406959810012E-2</v>
      </c>
      <c r="P66" s="7">
        <v>5066</v>
      </c>
      <c r="Q66" s="23">
        <f t="shared" si="7"/>
        <v>5.7706648901246294E-3</v>
      </c>
      <c r="R66" s="7">
        <v>1790.45</v>
      </c>
      <c r="S66" s="23">
        <f t="shared" si="8"/>
        <v>-9.0073167427766904E-3</v>
      </c>
      <c r="T66" s="7">
        <v>6407.6</v>
      </c>
      <c r="U66" s="23">
        <f t="shared" si="9"/>
        <v>1.0511384649901709E-2</v>
      </c>
      <c r="V66" s="7">
        <v>3125.35</v>
      </c>
      <c r="W66" s="23">
        <f t="shared" si="10"/>
        <v>7.3380388202077739E-3</v>
      </c>
      <c r="X66" s="7">
        <v>2782.6</v>
      </c>
      <c r="Y66" s="23">
        <f t="shared" si="11"/>
        <v>-2.9067179958302625E-3</v>
      </c>
      <c r="Z66" s="7">
        <v>6635.75</v>
      </c>
      <c r="AA66" s="23">
        <f t="shared" si="12"/>
        <v>-6.1521551870131422E-3</v>
      </c>
      <c r="AB66" s="10">
        <v>640.04999999999995</v>
      </c>
      <c r="AC66" s="23">
        <f t="shared" si="13"/>
        <v>-1.6886536041287523E-2</v>
      </c>
      <c r="AD66" s="11">
        <v>11645.9</v>
      </c>
      <c r="AE66" s="23">
        <f t="shared" si="14"/>
        <v>-1.9876874351522703E-2</v>
      </c>
    </row>
    <row r="67" spans="1:31" ht="13.8">
      <c r="A67" s="12">
        <v>45539</v>
      </c>
      <c r="B67" s="7">
        <v>1922.45</v>
      </c>
      <c r="C67" s="49">
        <f t="shared" si="0"/>
        <v>-9.7316812236472282E-3</v>
      </c>
      <c r="D67" s="8">
        <v>703.8</v>
      </c>
      <c r="E67" s="49">
        <f t="shared" si="1"/>
        <v>2.7513438760467353E-2</v>
      </c>
      <c r="F67" s="7">
        <v>2413.6999999999998</v>
      </c>
      <c r="G67" s="49">
        <f t="shared" si="2"/>
        <v>9.4073287839978627E-3</v>
      </c>
      <c r="H67" s="7">
        <v>1327.1</v>
      </c>
      <c r="I67" s="23">
        <f t="shared" si="3"/>
        <v>5.1749978561609032E-3</v>
      </c>
      <c r="J67" s="7">
        <v>1645.3</v>
      </c>
      <c r="K67" s="23">
        <f t="shared" si="4"/>
        <v>7.2961637577313905E-4</v>
      </c>
      <c r="L67" s="7">
        <v>11067.7</v>
      </c>
      <c r="M67" s="9">
        <f t="shared" si="5"/>
        <v>1.4910432983539284E-2</v>
      </c>
      <c r="N67" s="7">
        <v>12777.85</v>
      </c>
      <c r="O67" s="23">
        <f t="shared" si="6"/>
        <v>-1.6605186027191628E-2</v>
      </c>
      <c r="P67" s="7">
        <v>5096.6000000000004</v>
      </c>
      <c r="Q67" s="23">
        <f t="shared" si="7"/>
        <v>6.0220991630928816E-3</v>
      </c>
      <c r="R67" s="7">
        <v>1785.25</v>
      </c>
      <c r="S67" s="23">
        <f t="shared" si="8"/>
        <v>-2.9085234587838574E-3</v>
      </c>
      <c r="T67" s="7">
        <v>6331.1</v>
      </c>
      <c r="U67" s="23">
        <f t="shared" si="9"/>
        <v>-1.201078911494351E-2</v>
      </c>
      <c r="V67" s="7">
        <v>3088.7</v>
      </c>
      <c r="W67" s="23">
        <f t="shared" si="10"/>
        <v>-1.1795986505401238E-2</v>
      </c>
      <c r="X67" s="7">
        <v>2774.9</v>
      </c>
      <c r="Y67" s="23">
        <f t="shared" si="11"/>
        <v>-2.7710319125910134E-3</v>
      </c>
      <c r="Z67" s="7">
        <v>6368.85</v>
      </c>
      <c r="AA67" s="23">
        <f t="shared" si="12"/>
        <v>-4.1052778787444309E-2</v>
      </c>
      <c r="AB67" s="10">
        <v>645.6</v>
      </c>
      <c r="AC67" s="23">
        <f t="shared" si="13"/>
        <v>8.6338186536204856E-3</v>
      </c>
      <c r="AD67" s="11">
        <v>11745.7</v>
      </c>
      <c r="AE67" s="23">
        <f t="shared" si="14"/>
        <v>8.5330294257183019E-3</v>
      </c>
    </row>
    <row r="68" spans="1:31" ht="13.8">
      <c r="A68" s="12">
        <v>45540</v>
      </c>
      <c r="B68" s="7">
        <v>1933.15</v>
      </c>
      <c r="C68" s="49">
        <f t="shared" si="0"/>
        <v>5.5503825445248553E-3</v>
      </c>
      <c r="D68" s="8">
        <v>698.2</v>
      </c>
      <c r="E68" s="49">
        <f t="shared" si="1"/>
        <v>-7.9886302165489854E-3</v>
      </c>
      <c r="F68" s="7">
        <v>2473.15</v>
      </c>
      <c r="G68" s="49">
        <f t="shared" si="2"/>
        <v>2.4331801884225596E-2</v>
      </c>
      <c r="H68" s="7">
        <v>1312.35</v>
      </c>
      <c r="I68" s="23">
        <f t="shared" si="3"/>
        <v>-1.1176687222820341E-2</v>
      </c>
      <c r="J68" s="7">
        <v>1639.5</v>
      </c>
      <c r="K68" s="23">
        <f t="shared" si="4"/>
        <v>-3.5314211079014559E-3</v>
      </c>
      <c r="L68" s="7">
        <v>10895.7</v>
      </c>
      <c r="M68" s="9">
        <f t="shared" si="5"/>
        <v>-1.5662740400807815E-2</v>
      </c>
      <c r="N68" s="7">
        <v>12412.2</v>
      </c>
      <c r="O68" s="23">
        <f t="shared" si="6"/>
        <v>-2.9033343290048755E-2</v>
      </c>
      <c r="P68" s="7">
        <v>5120.8999999999996</v>
      </c>
      <c r="Q68" s="23">
        <f t="shared" si="7"/>
        <v>4.7565541111261617E-3</v>
      </c>
      <c r="R68" s="7">
        <v>1790.55</v>
      </c>
      <c r="S68" s="23">
        <f t="shared" si="8"/>
        <v>2.9643737799376732E-3</v>
      </c>
      <c r="T68" s="7">
        <v>6551.25</v>
      </c>
      <c r="U68" s="23">
        <f t="shared" si="9"/>
        <v>3.4181874403991001E-2</v>
      </c>
      <c r="V68" s="7">
        <v>3087.7</v>
      </c>
      <c r="W68" s="23">
        <f t="shared" si="10"/>
        <v>-3.2381322736154056E-4</v>
      </c>
      <c r="X68" s="7">
        <v>2761.7</v>
      </c>
      <c r="Y68" s="23">
        <f t="shared" si="11"/>
        <v>-4.7682783694387582E-3</v>
      </c>
      <c r="Z68" s="7">
        <v>6412.05</v>
      </c>
      <c r="AA68" s="23">
        <f t="shared" si="12"/>
        <v>6.7601130619499624E-3</v>
      </c>
      <c r="AB68" s="10">
        <v>643.9</v>
      </c>
      <c r="AC68" s="23">
        <f t="shared" si="13"/>
        <v>-2.636682411601339E-3</v>
      </c>
      <c r="AD68" s="11">
        <v>11765.2</v>
      </c>
      <c r="AE68" s="23">
        <f t="shared" si="14"/>
        <v>1.6588054452536412E-3</v>
      </c>
    </row>
    <row r="69" spans="1:31" ht="13.8">
      <c r="A69" s="12">
        <v>45541</v>
      </c>
      <c r="B69" s="7">
        <v>1901.85</v>
      </c>
      <c r="C69" s="49">
        <f t="shared" si="0"/>
        <v>-1.632370014170776E-2</v>
      </c>
      <c r="D69" s="8">
        <v>688.1</v>
      </c>
      <c r="E69" s="49">
        <f t="shared" si="1"/>
        <v>-1.4571418462501496E-2</v>
      </c>
      <c r="F69" s="7">
        <v>2423.35</v>
      </c>
      <c r="G69" s="49">
        <f t="shared" si="2"/>
        <v>-2.0341761341882428E-2</v>
      </c>
      <c r="H69" s="7">
        <v>1289.7</v>
      </c>
      <c r="I69" s="23">
        <f t="shared" si="3"/>
        <v>-1.7409790050037628E-2</v>
      </c>
      <c r="J69" s="7">
        <v>1623.25</v>
      </c>
      <c r="K69" s="23">
        <f t="shared" si="4"/>
        <v>-9.9610048961067867E-3</v>
      </c>
      <c r="L69" s="7">
        <v>10693.4</v>
      </c>
      <c r="M69" s="9">
        <f t="shared" si="5"/>
        <v>-1.8741487263732766E-2</v>
      </c>
      <c r="N69" s="7">
        <v>12063.85</v>
      </c>
      <c r="O69" s="23">
        <f t="shared" si="6"/>
        <v>-2.8466482393622802E-2</v>
      </c>
      <c r="P69" s="7">
        <v>5137.8</v>
      </c>
      <c r="Q69" s="23">
        <f t="shared" si="7"/>
        <v>3.2947674243616718E-3</v>
      </c>
      <c r="R69" s="7">
        <v>1756.1</v>
      </c>
      <c r="S69" s="23">
        <f t="shared" si="8"/>
        <v>-1.9427394027348083E-2</v>
      </c>
      <c r="T69" s="7">
        <v>6624.65</v>
      </c>
      <c r="U69" s="23">
        <f t="shared" si="9"/>
        <v>1.114166915380403E-2</v>
      </c>
      <c r="V69" s="7">
        <v>3051.5</v>
      </c>
      <c r="W69" s="23">
        <f t="shared" si="10"/>
        <v>-1.1793204181657668E-2</v>
      </c>
      <c r="X69" s="7">
        <v>2752.3</v>
      </c>
      <c r="Y69" s="23">
        <f t="shared" si="11"/>
        <v>-3.4095063859410123E-3</v>
      </c>
      <c r="Z69" s="7">
        <v>7205.85</v>
      </c>
      <c r="AA69" s="23">
        <f t="shared" si="12"/>
        <v>0.11671416352668793</v>
      </c>
      <c r="AB69" s="10">
        <v>665.25</v>
      </c>
      <c r="AC69" s="23">
        <f t="shared" si="13"/>
        <v>3.2619475313660842E-2</v>
      </c>
      <c r="AD69" s="11">
        <v>11623.45</v>
      </c>
      <c r="AE69" s="23">
        <f t="shared" si="14"/>
        <v>-1.2121412359437754E-2</v>
      </c>
    </row>
    <row r="70" spans="1:31" ht="13.8">
      <c r="A70" s="12">
        <v>45544</v>
      </c>
      <c r="B70" s="7">
        <v>1894.65</v>
      </c>
      <c r="C70" s="49">
        <f t="shared" si="0"/>
        <v>-3.7929717539726777E-3</v>
      </c>
      <c r="D70" s="8">
        <v>666.85</v>
      </c>
      <c r="E70" s="49">
        <f t="shared" si="1"/>
        <v>-3.1369043140030632E-2</v>
      </c>
      <c r="F70" s="7">
        <v>2411.9499999999998</v>
      </c>
      <c r="G70" s="49">
        <f t="shared" si="2"/>
        <v>-4.7153314675927689E-3</v>
      </c>
      <c r="H70" s="7">
        <v>1237.1500000000001</v>
      </c>
      <c r="I70" s="23">
        <f t="shared" si="3"/>
        <v>-4.159928601379017E-2</v>
      </c>
      <c r="J70" s="7">
        <v>1579.2</v>
      </c>
      <c r="K70" s="23">
        <f t="shared" si="4"/>
        <v>-2.7511922709379018E-2</v>
      </c>
      <c r="L70" s="7">
        <v>10357.1</v>
      </c>
      <c r="M70" s="9">
        <f t="shared" si="5"/>
        <v>-3.1954453859015151E-2</v>
      </c>
      <c r="N70" s="7">
        <v>12401.45</v>
      </c>
      <c r="O70" s="23">
        <f t="shared" si="6"/>
        <v>2.7600023757142728E-2</v>
      </c>
      <c r="P70" s="7">
        <v>5173.5</v>
      </c>
      <c r="Q70" s="23">
        <f t="shared" si="7"/>
        <v>6.9244697848039952E-3</v>
      </c>
      <c r="R70" s="7">
        <v>1746.75</v>
      </c>
      <c r="S70" s="23">
        <f t="shared" si="8"/>
        <v>-5.3385227492487803E-3</v>
      </c>
      <c r="T70" s="7">
        <v>6490.75</v>
      </c>
      <c r="U70" s="23">
        <f t="shared" si="9"/>
        <v>-2.0419453845166573E-2</v>
      </c>
      <c r="V70" s="7">
        <v>2993.7</v>
      </c>
      <c r="W70" s="23">
        <f t="shared" si="10"/>
        <v>-1.9123192426173132E-2</v>
      </c>
      <c r="X70" s="7">
        <v>2765.1</v>
      </c>
      <c r="Y70" s="23">
        <f t="shared" si="11"/>
        <v>4.6398749279225257E-3</v>
      </c>
      <c r="Z70" s="7">
        <v>6844.2</v>
      </c>
      <c r="AA70" s="23">
        <f t="shared" si="12"/>
        <v>-5.149161784279796E-2</v>
      </c>
      <c r="AB70" s="10">
        <v>676</v>
      </c>
      <c r="AC70" s="23">
        <f t="shared" si="13"/>
        <v>1.6030166185165538E-2</v>
      </c>
      <c r="AD70" s="11">
        <v>11436.9</v>
      </c>
      <c r="AE70" s="23">
        <f t="shared" si="14"/>
        <v>-1.6179639041183736E-2</v>
      </c>
    </row>
    <row r="71" spans="1:31" ht="13.8">
      <c r="A71" s="13">
        <v>45545</v>
      </c>
      <c r="B71" s="7">
        <v>1912.3</v>
      </c>
      <c r="C71" s="49">
        <f t="shared" si="0"/>
        <v>9.2725811808346201E-3</v>
      </c>
      <c r="D71" s="8">
        <v>694.15</v>
      </c>
      <c r="E71" s="49">
        <f t="shared" si="1"/>
        <v>4.0122942412407825E-2</v>
      </c>
      <c r="F71" s="7">
        <v>2448.15</v>
      </c>
      <c r="G71" s="49">
        <f t="shared" si="2"/>
        <v>1.4897088317510238E-2</v>
      </c>
      <c r="H71" s="7">
        <v>1250.3</v>
      </c>
      <c r="I71" s="23">
        <f t="shared" si="3"/>
        <v>1.0573175344398493E-2</v>
      </c>
      <c r="J71" s="7">
        <v>1607.4</v>
      </c>
      <c r="K71" s="23">
        <f t="shared" si="4"/>
        <v>1.7699577099400857E-2</v>
      </c>
      <c r="L71" s="7">
        <v>10343.85</v>
      </c>
      <c r="M71" s="9">
        <f t="shared" si="5"/>
        <v>-1.2801346613993052E-3</v>
      </c>
      <c r="N71" s="7">
        <v>12516.85</v>
      </c>
      <c r="O71" s="23">
        <f t="shared" si="6"/>
        <v>9.2623353134748537E-3</v>
      </c>
      <c r="P71" s="7">
        <v>5426.45</v>
      </c>
      <c r="Q71" s="23">
        <f t="shared" si="7"/>
        <v>4.7735702756414422E-2</v>
      </c>
      <c r="R71" s="7">
        <v>1779.1</v>
      </c>
      <c r="S71" s="23">
        <f t="shared" si="8"/>
        <v>1.8350700008169695E-2</v>
      </c>
      <c r="T71" s="7">
        <v>6807</v>
      </c>
      <c r="U71" s="23">
        <f t="shared" si="9"/>
        <v>4.7573408022938003E-2</v>
      </c>
      <c r="V71" s="7">
        <v>3080.4</v>
      </c>
      <c r="W71" s="23">
        <f t="shared" si="10"/>
        <v>2.8549378106718631E-2</v>
      </c>
      <c r="X71" s="7">
        <v>2755</v>
      </c>
      <c r="Y71" s="23">
        <f t="shared" si="11"/>
        <v>-3.6593580807133493E-3</v>
      </c>
      <c r="Z71" s="7">
        <v>6765.45</v>
      </c>
      <c r="AA71" s="23">
        <f t="shared" si="12"/>
        <v>-1.1572800022292528E-2</v>
      </c>
      <c r="AB71" s="10">
        <v>680</v>
      </c>
      <c r="AC71" s="23">
        <f t="shared" si="13"/>
        <v>5.899722127188322E-3</v>
      </c>
      <c r="AD71" s="11">
        <v>11903</v>
      </c>
      <c r="AE71" s="23">
        <f t="shared" si="14"/>
        <v>3.9945498976518917E-2</v>
      </c>
    </row>
    <row r="72" spans="1:31" ht="13.8">
      <c r="A72" s="13">
        <v>45546</v>
      </c>
      <c r="B72" s="7">
        <v>1910.15</v>
      </c>
      <c r="C72" s="49">
        <f t="shared" si="0"/>
        <v>-1.1249330804749059E-3</v>
      </c>
      <c r="D72" s="8">
        <v>676.7</v>
      </c>
      <c r="E72" s="49">
        <f t="shared" si="1"/>
        <v>-2.5460032242631395E-2</v>
      </c>
      <c r="F72" s="7">
        <v>2432.75</v>
      </c>
      <c r="G72" s="49">
        <f t="shared" si="2"/>
        <v>-6.3103325627162071E-3</v>
      </c>
      <c r="H72" s="7">
        <v>1237.7</v>
      </c>
      <c r="I72" s="23">
        <f t="shared" si="3"/>
        <v>-1.0128703954977314E-2</v>
      </c>
      <c r="J72" s="7">
        <v>1602.6</v>
      </c>
      <c r="K72" s="23">
        <f t="shared" si="4"/>
        <v>-2.9906564346479617E-3</v>
      </c>
      <c r="L72" s="7">
        <v>10314.65</v>
      </c>
      <c r="M72" s="9">
        <f t="shared" si="5"/>
        <v>-2.8269254249823385E-3</v>
      </c>
      <c r="N72" s="7">
        <v>12724.3</v>
      </c>
      <c r="O72" s="23">
        <f t="shared" si="6"/>
        <v>1.6437814528391503E-2</v>
      </c>
      <c r="P72" s="7">
        <v>5439.3</v>
      </c>
      <c r="Q72" s="23">
        <f t="shared" si="7"/>
        <v>2.3652312984530008E-3</v>
      </c>
      <c r="R72" s="7">
        <v>1778.75</v>
      </c>
      <c r="S72" s="23">
        <f t="shared" si="8"/>
        <v>-1.9674803666767406E-4</v>
      </c>
      <c r="T72" s="7">
        <v>6841.1</v>
      </c>
      <c r="U72" s="23">
        <f t="shared" si="9"/>
        <v>4.9970429521519798E-3</v>
      </c>
      <c r="V72" s="7">
        <v>3066.6</v>
      </c>
      <c r="W72" s="23">
        <f t="shared" si="10"/>
        <v>-4.4900026628061623E-3</v>
      </c>
      <c r="X72" s="7">
        <v>2759.65</v>
      </c>
      <c r="Y72" s="23">
        <f t="shared" si="11"/>
        <v>1.6864174887078114E-3</v>
      </c>
      <c r="Z72" s="7">
        <v>6614.7</v>
      </c>
      <c r="AA72" s="23">
        <f t="shared" si="12"/>
        <v>-2.253433319289071E-2</v>
      </c>
      <c r="AB72" s="10">
        <v>680.45</v>
      </c>
      <c r="AC72" s="23">
        <f t="shared" si="13"/>
        <v>6.615458361742836E-4</v>
      </c>
      <c r="AD72" s="11">
        <v>12165.7</v>
      </c>
      <c r="AE72" s="23">
        <f t="shared" si="14"/>
        <v>2.1830047523317238E-2</v>
      </c>
    </row>
    <row r="73" spans="1:31" ht="13.8">
      <c r="A73" s="13">
        <v>45547</v>
      </c>
      <c r="B73" s="7">
        <v>1950.45</v>
      </c>
      <c r="C73" s="49">
        <f t="shared" si="0"/>
        <v>2.0878342176985022E-2</v>
      </c>
      <c r="D73" s="8">
        <v>564.9</v>
      </c>
      <c r="E73" s="49">
        <f t="shared" si="1"/>
        <v>-0.18057931890696355</v>
      </c>
      <c r="F73" s="7">
        <v>2431.4</v>
      </c>
      <c r="G73" s="49">
        <f t="shared" si="2"/>
        <v>-5.5508158040471259E-4</v>
      </c>
      <c r="H73" s="7">
        <v>1237.3</v>
      </c>
      <c r="I73" s="23">
        <f t="shared" si="3"/>
        <v>-3.232323260466619E-4</v>
      </c>
      <c r="J73" s="7">
        <v>1643.25</v>
      </c>
      <c r="K73" s="23">
        <f t="shared" si="4"/>
        <v>2.5048677799715448E-2</v>
      </c>
      <c r="L73" s="7">
        <v>10393.799999999999</v>
      </c>
      <c r="M73" s="9">
        <f t="shared" si="5"/>
        <v>7.6442597514747058E-3</v>
      </c>
      <c r="N73" s="7">
        <v>12852.6</v>
      </c>
      <c r="O73" s="23">
        <f t="shared" si="6"/>
        <v>1.0032574404380481E-2</v>
      </c>
      <c r="P73" s="7">
        <v>5482.8</v>
      </c>
      <c r="Q73" s="23">
        <f t="shared" si="7"/>
        <v>7.9655432573532761E-3</v>
      </c>
      <c r="R73" s="7">
        <v>1807.6</v>
      </c>
      <c r="S73" s="23">
        <f t="shared" si="8"/>
        <v>1.6089128133062378E-2</v>
      </c>
      <c r="T73" s="7">
        <v>6876.5</v>
      </c>
      <c r="U73" s="23">
        <f t="shared" si="9"/>
        <v>5.1612641546590595E-3</v>
      </c>
      <c r="V73" s="7">
        <v>3098.05</v>
      </c>
      <c r="W73" s="23">
        <f t="shared" si="10"/>
        <v>1.0203425289088802E-2</v>
      </c>
      <c r="X73" s="7">
        <v>2822.85</v>
      </c>
      <c r="Y73" s="23">
        <f t="shared" si="11"/>
        <v>2.2643152803248929E-2</v>
      </c>
      <c r="Z73" s="7">
        <v>6638.1</v>
      </c>
      <c r="AA73" s="23">
        <f t="shared" si="12"/>
        <v>3.5313328982710689E-3</v>
      </c>
      <c r="AB73" s="10">
        <v>686.1</v>
      </c>
      <c r="AC73" s="23">
        <f t="shared" si="13"/>
        <v>8.2690456905184402E-3</v>
      </c>
      <c r="AD73" s="11">
        <v>12308.35</v>
      </c>
      <c r="AE73" s="23">
        <f t="shared" si="14"/>
        <v>1.1657377135497972E-2</v>
      </c>
    </row>
    <row r="74" spans="1:31" ht="13.8">
      <c r="A74" s="13">
        <v>45548</v>
      </c>
      <c r="B74" s="7">
        <v>1944.1</v>
      </c>
      <c r="C74" s="49">
        <f t="shared" si="0"/>
        <v>-3.2609701388444565E-3</v>
      </c>
      <c r="D74" s="8">
        <v>555</v>
      </c>
      <c r="E74" s="49">
        <f t="shared" si="1"/>
        <v>-1.7680610584781868E-2</v>
      </c>
      <c r="F74" s="7">
        <v>2498.8000000000002</v>
      </c>
      <c r="G74" s="49">
        <f t="shared" si="2"/>
        <v>2.7343393497721212E-2</v>
      </c>
      <c r="H74" s="7">
        <v>1241.5</v>
      </c>
      <c r="I74" s="23">
        <f t="shared" si="3"/>
        <v>3.3887397282912493E-3</v>
      </c>
      <c r="J74" s="7">
        <v>1656.05</v>
      </c>
      <c r="K74" s="23">
        <f t="shared" si="4"/>
        <v>7.7592605824278469E-3</v>
      </c>
      <c r="L74" s="7">
        <v>10371.299999999999</v>
      </c>
      <c r="M74" s="9">
        <f t="shared" si="5"/>
        <v>-2.1670985264306292E-3</v>
      </c>
      <c r="N74" s="7">
        <v>13027.65</v>
      </c>
      <c r="O74" s="23">
        <f t="shared" si="6"/>
        <v>1.3527896335035802E-2</v>
      </c>
      <c r="P74" s="7">
        <v>5498.65</v>
      </c>
      <c r="Q74" s="23">
        <f t="shared" si="7"/>
        <v>2.8866881889842437E-3</v>
      </c>
      <c r="R74" s="7">
        <v>1812.8</v>
      </c>
      <c r="S74" s="23">
        <f t="shared" si="8"/>
        <v>2.8726127366171875E-3</v>
      </c>
      <c r="T74" s="7">
        <v>7013.75</v>
      </c>
      <c r="U74" s="23">
        <f t="shared" si="9"/>
        <v>1.9762706510419274E-2</v>
      </c>
      <c r="V74" s="7">
        <v>3146.15</v>
      </c>
      <c r="W74" s="23">
        <f t="shared" si="10"/>
        <v>1.5406601783344017E-2</v>
      </c>
      <c r="X74" s="7">
        <v>2828.65</v>
      </c>
      <c r="Y74" s="23">
        <f t="shared" si="11"/>
        <v>2.0525531403240696E-3</v>
      </c>
      <c r="Z74" s="7">
        <v>7316.8</v>
      </c>
      <c r="AA74" s="23">
        <f t="shared" si="12"/>
        <v>9.7347295958795668E-2</v>
      </c>
      <c r="AB74" s="10">
        <v>681.95</v>
      </c>
      <c r="AC74" s="23">
        <f t="shared" si="13"/>
        <v>-6.0670483239609633E-3</v>
      </c>
      <c r="AD74" s="11">
        <v>12822.85</v>
      </c>
      <c r="AE74" s="23">
        <f t="shared" si="14"/>
        <v>4.0950841833361708E-2</v>
      </c>
    </row>
    <row r="75" spans="1:31" ht="13.8">
      <c r="A75" s="13">
        <v>45551</v>
      </c>
      <c r="B75" s="7">
        <v>1950.25</v>
      </c>
      <c r="C75" s="49">
        <f t="shared" si="0"/>
        <v>3.1584244418283339E-3</v>
      </c>
      <c r="D75" s="8">
        <v>549.9</v>
      </c>
      <c r="E75" s="49">
        <f t="shared" si="1"/>
        <v>-9.2316702326655058E-3</v>
      </c>
      <c r="F75" s="7">
        <v>2456.25</v>
      </c>
      <c r="G75" s="49">
        <f t="shared" si="2"/>
        <v>-1.7174820001843519E-2</v>
      </c>
      <c r="H75" s="7">
        <v>1226.5999999999999</v>
      </c>
      <c r="I75" s="23">
        <f t="shared" si="3"/>
        <v>-1.2074211756338004E-2</v>
      </c>
      <c r="J75" s="7">
        <v>1649</v>
      </c>
      <c r="K75" s="23">
        <f t="shared" si="4"/>
        <v>-4.2662051665144345E-3</v>
      </c>
      <c r="L75" s="7">
        <v>10400</v>
      </c>
      <c r="M75" s="9">
        <f t="shared" si="5"/>
        <v>2.7634301429444487E-3</v>
      </c>
      <c r="N75" s="7">
        <v>13990.3</v>
      </c>
      <c r="O75" s="23">
        <f t="shared" si="6"/>
        <v>7.1290210496240569E-2</v>
      </c>
      <c r="P75" s="7">
        <v>5479.35</v>
      </c>
      <c r="Q75" s="23">
        <f t="shared" si="7"/>
        <v>-3.5161267779299514E-3</v>
      </c>
      <c r="R75" s="7">
        <v>1811.85</v>
      </c>
      <c r="S75" s="23">
        <f t="shared" si="8"/>
        <v>-5.2418855434485201E-4</v>
      </c>
      <c r="T75" s="7">
        <v>6989.3</v>
      </c>
      <c r="U75" s="23">
        <f t="shared" si="9"/>
        <v>-3.4920999134934435E-3</v>
      </c>
      <c r="V75" s="7">
        <v>3125.75</v>
      </c>
      <c r="W75" s="23">
        <f t="shared" si="10"/>
        <v>-6.5052286996126005E-3</v>
      </c>
      <c r="X75" s="7">
        <v>2841.75</v>
      </c>
      <c r="Y75" s="23">
        <f t="shared" si="11"/>
        <v>4.6204935475240147E-3</v>
      </c>
      <c r="Z75" s="7">
        <v>8235.4500000000007</v>
      </c>
      <c r="AA75" s="23">
        <f t="shared" si="12"/>
        <v>0.11827493302372001</v>
      </c>
      <c r="AB75" s="10">
        <v>695.2</v>
      </c>
      <c r="AC75" s="23">
        <f t="shared" si="13"/>
        <v>1.9243232578298207E-2</v>
      </c>
      <c r="AD75" s="11">
        <v>13188.35</v>
      </c>
      <c r="AE75" s="23">
        <f t="shared" si="14"/>
        <v>2.8105128457536391E-2</v>
      </c>
    </row>
    <row r="76" spans="1:31" ht="13.8">
      <c r="A76" s="13">
        <v>45552</v>
      </c>
      <c r="B76" s="7">
        <v>1952.55</v>
      </c>
      <c r="C76" s="49">
        <f t="shared" si="0"/>
        <v>1.1786411121564935E-3</v>
      </c>
      <c r="D76" s="8">
        <v>544.20000000000005</v>
      </c>
      <c r="E76" s="49">
        <f t="shared" si="1"/>
        <v>-1.0419617164622936E-2</v>
      </c>
      <c r="F76" s="7">
        <v>2455.4499999999998</v>
      </c>
      <c r="G76" s="49">
        <f t="shared" si="2"/>
        <v>-3.2575279722890909E-4</v>
      </c>
      <c r="H76" s="7">
        <v>1193.8</v>
      </c>
      <c r="I76" s="23">
        <f t="shared" si="3"/>
        <v>-2.71046174573338E-2</v>
      </c>
      <c r="J76" s="7">
        <v>1651.55</v>
      </c>
      <c r="K76" s="23">
        <f t="shared" si="4"/>
        <v>1.5451973200662659E-3</v>
      </c>
      <c r="L76" s="7">
        <v>10369.9</v>
      </c>
      <c r="M76" s="9">
        <f t="shared" si="5"/>
        <v>-2.8984271539299173E-3</v>
      </c>
      <c r="N76" s="7">
        <v>14091.3</v>
      </c>
      <c r="O76" s="23">
        <f t="shared" si="6"/>
        <v>7.1933533355948024E-3</v>
      </c>
      <c r="P76" s="7">
        <v>5452.2</v>
      </c>
      <c r="Q76" s="23">
        <f t="shared" si="7"/>
        <v>-4.9672838389241934E-3</v>
      </c>
      <c r="R76" s="7">
        <v>1813.75</v>
      </c>
      <c r="S76" s="23">
        <f t="shared" si="8"/>
        <v>1.0481024790005061E-3</v>
      </c>
      <c r="T76" s="7">
        <v>6998.55</v>
      </c>
      <c r="U76" s="23">
        <f t="shared" si="9"/>
        <v>1.322576571574451E-3</v>
      </c>
      <c r="V76" s="7">
        <v>3177.8</v>
      </c>
      <c r="W76" s="23">
        <f t="shared" si="10"/>
        <v>1.6514879079157697E-2</v>
      </c>
      <c r="X76" s="7">
        <v>2818.75</v>
      </c>
      <c r="Y76" s="23">
        <f t="shared" si="11"/>
        <v>-8.1265353158313808E-3</v>
      </c>
      <c r="Z76" s="7">
        <v>7737.85</v>
      </c>
      <c r="AA76" s="23">
        <f t="shared" si="12"/>
        <v>-6.232413570890856E-2</v>
      </c>
      <c r="AB76" s="10">
        <v>692</v>
      </c>
      <c r="AC76" s="23">
        <f t="shared" si="13"/>
        <v>-4.6136183335128327E-3</v>
      </c>
      <c r="AD76" s="11">
        <v>13139.4</v>
      </c>
      <c r="AE76" s="23">
        <f t="shared" si="14"/>
        <v>-3.7185142219934701E-3</v>
      </c>
    </row>
    <row r="77" spans="1:31" ht="13.8">
      <c r="A77" s="13">
        <v>45553</v>
      </c>
      <c r="B77" s="7">
        <v>1892.15</v>
      </c>
      <c r="C77" s="49">
        <f t="shared" si="0"/>
        <v>-3.1422461927410106E-2</v>
      </c>
      <c r="D77" s="8">
        <v>547.45000000000005</v>
      </c>
      <c r="E77" s="49">
        <f t="shared" si="1"/>
        <v>5.954306970288056E-3</v>
      </c>
      <c r="F77" s="7">
        <v>2395.6</v>
      </c>
      <c r="G77" s="49">
        <f t="shared" si="2"/>
        <v>-2.4676322430035195E-2</v>
      </c>
      <c r="H77" s="7">
        <v>1166.4000000000001</v>
      </c>
      <c r="I77" s="23">
        <f t="shared" si="3"/>
        <v>-2.3219414480155662E-2</v>
      </c>
      <c r="J77" s="7">
        <v>1605.4</v>
      </c>
      <c r="K77" s="23">
        <f t="shared" si="4"/>
        <v>-2.8341294182188635E-2</v>
      </c>
      <c r="L77" s="7">
        <v>10793</v>
      </c>
      <c r="M77" s="9">
        <f t="shared" si="5"/>
        <v>3.9990396849812308E-2</v>
      </c>
      <c r="N77" s="7">
        <v>14061</v>
      </c>
      <c r="O77" s="23">
        <f t="shared" si="6"/>
        <v>-2.1525780628807245E-3</v>
      </c>
      <c r="P77" s="7">
        <v>5469.15</v>
      </c>
      <c r="Q77" s="23">
        <f t="shared" si="7"/>
        <v>3.1040143589028233E-3</v>
      </c>
      <c r="R77" s="7">
        <v>1756.5</v>
      </c>
      <c r="S77" s="23">
        <f t="shared" si="8"/>
        <v>-3.207333249251583E-2</v>
      </c>
      <c r="T77" s="7">
        <v>6860.75</v>
      </c>
      <c r="U77" s="23">
        <f t="shared" si="9"/>
        <v>-1.9886219533295987E-2</v>
      </c>
      <c r="V77" s="7">
        <v>3004.4</v>
      </c>
      <c r="W77" s="23">
        <f t="shared" si="10"/>
        <v>-5.6111252642409917E-2</v>
      </c>
      <c r="X77" s="7">
        <v>2784.75</v>
      </c>
      <c r="Y77" s="23">
        <f t="shared" si="11"/>
        <v>-1.2135421525689347E-2</v>
      </c>
      <c r="Z77" s="7">
        <v>7580.55</v>
      </c>
      <c r="AA77" s="23">
        <f t="shared" si="12"/>
        <v>-2.0538114847733716E-2</v>
      </c>
      <c r="AB77" s="10">
        <v>695.3</v>
      </c>
      <c r="AC77" s="23">
        <f t="shared" si="13"/>
        <v>4.7574514873024148E-3</v>
      </c>
      <c r="AD77" s="11">
        <v>12927.2</v>
      </c>
      <c r="AE77" s="23">
        <f t="shared" si="14"/>
        <v>-1.6281731237561266E-2</v>
      </c>
    </row>
    <row r="78" spans="1:31" ht="13.8">
      <c r="A78" s="13">
        <v>45554</v>
      </c>
      <c r="B78" s="7">
        <v>1894.2</v>
      </c>
      <c r="C78" s="49">
        <f t="shared" si="0"/>
        <v>1.0828371388318981E-3</v>
      </c>
      <c r="D78" s="8">
        <v>542.45000000000005</v>
      </c>
      <c r="E78" s="49">
        <f t="shared" si="1"/>
        <v>-9.175218050974215E-3</v>
      </c>
      <c r="F78" s="7">
        <v>2426.0500000000002</v>
      </c>
      <c r="G78" s="49">
        <f t="shared" si="2"/>
        <v>1.2630698959011959E-2</v>
      </c>
      <c r="H78" s="7">
        <v>1121.3</v>
      </c>
      <c r="I78" s="23">
        <f t="shared" si="3"/>
        <v>-3.943335578755882E-2</v>
      </c>
      <c r="J78" s="7">
        <v>1595.35</v>
      </c>
      <c r="K78" s="23">
        <f t="shared" si="4"/>
        <v>-6.2797988143542469E-3</v>
      </c>
      <c r="L78" s="7">
        <v>10766.9</v>
      </c>
      <c r="M78" s="9">
        <f t="shared" si="5"/>
        <v>-2.4211626909134351E-3</v>
      </c>
      <c r="N78" s="7">
        <v>13748.4</v>
      </c>
      <c r="O78" s="23">
        <f t="shared" si="6"/>
        <v>-2.2482553903235333E-2</v>
      </c>
      <c r="P78" s="7">
        <v>5429.2</v>
      </c>
      <c r="Q78" s="23">
        <f t="shared" si="7"/>
        <v>-7.3314178644489792E-3</v>
      </c>
      <c r="R78" s="7">
        <v>1736.5</v>
      </c>
      <c r="S78" s="23">
        <f t="shared" si="8"/>
        <v>-1.1451599521752988E-2</v>
      </c>
      <c r="T78" s="7">
        <v>6915.6</v>
      </c>
      <c r="U78" s="23">
        <f t="shared" si="9"/>
        <v>7.9629640406543474E-3</v>
      </c>
      <c r="V78" s="7">
        <v>2978.25</v>
      </c>
      <c r="W78" s="23">
        <f t="shared" si="10"/>
        <v>-8.7420011323862054E-3</v>
      </c>
      <c r="X78" s="7">
        <v>2770.6</v>
      </c>
      <c r="Y78" s="23">
        <f t="shared" si="11"/>
        <v>-5.0941995015204959E-3</v>
      </c>
      <c r="Z78" s="7">
        <v>7777.55</v>
      </c>
      <c r="AA78" s="23">
        <f t="shared" si="12"/>
        <v>2.5655622181287554E-2</v>
      </c>
      <c r="AB78" s="10">
        <v>697</v>
      </c>
      <c r="AC78" s="23">
        <f t="shared" si="13"/>
        <v>2.4420036555518089E-3</v>
      </c>
      <c r="AD78" s="11">
        <v>12694.85</v>
      </c>
      <c r="AE78" s="23">
        <f t="shared" si="14"/>
        <v>-1.8137219264527705E-2</v>
      </c>
    </row>
    <row r="79" spans="1:31" ht="13.8">
      <c r="A79" s="13">
        <v>45555</v>
      </c>
      <c r="B79" s="7">
        <v>1905.75</v>
      </c>
      <c r="C79" s="49">
        <f t="shared" si="0"/>
        <v>6.0790460763821925E-3</v>
      </c>
      <c r="D79" s="8">
        <v>539.9</v>
      </c>
      <c r="E79" s="49">
        <f t="shared" si="1"/>
        <v>-4.7119780442184834E-3</v>
      </c>
      <c r="F79" s="7">
        <v>2535.75</v>
      </c>
      <c r="G79" s="49">
        <f t="shared" si="2"/>
        <v>4.4225030906785687E-2</v>
      </c>
      <c r="H79" s="7">
        <v>1149.4000000000001</v>
      </c>
      <c r="I79" s="23">
        <f t="shared" si="3"/>
        <v>2.4751340606806269E-2</v>
      </c>
      <c r="J79" s="7">
        <v>1622.05</v>
      </c>
      <c r="K79" s="23">
        <f t="shared" si="4"/>
        <v>1.6597633457687385E-2</v>
      </c>
      <c r="L79" s="7">
        <v>11163.4</v>
      </c>
      <c r="M79" s="9">
        <f t="shared" si="5"/>
        <v>3.6163956899795707E-2</v>
      </c>
      <c r="N79" s="7">
        <v>13995.6</v>
      </c>
      <c r="O79" s="23">
        <f t="shared" si="6"/>
        <v>1.7820540797424064E-2</v>
      </c>
      <c r="P79" s="7">
        <v>5450.75</v>
      </c>
      <c r="Q79" s="23">
        <f t="shared" si="7"/>
        <v>3.9614204443476266E-3</v>
      </c>
      <c r="R79" s="7">
        <v>1760.05</v>
      </c>
      <c r="S79" s="23">
        <f t="shared" si="8"/>
        <v>1.3470624535447335E-2</v>
      </c>
      <c r="T79" s="7">
        <v>6945.35</v>
      </c>
      <c r="U79" s="23">
        <f t="shared" si="9"/>
        <v>4.2926416563116238E-3</v>
      </c>
      <c r="V79" s="7">
        <v>3028.35</v>
      </c>
      <c r="W79" s="23">
        <f t="shared" si="10"/>
        <v>1.6682037044871978E-2</v>
      </c>
      <c r="X79" s="7">
        <v>2815.6</v>
      </c>
      <c r="Y79" s="23">
        <f t="shared" si="11"/>
        <v>1.6111479510197927E-2</v>
      </c>
      <c r="Z79" s="7">
        <v>7598.15</v>
      </c>
      <c r="AA79" s="23">
        <f t="shared" si="12"/>
        <v>-2.3336581962078481E-2</v>
      </c>
      <c r="AB79" s="10">
        <v>709</v>
      </c>
      <c r="AC79" s="23">
        <f t="shared" si="13"/>
        <v>1.7070115771603719E-2</v>
      </c>
      <c r="AD79" s="11">
        <v>12803.6</v>
      </c>
      <c r="AE79" s="23">
        <f t="shared" si="14"/>
        <v>8.5299819708310291E-3</v>
      </c>
    </row>
    <row r="80" spans="1:31" ht="13.8">
      <c r="A80" s="13">
        <v>45558</v>
      </c>
      <c r="B80" s="7">
        <v>1896.45</v>
      </c>
      <c r="C80" s="49">
        <f t="shared" si="0"/>
        <v>-4.8919144423667134E-3</v>
      </c>
      <c r="D80" s="8">
        <v>560.20000000000005</v>
      </c>
      <c r="E80" s="49">
        <f t="shared" si="1"/>
        <v>3.690992560176707E-2</v>
      </c>
      <c r="F80" s="7">
        <v>2650.25</v>
      </c>
      <c r="G80" s="49">
        <f t="shared" si="2"/>
        <v>4.4164523897102008E-2</v>
      </c>
      <c r="H80" s="7">
        <v>1162.75</v>
      </c>
      <c r="I80" s="23">
        <f t="shared" si="3"/>
        <v>1.1547822030565246E-2</v>
      </c>
      <c r="J80" s="7">
        <v>1607.15</v>
      </c>
      <c r="K80" s="23">
        <f t="shared" si="4"/>
        <v>-9.2283573289888184E-3</v>
      </c>
      <c r="L80" s="7">
        <v>11085.35</v>
      </c>
      <c r="M80" s="9">
        <f t="shared" si="5"/>
        <v>-7.0161532829027557E-3</v>
      </c>
      <c r="N80" s="7">
        <v>14254.85</v>
      </c>
      <c r="O80" s="23">
        <f t="shared" si="6"/>
        <v>1.8354205182763792E-2</v>
      </c>
      <c r="P80" s="7">
        <v>5372.85</v>
      </c>
      <c r="Q80" s="23">
        <f t="shared" si="7"/>
        <v>-1.4394719893633678E-2</v>
      </c>
      <c r="R80" s="7">
        <v>1752.8</v>
      </c>
      <c r="S80" s="23">
        <f t="shared" si="8"/>
        <v>-4.1277084383191786E-3</v>
      </c>
      <c r="T80" s="7">
        <v>6885.3</v>
      </c>
      <c r="U80" s="23">
        <f t="shared" si="9"/>
        <v>-8.683666688702801E-3</v>
      </c>
      <c r="V80" s="7">
        <v>3042.4</v>
      </c>
      <c r="W80" s="23">
        <f t="shared" si="10"/>
        <v>4.6287608897074553E-3</v>
      </c>
      <c r="X80" s="7">
        <v>2845.2</v>
      </c>
      <c r="Y80" s="23">
        <f t="shared" si="11"/>
        <v>1.0457981125383554E-2</v>
      </c>
      <c r="Z80" s="7">
        <v>7352.35</v>
      </c>
      <c r="AA80" s="23">
        <f t="shared" si="12"/>
        <v>-3.2884806594108688E-2</v>
      </c>
      <c r="AB80" s="10">
        <v>702.5</v>
      </c>
      <c r="AC80" s="23">
        <f t="shared" si="13"/>
        <v>-9.2101253242266538E-3</v>
      </c>
      <c r="AD80" s="11">
        <v>12722.85</v>
      </c>
      <c r="AE80" s="23">
        <f t="shared" si="14"/>
        <v>-6.3267919633868937E-3</v>
      </c>
    </row>
    <row r="81" spans="1:31" ht="13.8">
      <c r="A81" s="13">
        <v>45559</v>
      </c>
      <c r="B81" s="7">
        <v>1898.6</v>
      </c>
      <c r="C81" s="49">
        <f t="shared" si="0"/>
        <v>1.1330550216817094E-3</v>
      </c>
      <c r="D81" s="8">
        <v>563.1</v>
      </c>
      <c r="E81" s="49">
        <f t="shared" si="1"/>
        <v>5.163369434564676E-3</v>
      </c>
      <c r="F81" s="7">
        <v>2734.3</v>
      </c>
      <c r="G81" s="49">
        <f t="shared" si="2"/>
        <v>3.1221486445173603E-2</v>
      </c>
      <c r="H81" s="7">
        <v>1141.2</v>
      </c>
      <c r="I81" s="23">
        <f t="shared" si="3"/>
        <v>-1.8707548764861429E-2</v>
      </c>
      <c r="J81" s="7">
        <v>1637.1</v>
      </c>
      <c r="K81" s="23">
        <f t="shared" si="4"/>
        <v>1.8463959848474952E-2</v>
      </c>
      <c r="L81" s="7">
        <v>10842.05</v>
      </c>
      <c r="M81" s="9">
        <f t="shared" si="5"/>
        <v>-2.2192324246417053E-2</v>
      </c>
      <c r="N81" s="7">
        <v>14340.85</v>
      </c>
      <c r="O81" s="23">
        <f t="shared" si="6"/>
        <v>6.0149084850915028E-3</v>
      </c>
      <c r="P81" s="7">
        <v>5375.8</v>
      </c>
      <c r="Q81" s="23">
        <f t="shared" si="7"/>
        <v>5.4890615548361236E-4</v>
      </c>
      <c r="R81" s="7">
        <v>1775.6</v>
      </c>
      <c r="S81" s="23">
        <f t="shared" si="8"/>
        <v>1.2923884678623477E-2</v>
      </c>
      <c r="T81" s="7">
        <v>6998</v>
      </c>
      <c r="U81" s="23">
        <f t="shared" si="9"/>
        <v>1.6235689729403625E-2</v>
      </c>
      <c r="V81" s="7">
        <v>3072.15</v>
      </c>
      <c r="W81" s="23">
        <f t="shared" si="10"/>
        <v>9.7309645864588745E-3</v>
      </c>
      <c r="X81" s="7">
        <v>2868.7</v>
      </c>
      <c r="Y81" s="23">
        <f t="shared" si="11"/>
        <v>8.2256016037052619E-3</v>
      </c>
      <c r="Z81" s="7">
        <v>7307.65</v>
      </c>
      <c r="AA81" s="23">
        <f t="shared" si="12"/>
        <v>-6.098245365271069E-3</v>
      </c>
      <c r="AB81" s="10">
        <v>705.1</v>
      </c>
      <c r="AC81" s="23">
        <f t="shared" si="13"/>
        <v>3.6942355170940665E-3</v>
      </c>
      <c r="AD81" s="11">
        <v>12799.15</v>
      </c>
      <c r="AE81" s="23">
        <f t="shared" si="14"/>
        <v>5.9791730517613764E-3</v>
      </c>
    </row>
    <row r="82" spans="1:31" ht="13.8">
      <c r="A82" s="13">
        <v>45560</v>
      </c>
      <c r="B82" s="7">
        <v>1895.3</v>
      </c>
      <c r="C82" s="49">
        <f t="shared" si="0"/>
        <v>-1.7396351154435896E-3</v>
      </c>
      <c r="D82" s="8">
        <v>555.95000000000005</v>
      </c>
      <c r="E82" s="49">
        <f t="shared" si="1"/>
        <v>-1.2778870111314527E-2</v>
      </c>
      <c r="F82" s="7">
        <v>2701.3</v>
      </c>
      <c r="G82" s="49">
        <f t="shared" si="2"/>
        <v>-1.2142322999494142E-2</v>
      </c>
      <c r="H82" s="7">
        <v>1118.45</v>
      </c>
      <c r="I82" s="23">
        <f t="shared" si="3"/>
        <v>-2.0136542135223669E-2</v>
      </c>
      <c r="J82" s="7">
        <v>1602.75</v>
      </c>
      <c r="K82" s="23">
        <f t="shared" si="4"/>
        <v>-2.1205479992929193E-2</v>
      </c>
      <c r="L82" s="7">
        <v>10686.35</v>
      </c>
      <c r="M82" s="9">
        <f t="shared" si="5"/>
        <v>-1.4464866388621414E-2</v>
      </c>
      <c r="N82" s="7">
        <v>14171.9</v>
      </c>
      <c r="O82" s="23">
        <f t="shared" si="6"/>
        <v>-1.1850977359482274E-2</v>
      </c>
      <c r="P82" s="7">
        <v>5394.3</v>
      </c>
      <c r="Q82" s="23">
        <f t="shared" si="7"/>
        <v>3.4354403756943846E-3</v>
      </c>
      <c r="R82" s="7">
        <v>1782.4</v>
      </c>
      <c r="S82" s="23">
        <f t="shared" si="8"/>
        <v>3.8223767730847691E-3</v>
      </c>
      <c r="T82" s="7">
        <v>6906.8</v>
      </c>
      <c r="U82" s="23">
        <f t="shared" si="9"/>
        <v>-1.3117960389358082E-2</v>
      </c>
      <c r="V82" s="7">
        <v>3018.5</v>
      </c>
      <c r="W82" s="23">
        <f t="shared" si="10"/>
        <v>-1.7617622964027913E-2</v>
      </c>
      <c r="X82" s="7">
        <v>2871.5</v>
      </c>
      <c r="Y82" s="23">
        <f t="shared" si="11"/>
        <v>9.755758412858948E-4</v>
      </c>
      <c r="Z82" s="7">
        <v>7113.85</v>
      </c>
      <c r="AA82" s="23">
        <f t="shared" si="12"/>
        <v>-2.6878156528736877E-2</v>
      </c>
      <c r="AB82" s="10">
        <v>689.2</v>
      </c>
      <c r="AC82" s="23">
        <f t="shared" si="13"/>
        <v>-2.2808132071220295E-2</v>
      </c>
      <c r="AD82" s="11">
        <v>13346.7</v>
      </c>
      <c r="AE82" s="23">
        <f t="shared" si="14"/>
        <v>4.1890400807710143E-2</v>
      </c>
    </row>
    <row r="83" spans="1:31" ht="13.8">
      <c r="A83" s="13">
        <v>45561</v>
      </c>
      <c r="B83" s="7">
        <v>1900.25</v>
      </c>
      <c r="C83" s="49">
        <f t="shared" si="0"/>
        <v>2.6083191138953068E-3</v>
      </c>
      <c r="D83" s="8">
        <v>543.70000000000005</v>
      </c>
      <c r="E83" s="49">
        <f t="shared" si="1"/>
        <v>-2.2280737997383226E-2</v>
      </c>
      <c r="F83" s="7">
        <v>2685.15</v>
      </c>
      <c r="G83" s="49">
        <f t="shared" si="2"/>
        <v>-5.9965462945761275E-3</v>
      </c>
      <c r="H83" s="7">
        <v>1123.6500000000001</v>
      </c>
      <c r="I83" s="23">
        <f t="shared" si="3"/>
        <v>4.6385168578803333E-3</v>
      </c>
      <c r="J83" s="7">
        <v>1606.95</v>
      </c>
      <c r="K83" s="23">
        <f t="shared" si="4"/>
        <v>2.6170685093101407E-3</v>
      </c>
      <c r="L83" s="7">
        <v>10815.3</v>
      </c>
      <c r="M83" s="9">
        <f t="shared" si="5"/>
        <v>1.1994572137186032E-2</v>
      </c>
      <c r="N83" s="7">
        <v>14100</v>
      </c>
      <c r="O83" s="23">
        <f t="shared" si="6"/>
        <v>-5.0863334271180217E-3</v>
      </c>
      <c r="P83" s="7">
        <v>5379.3</v>
      </c>
      <c r="Q83" s="23">
        <f t="shared" si="7"/>
        <v>-2.7845863392738121E-3</v>
      </c>
      <c r="R83" s="7">
        <v>1783.85</v>
      </c>
      <c r="S83" s="23">
        <f t="shared" si="8"/>
        <v>8.1317915451929713E-4</v>
      </c>
      <c r="T83" s="7">
        <v>6874.25</v>
      </c>
      <c r="U83" s="23">
        <f t="shared" si="9"/>
        <v>-4.7238868634401276E-3</v>
      </c>
      <c r="V83" s="7">
        <v>3053.7</v>
      </c>
      <c r="W83" s="23">
        <f t="shared" si="10"/>
        <v>1.1593950889923014E-2</v>
      </c>
      <c r="X83" s="7">
        <v>2891.1</v>
      </c>
      <c r="Y83" s="23">
        <f t="shared" si="11"/>
        <v>6.80251122100027E-3</v>
      </c>
      <c r="Z83" s="7">
        <v>7136.95</v>
      </c>
      <c r="AA83" s="23">
        <f t="shared" si="12"/>
        <v>3.2419260998553831E-3</v>
      </c>
      <c r="AB83" s="10">
        <v>693.6</v>
      </c>
      <c r="AC83" s="23">
        <f t="shared" si="13"/>
        <v>6.3639208125574097E-3</v>
      </c>
      <c r="AD83" s="11">
        <v>13516</v>
      </c>
      <c r="AE83" s="23">
        <f t="shared" si="14"/>
        <v>1.2605005573754642E-2</v>
      </c>
    </row>
    <row r="84" spans="1:31" ht="13.8">
      <c r="A84" s="13">
        <v>45562</v>
      </c>
      <c r="B84" s="7">
        <v>1906.75</v>
      </c>
      <c r="C84" s="49">
        <f t="shared" si="0"/>
        <v>3.4147655981982016E-3</v>
      </c>
      <c r="D84" s="8">
        <v>556.1</v>
      </c>
      <c r="E84" s="49">
        <f t="shared" si="1"/>
        <v>2.2550510041643185E-2</v>
      </c>
      <c r="F84" s="7">
        <v>2592</v>
      </c>
      <c r="G84" s="49">
        <f t="shared" si="2"/>
        <v>-3.5306813832144956E-2</v>
      </c>
      <c r="H84" s="7">
        <v>1130.25</v>
      </c>
      <c r="I84" s="23">
        <f t="shared" si="3"/>
        <v>5.8565321127127482E-3</v>
      </c>
      <c r="J84" s="7">
        <v>1609.25</v>
      </c>
      <c r="K84" s="23">
        <f t="shared" si="4"/>
        <v>1.4302595560483859E-3</v>
      </c>
      <c r="L84" s="7">
        <v>10543.45</v>
      </c>
      <c r="M84" s="9">
        <f t="shared" si="5"/>
        <v>-2.5456984238911538E-2</v>
      </c>
      <c r="N84" s="7">
        <v>14037.65</v>
      </c>
      <c r="O84" s="23">
        <f t="shared" si="6"/>
        <v>-4.4317917132507051E-3</v>
      </c>
      <c r="P84" s="7">
        <v>5457.9</v>
      </c>
      <c r="Q84" s="23">
        <f t="shared" si="7"/>
        <v>1.4505846204439496E-2</v>
      </c>
      <c r="R84" s="7">
        <v>1808.4</v>
      </c>
      <c r="S84" s="23">
        <f t="shared" si="8"/>
        <v>1.3668526532966024E-2</v>
      </c>
      <c r="T84" s="7">
        <v>6935.35</v>
      </c>
      <c r="U84" s="23">
        <f t="shared" si="9"/>
        <v>8.8489744379448218E-3</v>
      </c>
      <c r="V84" s="7">
        <v>3082.6</v>
      </c>
      <c r="W84" s="23">
        <f t="shared" si="10"/>
        <v>9.4194265862156158E-3</v>
      </c>
      <c r="X84" s="7">
        <v>2949.7</v>
      </c>
      <c r="Y84" s="23">
        <f t="shared" si="11"/>
        <v>2.0066417721981318E-2</v>
      </c>
      <c r="Z84" s="7">
        <v>6998.05</v>
      </c>
      <c r="AA84" s="23">
        <f t="shared" si="12"/>
        <v>-1.9653975401165234E-2</v>
      </c>
      <c r="AB84" s="10">
        <v>692.45</v>
      </c>
      <c r="AC84" s="23">
        <f t="shared" si="13"/>
        <v>-1.6593921776053536E-3</v>
      </c>
      <c r="AD84" s="11">
        <v>13647.7</v>
      </c>
      <c r="AE84" s="23">
        <f t="shared" si="14"/>
        <v>9.6968404130157882E-3</v>
      </c>
    </row>
    <row r="85" spans="1:31" ht="13.8">
      <c r="A85" s="13">
        <v>45565</v>
      </c>
      <c r="B85" s="7">
        <v>1875.6</v>
      </c>
      <c r="C85" s="49">
        <f t="shared" si="0"/>
        <v>-1.6471613828916792E-2</v>
      </c>
      <c r="D85" s="8">
        <v>558.6</v>
      </c>
      <c r="E85" s="49">
        <f t="shared" si="1"/>
        <v>4.4855193175581572E-3</v>
      </c>
      <c r="F85" s="7">
        <v>2520.6999999999998</v>
      </c>
      <c r="G85" s="49">
        <f t="shared" si="2"/>
        <v>-2.7893137762022475E-2</v>
      </c>
      <c r="H85" s="7">
        <v>1160</v>
      </c>
      <c r="I85" s="23">
        <f t="shared" si="3"/>
        <v>2.5981157925695698E-2</v>
      </c>
      <c r="J85" s="7">
        <v>1577.2</v>
      </c>
      <c r="K85" s="23">
        <f t="shared" si="4"/>
        <v>-2.0117108929253055E-2</v>
      </c>
      <c r="L85" s="7">
        <v>10494.7</v>
      </c>
      <c r="M85" s="9">
        <f t="shared" si="5"/>
        <v>-4.6344462088839522E-3</v>
      </c>
      <c r="N85" s="7">
        <v>13802.95</v>
      </c>
      <c r="O85" s="23">
        <f t="shared" si="6"/>
        <v>-1.6860668236918799E-2</v>
      </c>
      <c r="P85" s="7">
        <v>5443.35</v>
      </c>
      <c r="Q85" s="23">
        <f t="shared" si="7"/>
        <v>-2.669420229796801E-3</v>
      </c>
      <c r="R85" s="7">
        <v>1796.1</v>
      </c>
      <c r="S85" s="23">
        <f t="shared" si="8"/>
        <v>-6.8248288210341537E-3</v>
      </c>
      <c r="T85" s="7">
        <v>7016.45</v>
      </c>
      <c r="U85" s="23">
        <f t="shared" si="9"/>
        <v>1.1625870993018563E-2</v>
      </c>
      <c r="V85" s="7">
        <v>3010.4</v>
      </c>
      <c r="W85" s="23">
        <f t="shared" si="10"/>
        <v>-2.3700436433391814E-2</v>
      </c>
      <c r="X85" s="7">
        <v>2839.85</v>
      </c>
      <c r="Y85" s="23">
        <f t="shared" si="11"/>
        <v>-3.7952236388351081E-2</v>
      </c>
      <c r="Z85" s="7">
        <v>6977.6</v>
      </c>
      <c r="AA85" s="23">
        <f t="shared" si="12"/>
        <v>-2.9265207121491085E-3</v>
      </c>
      <c r="AB85" s="10">
        <v>695.4</v>
      </c>
      <c r="AC85" s="23">
        <f t="shared" si="13"/>
        <v>4.2511862850342971E-3</v>
      </c>
      <c r="AD85" s="11">
        <v>14545.3</v>
      </c>
      <c r="AE85" s="23">
        <f t="shared" si="14"/>
        <v>6.3696908113951317E-2</v>
      </c>
    </row>
    <row r="86" spans="1:31" ht="13.8">
      <c r="A86" s="12">
        <v>45566</v>
      </c>
      <c r="B86" s="7">
        <v>1904.35</v>
      </c>
      <c r="C86" s="49">
        <f t="shared" si="0"/>
        <v>1.5212134771816462E-2</v>
      </c>
      <c r="D86" s="8">
        <v>579.15</v>
      </c>
      <c r="E86" s="49">
        <f t="shared" si="1"/>
        <v>3.6127857867278609E-2</v>
      </c>
      <c r="F86" s="7">
        <v>2578.9499999999998</v>
      </c>
      <c r="G86" s="49">
        <f t="shared" si="2"/>
        <v>2.2845698623823095E-2</v>
      </c>
      <c r="H86" s="7">
        <v>1127.2</v>
      </c>
      <c r="I86" s="23">
        <f t="shared" si="3"/>
        <v>-2.8683323515939836E-2</v>
      </c>
      <c r="J86" s="7">
        <v>1625.4</v>
      </c>
      <c r="K86" s="23">
        <f t="shared" si="4"/>
        <v>3.0102816315632424E-2</v>
      </c>
      <c r="L86" s="7">
        <v>10605.7</v>
      </c>
      <c r="M86" s="9">
        <f t="shared" si="5"/>
        <v>1.0521224615425286E-2</v>
      </c>
      <c r="N86" s="7">
        <v>14195.8</v>
      </c>
      <c r="O86" s="23">
        <f t="shared" si="6"/>
        <v>2.806380877542642E-2</v>
      </c>
      <c r="P86" s="7">
        <v>5423.8</v>
      </c>
      <c r="Q86" s="23">
        <f t="shared" si="7"/>
        <v>-3.5980033570129515E-3</v>
      </c>
      <c r="R86" s="7">
        <v>1816.5</v>
      </c>
      <c r="S86" s="23">
        <f t="shared" si="8"/>
        <v>1.1293925061840581E-2</v>
      </c>
      <c r="T86" s="7">
        <v>7126.45</v>
      </c>
      <c r="U86" s="23">
        <f t="shared" si="9"/>
        <v>1.5555822097881568E-2</v>
      </c>
      <c r="V86" s="7">
        <v>3015.6</v>
      </c>
      <c r="W86" s="23">
        <f t="shared" si="10"/>
        <v>1.725855058319156E-3</v>
      </c>
      <c r="X86" s="7">
        <v>2838.65</v>
      </c>
      <c r="Y86" s="23">
        <f t="shared" si="11"/>
        <v>-4.2264683203758558E-4</v>
      </c>
      <c r="Z86" s="7">
        <v>6819.3</v>
      </c>
      <c r="AA86" s="23">
        <f t="shared" si="12"/>
        <v>-2.2948190814954993E-2</v>
      </c>
      <c r="AB86" s="10">
        <v>693.65</v>
      </c>
      <c r="AC86" s="23">
        <f t="shared" si="13"/>
        <v>-2.5197090470264593E-3</v>
      </c>
      <c r="AD86" s="11">
        <v>14278.9</v>
      </c>
      <c r="AE86" s="23">
        <f t="shared" si="14"/>
        <v>-1.8484994246922643E-2</v>
      </c>
    </row>
    <row r="87" spans="1:31" ht="13.8">
      <c r="A87" s="12">
        <v>45568</v>
      </c>
      <c r="B87" s="7">
        <v>1893.4</v>
      </c>
      <c r="C87" s="49">
        <f t="shared" si="0"/>
        <v>-5.7665882924566574E-3</v>
      </c>
      <c r="D87" s="8">
        <v>595.45000000000005</v>
      </c>
      <c r="E87" s="49">
        <f t="shared" si="1"/>
        <v>2.7755910835649791E-2</v>
      </c>
      <c r="F87" s="7">
        <v>2537.8000000000002</v>
      </c>
      <c r="G87" s="49">
        <f t="shared" si="2"/>
        <v>-1.6084775371151466E-2</v>
      </c>
      <c r="H87" s="7">
        <v>1122.9000000000001</v>
      </c>
      <c r="I87" s="23">
        <f t="shared" si="3"/>
        <v>-3.8220570059774054E-3</v>
      </c>
      <c r="J87" s="7">
        <v>1604.05</v>
      </c>
      <c r="K87" s="23">
        <f t="shared" si="4"/>
        <v>-1.3222258308658108E-2</v>
      </c>
      <c r="L87" s="7">
        <v>10519.1</v>
      </c>
      <c r="M87" s="9">
        <f t="shared" si="5"/>
        <v>-8.1989401199246224E-3</v>
      </c>
      <c r="N87" s="7">
        <v>13619.95</v>
      </c>
      <c r="O87" s="23">
        <f t="shared" si="6"/>
        <v>-4.1410516566704622E-2</v>
      </c>
      <c r="P87" s="7">
        <v>5430.3</v>
      </c>
      <c r="Q87" s="23">
        <f t="shared" si="7"/>
        <v>1.1977042365590566E-3</v>
      </c>
      <c r="R87" s="7">
        <v>1778.55</v>
      </c>
      <c r="S87" s="23">
        <f t="shared" si="8"/>
        <v>-2.1113147089067433E-2</v>
      </c>
      <c r="T87" s="7">
        <v>7060.15</v>
      </c>
      <c r="U87" s="23">
        <f t="shared" si="9"/>
        <v>-9.3469164831716071E-3</v>
      </c>
      <c r="V87" s="7">
        <v>2921</v>
      </c>
      <c r="W87" s="23">
        <f t="shared" si="10"/>
        <v>-3.1872791949805766E-2</v>
      </c>
      <c r="X87" s="7">
        <v>2725.6</v>
      </c>
      <c r="Y87" s="23">
        <f t="shared" si="11"/>
        <v>-4.0639999680187201E-2</v>
      </c>
      <c r="Z87" s="7">
        <v>6596.2</v>
      </c>
      <c r="AA87" s="23">
        <f t="shared" si="12"/>
        <v>-3.326310164682892E-2</v>
      </c>
      <c r="AB87" s="10">
        <v>699.05</v>
      </c>
      <c r="AC87" s="23">
        <f t="shared" si="13"/>
        <v>7.7547599070990781E-3</v>
      </c>
      <c r="AD87" s="11">
        <v>14056.45</v>
      </c>
      <c r="AE87" s="23">
        <f t="shared" si="14"/>
        <v>-1.5701557961803479E-2</v>
      </c>
    </row>
    <row r="88" spans="1:31" ht="13.8">
      <c r="A88" s="12">
        <v>45569</v>
      </c>
      <c r="B88" s="7">
        <v>1918.15</v>
      </c>
      <c r="C88" s="49">
        <f t="shared" si="0"/>
        <v>1.2987025155694302E-2</v>
      </c>
      <c r="D88" s="8">
        <v>569.75</v>
      </c>
      <c r="E88" s="49">
        <f t="shared" si="1"/>
        <v>-4.411975408821131E-2</v>
      </c>
      <c r="F88" s="7">
        <v>2611.65</v>
      </c>
      <c r="G88" s="49">
        <f t="shared" si="2"/>
        <v>2.868464151790296E-2</v>
      </c>
      <c r="H88" s="7">
        <v>1108.3499999999999</v>
      </c>
      <c r="I88" s="23">
        <f t="shared" si="3"/>
        <v>-1.3042201675726832E-2</v>
      </c>
      <c r="J88" s="7">
        <v>1616.45</v>
      </c>
      <c r="K88" s="23">
        <f t="shared" si="4"/>
        <v>7.7007056528506177E-3</v>
      </c>
      <c r="L88" s="7">
        <v>10368.35</v>
      </c>
      <c r="M88" s="9">
        <f t="shared" si="5"/>
        <v>-1.4434755562852156E-2</v>
      </c>
      <c r="N88" s="7">
        <v>13634</v>
      </c>
      <c r="O88" s="23">
        <f t="shared" si="6"/>
        <v>1.0310432979185494E-3</v>
      </c>
      <c r="P88" s="7">
        <v>5425.55</v>
      </c>
      <c r="Q88" s="23">
        <f t="shared" si="7"/>
        <v>-8.751042623345262E-4</v>
      </c>
      <c r="R88" s="7">
        <v>1776.6</v>
      </c>
      <c r="S88" s="23">
        <f t="shared" si="8"/>
        <v>-1.0970002365886828E-3</v>
      </c>
      <c r="T88" s="7">
        <v>7125.55</v>
      </c>
      <c r="U88" s="23">
        <f t="shared" si="9"/>
        <v>9.220618419574127E-3</v>
      </c>
      <c r="V88" s="7">
        <v>2846.6</v>
      </c>
      <c r="W88" s="23">
        <f t="shared" si="10"/>
        <v>-2.5800723751216E-2</v>
      </c>
      <c r="X88" s="7">
        <v>2687.5</v>
      </c>
      <c r="Y88" s="23">
        <f t="shared" si="11"/>
        <v>-1.407719391083853E-2</v>
      </c>
      <c r="Z88" s="7">
        <v>6627.4</v>
      </c>
      <c r="AA88" s="23">
        <f t="shared" si="12"/>
        <v>4.7188447768336328E-3</v>
      </c>
      <c r="AB88" s="10">
        <v>690.2</v>
      </c>
      <c r="AC88" s="23">
        <f t="shared" si="13"/>
        <v>-1.2740859769930482E-2</v>
      </c>
      <c r="AD88" s="11">
        <v>14015.5</v>
      </c>
      <c r="AE88" s="23">
        <f t="shared" si="14"/>
        <v>-2.917505128545612E-3</v>
      </c>
    </row>
    <row r="89" spans="1:31" ht="13.8">
      <c r="A89" s="12">
        <v>45572</v>
      </c>
      <c r="B89" s="7">
        <v>1934.3</v>
      </c>
      <c r="C89" s="49">
        <f t="shared" si="0"/>
        <v>8.3843240575668925E-3</v>
      </c>
      <c r="D89" s="8">
        <v>548.15</v>
      </c>
      <c r="E89" s="49">
        <f t="shared" si="1"/>
        <v>-3.86486960052446E-2</v>
      </c>
      <c r="F89" s="7">
        <v>2561.6999999999998</v>
      </c>
      <c r="G89" s="49">
        <f t="shared" si="2"/>
        <v>-1.9311104899047155E-2</v>
      </c>
      <c r="H89" s="7">
        <v>1109.3</v>
      </c>
      <c r="I89" s="23">
        <f t="shared" si="3"/>
        <v>8.5676284184772083E-4</v>
      </c>
      <c r="J89" s="7">
        <v>1618.55</v>
      </c>
      <c r="K89" s="23">
        <f t="shared" si="4"/>
        <v>1.2983000278064582E-3</v>
      </c>
      <c r="L89" s="7">
        <v>10335</v>
      </c>
      <c r="M89" s="9">
        <f t="shared" si="5"/>
        <v>-3.2217036224577869E-3</v>
      </c>
      <c r="N89" s="7">
        <v>13509.75</v>
      </c>
      <c r="O89" s="23">
        <f t="shared" si="6"/>
        <v>-9.15502595095306E-3</v>
      </c>
      <c r="P89" s="7">
        <v>5404.35</v>
      </c>
      <c r="Q89" s="23">
        <f t="shared" si="7"/>
        <v>-3.9150919360957928E-3</v>
      </c>
      <c r="R89" s="7">
        <v>1776.95</v>
      </c>
      <c r="S89" s="23">
        <f t="shared" si="8"/>
        <v>1.9698611311602245E-4</v>
      </c>
      <c r="T89" s="7">
        <v>7208.05</v>
      </c>
      <c r="U89" s="23">
        <f t="shared" si="9"/>
        <v>1.1511540860991201E-2</v>
      </c>
      <c r="V89" s="7">
        <v>2874.45</v>
      </c>
      <c r="W89" s="23">
        <f t="shared" si="10"/>
        <v>9.7360519460890152E-3</v>
      </c>
      <c r="X89" s="7">
        <v>2637.85</v>
      </c>
      <c r="Y89" s="23">
        <f t="shared" si="11"/>
        <v>-1.8647202033850157E-2</v>
      </c>
      <c r="Z89" s="7">
        <v>6407.1</v>
      </c>
      <c r="AA89" s="23">
        <f t="shared" si="12"/>
        <v>-3.3805819957504722E-2</v>
      </c>
      <c r="AB89" s="10">
        <v>678.8</v>
      </c>
      <c r="AC89" s="23">
        <f t="shared" si="13"/>
        <v>-1.6654877303831927E-2</v>
      </c>
      <c r="AD89" s="11">
        <v>13643.25</v>
      </c>
      <c r="AE89" s="23">
        <f t="shared" si="14"/>
        <v>-2.6918966213440778E-2</v>
      </c>
    </row>
    <row r="90" spans="1:31" ht="13.8">
      <c r="A90" s="12">
        <v>45573</v>
      </c>
      <c r="B90" s="7">
        <v>1948.55</v>
      </c>
      <c r="C90" s="49">
        <f t="shared" si="0"/>
        <v>7.3400023061707806E-3</v>
      </c>
      <c r="D90" s="8">
        <v>556.5</v>
      </c>
      <c r="E90" s="49">
        <f t="shared" si="1"/>
        <v>1.5118198595050493E-2</v>
      </c>
      <c r="F90" s="7">
        <v>2603.5500000000002</v>
      </c>
      <c r="G90" s="49">
        <f t="shared" si="2"/>
        <v>1.6204797753330256E-2</v>
      </c>
      <c r="H90" s="7">
        <v>1149.2</v>
      </c>
      <c r="I90" s="23">
        <f t="shared" si="3"/>
        <v>3.5336862360520555E-2</v>
      </c>
      <c r="J90" s="7">
        <v>1629.1</v>
      </c>
      <c r="K90" s="23">
        <f t="shared" si="4"/>
        <v>6.4970283810203196E-3</v>
      </c>
      <c r="L90" s="7">
        <v>10332.75</v>
      </c>
      <c r="M90" s="9">
        <f t="shared" si="5"/>
        <v>-2.1773052305048554E-4</v>
      </c>
      <c r="N90" s="7">
        <v>14519</v>
      </c>
      <c r="O90" s="23">
        <f t="shared" si="6"/>
        <v>7.2046489511910144E-2</v>
      </c>
      <c r="P90" s="7">
        <v>5547.05</v>
      </c>
      <c r="Q90" s="23">
        <f t="shared" si="7"/>
        <v>2.606207007380049E-2</v>
      </c>
      <c r="R90" s="7">
        <v>1789.45</v>
      </c>
      <c r="S90" s="23">
        <f t="shared" si="8"/>
        <v>7.0098986014363214E-3</v>
      </c>
      <c r="T90" s="7">
        <v>7321.95</v>
      </c>
      <c r="U90" s="23">
        <f t="shared" si="9"/>
        <v>1.5678228920473606E-2</v>
      </c>
      <c r="V90" s="7">
        <v>2901.1</v>
      </c>
      <c r="W90" s="23">
        <f t="shared" si="10"/>
        <v>9.2286238167964569E-3</v>
      </c>
      <c r="X90" s="7">
        <v>2740.55</v>
      </c>
      <c r="Y90" s="23">
        <f t="shared" si="11"/>
        <v>3.8194438763498928E-2</v>
      </c>
      <c r="Z90" s="7">
        <v>6884.55</v>
      </c>
      <c r="AA90" s="23">
        <f t="shared" si="12"/>
        <v>7.1873020103560378E-2</v>
      </c>
      <c r="AB90" s="10">
        <v>697.9</v>
      </c>
      <c r="AC90" s="23">
        <f t="shared" si="13"/>
        <v>2.7749292663034723E-2</v>
      </c>
      <c r="AD90" s="11">
        <v>14055.25</v>
      </c>
      <c r="AE90" s="23">
        <f t="shared" si="14"/>
        <v>2.9751097636324358E-2</v>
      </c>
    </row>
    <row r="91" spans="1:31" ht="13.8">
      <c r="A91" s="12">
        <v>45574</v>
      </c>
      <c r="B91" s="7">
        <v>1952.75</v>
      </c>
      <c r="C91" s="49">
        <f t="shared" si="0"/>
        <v>2.1531292761836785E-3</v>
      </c>
      <c r="D91" s="8">
        <v>573.65</v>
      </c>
      <c r="E91" s="49">
        <f t="shared" si="1"/>
        <v>3.0352283529552361E-2</v>
      </c>
      <c r="F91" s="7">
        <v>2686.8</v>
      </c>
      <c r="G91" s="49">
        <f t="shared" si="2"/>
        <v>3.1474996057709016E-2</v>
      </c>
      <c r="H91" s="7">
        <v>1163.0999999999999</v>
      </c>
      <c r="I91" s="23">
        <f t="shared" si="3"/>
        <v>1.2022806239858538E-2</v>
      </c>
      <c r="J91" s="7">
        <v>1658.8</v>
      </c>
      <c r="K91" s="23">
        <f t="shared" si="4"/>
        <v>1.8066734300102531E-2</v>
      </c>
      <c r="L91" s="7">
        <v>10473.4</v>
      </c>
      <c r="M91" s="9">
        <f t="shared" si="5"/>
        <v>1.3520246900799717E-2</v>
      </c>
      <c r="N91" s="7">
        <v>14805.2</v>
      </c>
      <c r="O91" s="23">
        <f t="shared" si="6"/>
        <v>1.9520333910438028E-2</v>
      </c>
      <c r="P91" s="7">
        <v>5989.75</v>
      </c>
      <c r="Q91" s="23">
        <f t="shared" si="7"/>
        <v>7.6783420115482323E-2</v>
      </c>
      <c r="R91" s="7">
        <v>1809.7</v>
      </c>
      <c r="S91" s="23">
        <f t="shared" si="8"/>
        <v>1.1252775616002447E-2</v>
      </c>
      <c r="T91" s="7">
        <v>7377.35</v>
      </c>
      <c r="U91" s="23">
        <f t="shared" si="9"/>
        <v>7.5378095980308361E-3</v>
      </c>
      <c r="V91" s="7">
        <v>2899.15</v>
      </c>
      <c r="W91" s="23">
        <f t="shared" si="10"/>
        <v>-6.7238483633167822E-4</v>
      </c>
      <c r="X91" s="7">
        <v>2782.55</v>
      </c>
      <c r="Y91" s="23">
        <f t="shared" si="11"/>
        <v>1.5209143274615861E-2</v>
      </c>
      <c r="Z91" s="7">
        <v>7087.5</v>
      </c>
      <c r="AA91" s="23">
        <f t="shared" si="12"/>
        <v>2.9052898486400167E-2</v>
      </c>
      <c r="AB91" s="10">
        <v>698.2</v>
      </c>
      <c r="AC91" s="23">
        <f t="shared" si="13"/>
        <v>4.2976864782970744E-4</v>
      </c>
      <c r="AD91" s="11">
        <v>14480.8</v>
      </c>
      <c r="AE91" s="23">
        <f t="shared" si="14"/>
        <v>2.9827642585583711E-2</v>
      </c>
    </row>
    <row r="92" spans="1:31" ht="13.8">
      <c r="A92" s="13">
        <v>45575</v>
      </c>
      <c r="B92" s="7">
        <v>1919</v>
      </c>
      <c r="C92" s="49">
        <f t="shared" si="0"/>
        <v>-1.7434418482706788E-2</v>
      </c>
      <c r="D92" s="8">
        <v>578.4</v>
      </c>
      <c r="E92" s="49">
        <f t="shared" si="1"/>
        <v>8.2462165994030383E-3</v>
      </c>
      <c r="F92" s="7">
        <v>2684</v>
      </c>
      <c r="G92" s="49">
        <f t="shared" si="2"/>
        <v>-1.042675301137121E-3</v>
      </c>
      <c r="H92" s="7">
        <v>1217.7</v>
      </c>
      <c r="I92" s="23">
        <f t="shared" si="3"/>
        <v>4.5874979167968732E-2</v>
      </c>
      <c r="J92" s="7">
        <v>1619.7</v>
      </c>
      <c r="K92" s="23">
        <f t="shared" si="4"/>
        <v>-2.3853502479875235E-2</v>
      </c>
      <c r="L92" s="7">
        <v>10747.05</v>
      </c>
      <c r="M92" s="9">
        <f t="shared" si="5"/>
        <v>2.5792588797864675E-2</v>
      </c>
      <c r="N92" s="7">
        <v>14933.55</v>
      </c>
      <c r="O92" s="23">
        <f t="shared" si="6"/>
        <v>8.6318891641588933E-3</v>
      </c>
      <c r="P92" s="7">
        <v>5942.15</v>
      </c>
      <c r="Q92" s="23">
        <f t="shared" si="7"/>
        <v>-7.978654281960958E-3</v>
      </c>
      <c r="R92" s="7">
        <v>1808.65</v>
      </c>
      <c r="S92" s="23">
        <f t="shared" si="8"/>
        <v>-5.8037504910972957E-4</v>
      </c>
      <c r="T92" s="7">
        <v>7281.5</v>
      </c>
      <c r="U92" s="23">
        <f t="shared" si="9"/>
        <v>-1.3077610596943059E-2</v>
      </c>
      <c r="V92" s="7">
        <v>2854.05</v>
      </c>
      <c r="W92" s="23">
        <f t="shared" si="10"/>
        <v>-1.5678552408559081E-2</v>
      </c>
      <c r="X92" s="7">
        <v>2793.5</v>
      </c>
      <c r="Y92" s="23">
        <f t="shared" si="11"/>
        <v>3.9275164590205167E-3</v>
      </c>
      <c r="Z92" s="7">
        <v>6893.8</v>
      </c>
      <c r="AA92" s="23">
        <f t="shared" si="12"/>
        <v>-2.7710212113987828E-2</v>
      </c>
      <c r="AB92" s="10">
        <v>685.1</v>
      </c>
      <c r="AC92" s="23">
        <f t="shared" si="13"/>
        <v>-1.894078166208232E-2</v>
      </c>
      <c r="AD92" s="11">
        <v>15960.15</v>
      </c>
      <c r="AE92" s="23">
        <f t="shared" si="14"/>
        <v>9.7271356423531741E-2</v>
      </c>
    </row>
    <row r="93" spans="1:31" ht="13.8">
      <c r="A93" s="13">
        <v>45576</v>
      </c>
      <c r="B93" s="7">
        <v>1935.1</v>
      </c>
      <c r="C93" s="49">
        <f t="shared" si="0"/>
        <v>8.3547877074016657E-3</v>
      </c>
      <c r="D93" s="8">
        <v>603.85</v>
      </c>
      <c r="E93" s="49">
        <f t="shared" si="1"/>
        <v>4.3060151876829392E-2</v>
      </c>
      <c r="F93" s="7">
        <v>2792.55</v>
      </c>
      <c r="G93" s="49">
        <f t="shared" si="2"/>
        <v>3.9646937794443372E-2</v>
      </c>
      <c r="H93" s="7">
        <v>1221.95</v>
      </c>
      <c r="I93" s="23">
        <f t="shared" si="3"/>
        <v>3.4841098511965126E-3</v>
      </c>
      <c r="J93" s="7">
        <v>1647.05</v>
      </c>
      <c r="K93" s="23">
        <f t="shared" si="4"/>
        <v>1.6744862051567111E-2</v>
      </c>
      <c r="L93" s="7">
        <v>10851.1</v>
      </c>
      <c r="M93" s="9">
        <f t="shared" si="5"/>
        <v>9.6351590267451919E-3</v>
      </c>
      <c r="N93" s="7">
        <v>15143.65</v>
      </c>
      <c r="O93" s="23">
        <f t="shared" si="6"/>
        <v>1.3970942600514159E-2</v>
      </c>
      <c r="P93" s="7">
        <v>6142.25</v>
      </c>
      <c r="Q93" s="23">
        <f t="shared" si="7"/>
        <v>3.3120103796856572E-2</v>
      </c>
      <c r="R93" s="7">
        <v>1839.65</v>
      </c>
      <c r="S93" s="23">
        <f t="shared" si="8"/>
        <v>1.6994625501058704E-2</v>
      </c>
      <c r="T93" s="7">
        <v>7380.6</v>
      </c>
      <c r="U93" s="23">
        <f t="shared" si="9"/>
        <v>1.3518051180159321E-2</v>
      </c>
      <c r="V93" s="7">
        <v>2876.35</v>
      </c>
      <c r="W93" s="23">
        <f t="shared" si="10"/>
        <v>7.783091083075456E-3</v>
      </c>
      <c r="X93" s="7">
        <v>2794.35</v>
      </c>
      <c r="Y93" s="23">
        <f t="shared" si="11"/>
        <v>3.0423150462389808E-4</v>
      </c>
      <c r="Z93" s="7">
        <v>7005.75</v>
      </c>
      <c r="AA93" s="23">
        <f t="shared" si="12"/>
        <v>1.6108783499048103E-2</v>
      </c>
      <c r="AB93" s="10">
        <v>685.5</v>
      </c>
      <c r="AC93" s="23">
        <f t="shared" si="13"/>
        <v>5.8368599351556487E-4</v>
      </c>
      <c r="AD93" s="11">
        <v>15899.2</v>
      </c>
      <c r="AE93" s="23">
        <f t="shared" si="14"/>
        <v>-3.8261969787758161E-3</v>
      </c>
    </row>
    <row r="94" spans="1:31" ht="13.8">
      <c r="A94" s="13">
        <v>45579</v>
      </c>
      <c r="B94" s="7">
        <v>1958.9</v>
      </c>
      <c r="C94" s="49">
        <f t="shared" si="0"/>
        <v>1.222408647425317E-2</v>
      </c>
      <c r="D94" s="8">
        <v>608.79999999999995</v>
      </c>
      <c r="E94" s="49">
        <f t="shared" si="1"/>
        <v>8.1639838260917467E-3</v>
      </c>
      <c r="F94" s="7">
        <v>2759.6</v>
      </c>
      <c r="G94" s="49">
        <f t="shared" si="2"/>
        <v>-1.1869415214062096E-2</v>
      </c>
      <c r="H94" s="7">
        <v>1189.2</v>
      </c>
      <c r="I94" s="23">
        <f t="shared" si="3"/>
        <v>-2.7167131240215726E-2</v>
      </c>
      <c r="J94" s="7">
        <v>1692.5</v>
      </c>
      <c r="K94" s="23">
        <f t="shared" si="4"/>
        <v>2.7220916842511881E-2</v>
      </c>
      <c r="L94" s="7">
        <v>10670.25</v>
      </c>
      <c r="M94" s="9">
        <f t="shared" si="5"/>
        <v>-1.6806962118841643E-2</v>
      </c>
      <c r="N94" s="7">
        <v>15265.05</v>
      </c>
      <c r="O94" s="23">
        <f t="shared" si="6"/>
        <v>7.9845994715688207E-3</v>
      </c>
      <c r="P94" s="7">
        <v>6214.85</v>
      </c>
      <c r="Q94" s="23">
        <f t="shared" si="7"/>
        <v>1.1750464970310378E-2</v>
      </c>
      <c r="R94" s="7">
        <v>1855.9</v>
      </c>
      <c r="S94" s="23">
        <f t="shared" si="8"/>
        <v>8.7944174661545201E-3</v>
      </c>
      <c r="T94" s="7">
        <v>7432.1</v>
      </c>
      <c r="U94" s="23">
        <f t="shared" si="9"/>
        <v>6.9535206286680459E-3</v>
      </c>
      <c r="V94" s="7">
        <v>2962.6</v>
      </c>
      <c r="W94" s="23">
        <f t="shared" si="10"/>
        <v>2.9545131910356754E-2</v>
      </c>
      <c r="X94" s="7">
        <v>2830.4</v>
      </c>
      <c r="Y94" s="23">
        <f t="shared" si="11"/>
        <v>1.2818523001693699E-2</v>
      </c>
      <c r="Z94" s="7">
        <v>6926.85</v>
      </c>
      <c r="AA94" s="23">
        <f t="shared" si="12"/>
        <v>-1.1326076028764851E-2</v>
      </c>
      <c r="AB94" s="10">
        <v>689.35</v>
      </c>
      <c r="AC94" s="23">
        <f t="shared" si="13"/>
        <v>5.6006256152688573E-3</v>
      </c>
      <c r="AD94" s="11">
        <v>15921.85</v>
      </c>
      <c r="AE94" s="23">
        <f t="shared" si="14"/>
        <v>1.4235862000281634E-3</v>
      </c>
    </row>
    <row r="95" spans="1:31" ht="13.8">
      <c r="A95" s="13">
        <v>45580</v>
      </c>
      <c r="B95" s="7">
        <v>1959.3</v>
      </c>
      <c r="C95" s="49">
        <f t="shared" si="0"/>
        <v>2.0417538736631791E-4</v>
      </c>
      <c r="D95" s="8">
        <v>599.65</v>
      </c>
      <c r="E95" s="49">
        <f t="shared" si="1"/>
        <v>-1.5143654869745936E-2</v>
      </c>
      <c r="F95" s="7">
        <v>2747.3</v>
      </c>
      <c r="G95" s="49">
        <f t="shared" si="2"/>
        <v>-4.4671304923383738E-3</v>
      </c>
      <c r="H95" s="7">
        <v>1204</v>
      </c>
      <c r="I95" s="23">
        <f t="shared" si="3"/>
        <v>1.236853474482359E-2</v>
      </c>
      <c r="J95" s="7">
        <v>1675.35</v>
      </c>
      <c r="K95" s="23">
        <f t="shared" si="4"/>
        <v>-1.0184627131484816E-2</v>
      </c>
      <c r="L95" s="7">
        <v>10707.35</v>
      </c>
      <c r="M95" s="9">
        <f t="shared" si="5"/>
        <v>3.4709263197291586E-3</v>
      </c>
      <c r="N95" s="7">
        <v>15404.45</v>
      </c>
      <c r="O95" s="23">
        <f t="shared" si="6"/>
        <v>9.0905270691136481E-3</v>
      </c>
      <c r="P95" s="7">
        <v>6106.7</v>
      </c>
      <c r="Q95" s="23">
        <f t="shared" si="7"/>
        <v>-1.7555060436277747E-2</v>
      </c>
      <c r="R95" s="7">
        <v>1870.1</v>
      </c>
      <c r="S95" s="23">
        <f t="shared" si="8"/>
        <v>7.6221517704152383E-3</v>
      </c>
      <c r="T95" s="7">
        <v>7469.95</v>
      </c>
      <c r="U95" s="23">
        <f t="shared" si="9"/>
        <v>5.0798489325711198E-3</v>
      </c>
      <c r="V95" s="7">
        <v>2929.8</v>
      </c>
      <c r="W95" s="23">
        <f t="shared" si="10"/>
        <v>-1.113309985228208E-2</v>
      </c>
      <c r="X95" s="7">
        <v>2833.6</v>
      </c>
      <c r="Y95" s="23">
        <f t="shared" si="11"/>
        <v>1.1299436230482118E-3</v>
      </c>
      <c r="Z95" s="7">
        <v>7008.9</v>
      </c>
      <c r="AA95" s="23">
        <f t="shared" si="12"/>
        <v>1.1775605635718372E-2</v>
      </c>
      <c r="AB95" s="10">
        <v>685.7</v>
      </c>
      <c r="AC95" s="23">
        <f t="shared" si="13"/>
        <v>-5.3089103273192091E-3</v>
      </c>
      <c r="AD95" s="11">
        <v>16118.45</v>
      </c>
      <c r="AE95" s="23">
        <f t="shared" si="14"/>
        <v>1.2272198914261082E-2</v>
      </c>
    </row>
    <row r="96" spans="1:31" ht="13.8">
      <c r="A96" s="13">
        <v>45581</v>
      </c>
      <c r="B96" s="7">
        <v>1920.1</v>
      </c>
      <c r="C96" s="49">
        <f t="shared" si="0"/>
        <v>-2.0209998577850281E-2</v>
      </c>
      <c r="D96" s="8">
        <v>609.04999999999995</v>
      </c>
      <c r="E96" s="49">
        <f t="shared" si="1"/>
        <v>1.5554214468237725E-2</v>
      </c>
      <c r="F96" s="7">
        <v>2711.4</v>
      </c>
      <c r="G96" s="49">
        <f t="shared" si="2"/>
        <v>-1.3153504534326161E-2</v>
      </c>
      <c r="H96" s="7">
        <v>1196.0999999999999</v>
      </c>
      <c r="I96" s="23">
        <f t="shared" si="3"/>
        <v>-6.5830828133474489E-3</v>
      </c>
      <c r="J96" s="7">
        <v>1660.3</v>
      </c>
      <c r="K96" s="23">
        <f t="shared" si="4"/>
        <v>-9.0237897412045968E-3</v>
      </c>
      <c r="L96" s="7">
        <v>10505.15</v>
      </c>
      <c r="M96" s="9">
        <f t="shared" si="5"/>
        <v>-1.9064808427154592E-2</v>
      </c>
      <c r="N96" s="7">
        <v>15318.1</v>
      </c>
      <c r="O96" s="23">
        <f t="shared" si="6"/>
        <v>-5.6212929838537701E-3</v>
      </c>
      <c r="P96" s="7">
        <v>6123.65</v>
      </c>
      <c r="Q96" s="23">
        <f t="shared" si="7"/>
        <v>2.7717948958156206E-3</v>
      </c>
      <c r="R96" s="7">
        <v>1865.25</v>
      </c>
      <c r="S96" s="23">
        <f t="shared" si="8"/>
        <v>-2.5968130030505293E-3</v>
      </c>
      <c r="T96" s="7">
        <v>7204.25</v>
      </c>
      <c r="U96" s="23">
        <f t="shared" si="9"/>
        <v>-3.6217176027510373E-2</v>
      </c>
      <c r="V96" s="7">
        <v>2911.35</v>
      </c>
      <c r="W96" s="23">
        <f t="shared" si="10"/>
        <v>-6.3172701808238687E-3</v>
      </c>
      <c r="X96" s="7">
        <v>2774.15</v>
      </c>
      <c r="Y96" s="23">
        <f t="shared" si="11"/>
        <v>-2.1203594075698891E-2</v>
      </c>
      <c r="Z96" s="7">
        <v>7101.3</v>
      </c>
      <c r="AA96" s="23">
        <f t="shared" si="12"/>
        <v>1.3097095832433753E-2</v>
      </c>
      <c r="AB96" s="10">
        <v>679.55</v>
      </c>
      <c r="AC96" s="23">
        <f t="shared" si="13"/>
        <v>-9.0093998889626097E-3</v>
      </c>
      <c r="AD96" s="11">
        <v>16072.4</v>
      </c>
      <c r="AE96" s="23">
        <f t="shared" si="14"/>
        <v>-2.8610634023369108E-3</v>
      </c>
    </row>
    <row r="97" spans="1:31" ht="13.8">
      <c r="A97" s="13">
        <v>45582</v>
      </c>
      <c r="B97" s="7">
        <v>1968.1</v>
      </c>
      <c r="C97" s="49">
        <f t="shared" si="0"/>
        <v>2.4691342330520883E-2</v>
      </c>
      <c r="D97" s="8">
        <v>594.45000000000005</v>
      </c>
      <c r="E97" s="49">
        <f t="shared" si="1"/>
        <v>-2.4263757841414123E-2</v>
      </c>
      <c r="F97" s="7">
        <v>2683.85</v>
      </c>
      <c r="G97" s="49">
        <f t="shared" si="2"/>
        <v>-1.0212775851653052E-2</v>
      </c>
      <c r="H97" s="7">
        <v>1152.4000000000001</v>
      </c>
      <c r="I97" s="23">
        <f t="shared" si="3"/>
        <v>-3.7219539845045405E-2</v>
      </c>
      <c r="J97" s="7">
        <v>1699</v>
      </c>
      <c r="K97" s="23">
        <f t="shared" si="4"/>
        <v>2.3041533758191322E-2</v>
      </c>
      <c r="L97" s="7">
        <v>10402.75</v>
      </c>
      <c r="M97" s="9">
        <f t="shared" si="5"/>
        <v>-9.7954188391936488E-3</v>
      </c>
      <c r="N97" s="7">
        <v>15130.85</v>
      </c>
      <c r="O97" s="23">
        <f t="shared" si="6"/>
        <v>-1.2299429735969564E-2</v>
      </c>
      <c r="P97" s="7">
        <v>6077.4</v>
      </c>
      <c r="Q97" s="23">
        <f t="shared" si="7"/>
        <v>-7.5813510354069656E-3</v>
      </c>
      <c r="R97" s="7">
        <v>1867.8</v>
      </c>
      <c r="S97" s="23">
        <f t="shared" si="8"/>
        <v>1.3661753239937961E-3</v>
      </c>
      <c r="T97" s="7">
        <v>7257.25</v>
      </c>
      <c r="U97" s="23">
        <f t="shared" si="9"/>
        <v>7.3298395452809821E-3</v>
      </c>
      <c r="V97" s="7">
        <v>3080.2</v>
      </c>
      <c r="W97" s="23">
        <f t="shared" si="10"/>
        <v>5.6377638809519313E-2</v>
      </c>
      <c r="X97" s="7">
        <v>2679.25</v>
      </c>
      <c r="Y97" s="23">
        <f t="shared" si="11"/>
        <v>-3.4807489359763751E-2</v>
      </c>
      <c r="Z97" s="7">
        <v>6955.45</v>
      </c>
      <c r="AA97" s="23">
        <f t="shared" si="12"/>
        <v>-2.0752340942486559E-2</v>
      </c>
      <c r="AB97" s="10">
        <v>666.1</v>
      </c>
      <c r="AC97" s="23">
        <f t="shared" si="13"/>
        <v>-1.9991004982222421E-2</v>
      </c>
      <c r="AD97" s="11">
        <v>15802.65</v>
      </c>
      <c r="AE97" s="23">
        <f t="shared" si="14"/>
        <v>-1.6925867718687128E-2</v>
      </c>
    </row>
    <row r="98" spans="1:31" ht="13.8">
      <c r="A98" s="13">
        <v>45583</v>
      </c>
      <c r="B98" s="7">
        <v>1879.6</v>
      </c>
      <c r="C98" s="49">
        <f t="shared" si="0"/>
        <v>-4.6009622100731042E-2</v>
      </c>
      <c r="D98" s="8">
        <v>597.25</v>
      </c>
      <c r="E98" s="49">
        <f t="shared" si="1"/>
        <v>4.6991779013651445E-3</v>
      </c>
      <c r="F98" s="7">
        <v>2647.2</v>
      </c>
      <c r="G98" s="49">
        <f t="shared" si="2"/>
        <v>-1.3749853186233637E-2</v>
      </c>
      <c r="H98" s="7">
        <v>1129.8499999999999</v>
      </c>
      <c r="I98" s="23">
        <f t="shared" si="3"/>
        <v>-1.9761843677999085E-2</v>
      </c>
      <c r="J98" s="7">
        <v>1687.9</v>
      </c>
      <c r="K98" s="23">
        <f t="shared" si="4"/>
        <v>-6.5546899770498679E-3</v>
      </c>
      <c r="L98" s="7">
        <v>10240.4</v>
      </c>
      <c r="M98" s="9">
        <f t="shared" si="5"/>
        <v>-1.5729512922187737E-2</v>
      </c>
      <c r="N98" s="7">
        <v>15381.8</v>
      </c>
      <c r="O98" s="23">
        <f t="shared" si="6"/>
        <v>1.6449286342435688E-2</v>
      </c>
      <c r="P98" s="7">
        <v>6022.25</v>
      </c>
      <c r="Q98" s="23">
        <f t="shared" si="7"/>
        <v>-9.1160292938005684E-3</v>
      </c>
      <c r="R98" s="7">
        <v>1857.7</v>
      </c>
      <c r="S98" s="23">
        <f t="shared" si="8"/>
        <v>-5.4221042782589234E-3</v>
      </c>
      <c r="T98" s="7">
        <v>7210.4</v>
      </c>
      <c r="U98" s="23">
        <f t="shared" si="9"/>
        <v>-6.4765409396040519E-3</v>
      </c>
      <c r="V98" s="7">
        <v>3095.75</v>
      </c>
      <c r="W98" s="23">
        <f t="shared" si="10"/>
        <v>5.0356731708429171E-3</v>
      </c>
      <c r="X98" s="7">
        <v>2715.9</v>
      </c>
      <c r="Y98" s="23">
        <f t="shared" si="11"/>
        <v>1.358648555639797E-2</v>
      </c>
      <c r="Z98" s="7">
        <v>6756.45</v>
      </c>
      <c r="AA98" s="23">
        <f t="shared" si="12"/>
        <v>-2.902792074842039E-2</v>
      </c>
      <c r="AB98" s="10">
        <v>669.3</v>
      </c>
      <c r="AC98" s="23">
        <f t="shared" si="13"/>
        <v>4.7925806874626487E-3</v>
      </c>
      <c r="AD98" s="11">
        <v>15531.55</v>
      </c>
      <c r="AE98" s="23">
        <f t="shared" si="14"/>
        <v>-1.7304208482502092E-2</v>
      </c>
    </row>
    <row r="99" spans="1:31" ht="13.8">
      <c r="A99" s="13">
        <v>45586</v>
      </c>
      <c r="B99" s="7">
        <v>1852.75</v>
      </c>
      <c r="C99" s="49">
        <f t="shared" si="0"/>
        <v>-1.4387966397192302E-2</v>
      </c>
      <c r="D99" s="8">
        <v>590.79999999999995</v>
      </c>
      <c r="E99" s="49">
        <f t="shared" si="1"/>
        <v>-1.0858235548694226E-2</v>
      </c>
      <c r="F99" s="7">
        <v>2647</v>
      </c>
      <c r="G99" s="49">
        <f t="shared" si="2"/>
        <v>-7.5554380301114075E-5</v>
      </c>
      <c r="H99" s="7">
        <v>1117</v>
      </c>
      <c r="I99" s="23">
        <f t="shared" si="3"/>
        <v>-1.1438360463173697E-2</v>
      </c>
      <c r="J99" s="7">
        <v>1701.2</v>
      </c>
      <c r="K99" s="23">
        <f t="shared" si="4"/>
        <v>7.8487316845964102E-3</v>
      </c>
      <c r="L99" s="7">
        <v>10304.299999999999</v>
      </c>
      <c r="M99" s="9">
        <f t="shared" si="5"/>
        <v>6.2206024965571543E-3</v>
      </c>
      <c r="N99" s="7">
        <v>15390.55</v>
      </c>
      <c r="O99" s="23">
        <f t="shared" si="6"/>
        <v>5.6869236413995103E-4</v>
      </c>
      <c r="P99" s="7">
        <v>5925</v>
      </c>
      <c r="Q99" s="23">
        <f t="shared" si="7"/>
        <v>-1.628025662367396E-2</v>
      </c>
      <c r="R99" s="7">
        <v>1843.6</v>
      </c>
      <c r="S99" s="23">
        <f t="shared" si="8"/>
        <v>-7.6189815510053095E-3</v>
      </c>
      <c r="T99" s="7">
        <v>6825.25</v>
      </c>
      <c r="U99" s="23">
        <f t="shared" si="9"/>
        <v>-5.4895457823272861E-2</v>
      </c>
      <c r="V99" s="7">
        <v>2985.5</v>
      </c>
      <c r="W99" s="23">
        <f t="shared" si="10"/>
        <v>-3.6262966108160863E-2</v>
      </c>
      <c r="X99" s="7">
        <v>2737.7</v>
      </c>
      <c r="Y99" s="23">
        <f t="shared" si="11"/>
        <v>7.9947616672773423E-3</v>
      </c>
      <c r="Z99" s="7">
        <v>6667.6</v>
      </c>
      <c r="AA99" s="23">
        <f t="shared" si="12"/>
        <v>-1.3237629100614857E-2</v>
      </c>
      <c r="AB99" s="10">
        <v>661.95</v>
      </c>
      <c r="AC99" s="23">
        <f t="shared" si="13"/>
        <v>-1.1042365722930433E-2</v>
      </c>
      <c r="AD99" s="11">
        <v>14931.45</v>
      </c>
      <c r="AE99" s="23">
        <f t="shared" si="14"/>
        <v>-3.9403712277623987E-2</v>
      </c>
    </row>
    <row r="100" spans="1:31" ht="13.8">
      <c r="A100" s="13">
        <v>45587</v>
      </c>
      <c r="B100" s="7">
        <v>1851.6</v>
      </c>
      <c r="C100" s="49">
        <f t="shared" si="0"/>
        <v>-6.2089167435279034E-4</v>
      </c>
      <c r="D100" s="8">
        <v>555.70000000000005</v>
      </c>
      <c r="E100" s="49">
        <f t="shared" si="1"/>
        <v>-6.1248970371349055E-2</v>
      </c>
      <c r="F100" s="7">
        <v>2565.9499999999998</v>
      </c>
      <c r="G100" s="49">
        <f t="shared" si="2"/>
        <v>-3.1098142822036344E-2</v>
      </c>
      <c r="H100" s="7">
        <v>1057.8499999999999</v>
      </c>
      <c r="I100" s="23">
        <f t="shared" si="3"/>
        <v>-5.4407973639874312E-2</v>
      </c>
      <c r="J100" s="7">
        <v>1696.55</v>
      </c>
      <c r="K100" s="23">
        <f t="shared" si="4"/>
        <v>-2.7371071462321019E-3</v>
      </c>
      <c r="L100" s="7">
        <v>10296.75</v>
      </c>
      <c r="M100" s="9">
        <f t="shared" si="5"/>
        <v>-7.3297238131239434E-4</v>
      </c>
      <c r="N100" s="7">
        <v>14908</v>
      </c>
      <c r="O100" s="23">
        <f t="shared" si="6"/>
        <v>-3.1855703087084714E-2</v>
      </c>
      <c r="P100" s="7">
        <v>5817.95</v>
      </c>
      <c r="Q100" s="23">
        <f t="shared" si="7"/>
        <v>-1.8232721003676948E-2</v>
      </c>
      <c r="R100" s="7">
        <v>1822.75</v>
      </c>
      <c r="S100" s="23">
        <f t="shared" si="8"/>
        <v>-1.1373832159813505E-2</v>
      </c>
      <c r="T100" s="7">
        <v>6800.25</v>
      </c>
      <c r="U100" s="23">
        <f t="shared" si="9"/>
        <v>-3.6695942246519645E-3</v>
      </c>
      <c r="V100" s="7">
        <v>2977.65</v>
      </c>
      <c r="W100" s="23">
        <f t="shared" si="10"/>
        <v>-2.6328381927592385E-3</v>
      </c>
      <c r="X100" s="7">
        <v>2662.5</v>
      </c>
      <c r="Y100" s="23">
        <f t="shared" si="11"/>
        <v>-2.7852620799101082E-2</v>
      </c>
      <c r="Z100" s="7">
        <v>6282.05</v>
      </c>
      <c r="AA100" s="23">
        <f t="shared" si="12"/>
        <v>-5.956361475336882E-2</v>
      </c>
      <c r="AB100" s="10">
        <v>657</v>
      </c>
      <c r="AC100" s="23">
        <f t="shared" si="13"/>
        <v>-7.5060058990554191E-3</v>
      </c>
      <c r="AD100" s="11">
        <v>13880.55</v>
      </c>
      <c r="AE100" s="23">
        <f t="shared" si="14"/>
        <v>-7.2981147074275762E-2</v>
      </c>
    </row>
    <row r="101" spans="1:31" ht="13.8">
      <c r="A101" s="13">
        <v>45588</v>
      </c>
      <c r="B101" s="7">
        <v>1873.4</v>
      </c>
      <c r="C101" s="49">
        <f t="shared" si="0"/>
        <v>1.1704831617914871E-2</v>
      </c>
      <c r="D101" s="8">
        <v>565.70000000000005</v>
      </c>
      <c r="E101" s="49">
        <f t="shared" si="1"/>
        <v>1.7835322063234352E-2</v>
      </c>
      <c r="F101" s="7">
        <v>2529.6</v>
      </c>
      <c r="G101" s="49">
        <f t="shared" si="2"/>
        <v>-1.4267592949857378E-2</v>
      </c>
      <c r="H101" s="7">
        <v>1072.95</v>
      </c>
      <c r="I101" s="23">
        <f t="shared" si="3"/>
        <v>1.4173317793176083E-2</v>
      </c>
      <c r="J101" s="7">
        <v>1735.95</v>
      </c>
      <c r="K101" s="23">
        <f t="shared" si="4"/>
        <v>2.2958036728950089E-2</v>
      </c>
      <c r="L101" s="7">
        <v>10216.85</v>
      </c>
      <c r="M101" s="9">
        <f t="shared" si="5"/>
        <v>-7.7899933755039875E-3</v>
      </c>
      <c r="N101" s="7">
        <v>15284.45</v>
      </c>
      <c r="O101" s="23">
        <f t="shared" si="6"/>
        <v>2.4937990088523296E-2</v>
      </c>
      <c r="P101" s="7">
        <v>5727.6</v>
      </c>
      <c r="Q101" s="23">
        <f t="shared" si="7"/>
        <v>-1.5651371199803754E-2</v>
      </c>
      <c r="R101" s="7">
        <v>1845.75</v>
      </c>
      <c r="S101" s="23">
        <f t="shared" si="8"/>
        <v>1.2539349252735173E-2</v>
      </c>
      <c r="T101" s="7">
        <v>7557.8</v>
      </c>
      <c r="U101" s="23">
        <f t="shared" si="9"/>
        <v>0.10562076633804224</v>
      </c>
      <c r="V101" s="7">
        <v>3119.85</v>
      </c>
      <c r="W101" s="23">
        <f t="shared" si="10"/>
        <v>4.6650524930430808E-2</v>
      </c>
      <c r="X101" s="7">
        <v>2562.9499999999998</v>
      </c>
      <c r="Y101" s="23">
        <f t="shared" si="11"/>
        <v>-3.8106592232507681E-2</v>
      </c>
      <c r="Z101" s="7">
        <v>6838.45</v>
      </c>
      <c r="AA101" s="23">
        <f t="shared" si="12"/>
        <v>8.486473743438272E-2</v>
      </c>
      <c r="AB101" s="10">
        <v>656.6</v>
      </c>
      <c r="AC101" s="23">
        <f t="shared" si="13"/>
        <v>-6.0901341711812774E-4</v>
      </c>
      <c r="AD101" s="11">
        <v>13744.1</v>
      </c>
      <c r="AE101" s="23">
        <f t="shared" si="14"/>
        <v>-9.8789385361828363E-3</v>
      </c>
    </row>
    <row r="102" spans="1:31" ht="13.8">
      <c r="A102" s="13">
        <v>45589</v>
      </c>
      <c r="B102" s="7">
        <v>1863.35</v>
      </c>
      <c r="C102" s="49">
        <f t="shared" si="0"/>
        <v>-5.3790187901691013E-3</v>
      </c>
      <c r="D102" s="8">
        <v>557</v>
      </c>
      <c r="E102" s="49">
        <f t="shared" si="1"/>
        <v>-1.5498662421826095E-2</v>
      </c>
      <c r="F102" s="7">
        <v>2504.25</v>
      </c>
      <c r="G102" s="49">
        <f t="shared" si="2"/>
        <v>-1.0071898963333966E-2</v>
      </c>
      <c r="H102" s="7">
        <v>1050.25</v>
      </c>
      <c r="I102" s="23">
        <f t="shared" si="3"/>
        <v>-2.1383633173011174E-2</v>
      </c>
      <c r="J102" s="7">
        <v>1735.75</v>
      </c>
      <c r="K102" s="23">
        <f t="shared" si="4"/>
        <v>-1.1521732881369897E-4</v>
      </c>
      <c r="L102" s="7">
        <v>10117.299999999999</v>
      </c>
      <c r="M102" s="9">
        <f t="shared" si="5"/>
        <v>-9.7914882448656686E-3</v>
      </c>
      <c r="N102" s="7">
        <v>15055.3</v>
      </c>
      <c r="O102" s="23">
        <f t="shared" si="6"/>
        <v>-1.5105883035803668E-2</v>
      </c>
      <c r="P102" s="7">
        <v>5736.65</v>
      </c>
      <c r="Q102" s="23">
        <f t="shared" si="7"/>
        <v>1.5788214457802157E-3</v>
      </c>
      <c r="R102" s="7">
        <v>1844.9</v>
      </c>
      <c r="S102" s="23">
        <f t="shared" si="8"/>
        <v>-4.6062347555525334E-4</v>
      </c>
      <c r="T102" s="7">
        <v>7699.05</v>
      </c>
      <c r="U102" s="23">
        <f t="shared" si="9"/>
        <v>1.8516802074559566E-2</v>
      </c>
      <c r="V102" s="7">
        <v>3098.75</v>
      </c>
      <c r="W102" s="23">
        <f t="shared" si="10"/>
        <v>-6.7861193753185238E-3</v>
      </c>
      <c r="X102" s="7">
        <v>2482.35</v>
      </c>
      <c r="Y102" s="23">
        <f t="shared" si="11"/>
        <v>-3.1953246652110953E-2</v>
      </c>
      <c r="Z102" s="7">
        <v>6482.6</v>
      </c>
      <c r="AA102" s="23">
        <f t="shared" si="12"/>
        <v>-5.3439433308789426E-2</v>
      </c>
      <c r="AB102" s="10">
        <v>634.25</v>
      </c>
      <c r="AC102" s="23">
        <f t="shared" si="13"/>
        <v>-3.4631806588101118E-2</v>
      </c>
      <c r="AD102" s="11">
        <v>13767.25</v>
      </c>
      <c r="AE102" s="23">
        <f t="shared" si="14"/>
        <v>1.6829421648859541E-3</v>
      </c>
    </row>
    <row r="103" spans="1:31" ht="13.8">
      <c r="A103" s="13">
        <v>45590</v>
      </c>
      <c r="B103" s="7">
        <v>1862.05</v>
      </c>
      <c r="C103" s="49">
        <f t="shared" si="0"/>
        <v>-6.9791166197828356E-4</v>
      </c>
      <c r="D103" s="8">
        <v>539.6</v>
      </c>
      <c r="E103" s="49">
        <f t="shared" si="1"/>
        <v>-3.1737115593683175E-2</v>
      </c>
      <c r="F103" s="7">
        <v>2455.9</v>
      </c>
      <c r="G103" s="49">
        <f t="shared" si="2"/>
        <v>-1.9495995666162114E-2</v>
      </c>
      <c r="H103" s="7">
        <v>1033.6500000000001</v>
      </c>
      <c r="I103" s="23">
        <f t="shared" si="3"/>
        <v>-1.5932003578164679E-2</v>
      </c>
      <c r="J103" s="7">
        <v>1716.45</v>
      </c>
      <c r="K103" s="23">
        <f t="shared" si="4"/>
        <v>-1.1181392201549317E-2</v>
      </c>
      <c r="L103" s="7">
        <v>10156.450000000001</v>
      </c>
      <c r="M103" s="9">
        <f t="shared" si="5"/>
        <v>3.8621418004950317E-3</v>
      </c>
      <c r="N103" s="7">
        <v>13937.2</v>
      </c>
      <c r="O103" s="23">
        <f t="shared" si="6"/>
        <v>-7.7168564344730101E-2</v>
      </c>
      <c r="P103" s="7">
        <v>5780.75</v>
      </c>
      <c r="Q103" s="23">
        <f t="shared" si="7"/>
        <v>7.658015788445445E-3</v>
      </c>
      <c r="R103" s="7">
        <v>1852.35</v>
      </c>
      <c r="S103" s="23">
        <f t="shared" si="8"/>
        <v>4.0300277682213306E-3</v>
      </c>
      <c r="T103" s="7">
        <v>7739.85</v>
      </c>
      <c r="U103" s="23">
        <f t="shared" si="9"/>
        <v>5.2853629441431127E-3</v>
      </c>
      <c r="V103" s="7">
        <v>3041.05</v>
      </c>
      <c r="W103" s="23">
        <f t="shared" si="10"/>
        <v>-1.879595384732146E-2</v>
      </c>
      <c r="X103" s="7">
        <v>2449.8000000000002</v>
      </c>
      <c r="Y103" s="23">
        <f t="shared" si="11"/>
        <v>-1.319930357947671E-2</v>
      </c>
      <c r="Z103" s="7">
        <v>6300.85</v>
      </c>
      <c r="AA103" s="23">
        <f t="shared" si="12"/>
        <v>-2.8437119527582971E-2</v>
      </c>
      <c r="AB103" s="10">
        <v>640.1</v>
      </c>
      <c r="AC103" s="23">
        <f t="shared" si="13"/>
        <v>9.1812156685664569E-3</v>
      </c>
      <c r="AD103" s="11">
        <v>13309.45</v>
      </c>
      <c r="AE103" s="23">
        <f t="shared" si="14"/>
        <v>-3.3818274043347779E-2</v>
      </c>
    </row>
    <row r="104" spans="1:31" ht="13.8">
      <c r="A104" s="13">
        <v>45593</v>
      </c>
      <c r="B104" s="7">
        <v>1865.35</v>
      </c>
      <c r="C104" s="49">
        <f t="shared" si="0"/>
        <v>1.7706717080009458E-3</v>
      </c>
      <c r="D104" s="8">
        <v>552.85</v>
      </c>
      <c r="E104" s="49">
        <f t="shared" si="1"/>
        <v>2.4258592654809986E-2</v>
      </c>
      <c r="F104" s="7">
        <v>2426.8000000000002</v>
      </c>
      <c r="G104" s="49">
        <f t="shared" si="2"/>
        <v>-1.1919775757568614E-2</v>
      </c>
      <c r="H104" s="7">
        <v>1047.9000000000001</v>
      </c>
      <c r="I104" s="23">
        <f t="shared" si="3"/>
        <v>1.3691934009569379E-2</v>
      </c>
      <c r="J104" s="7">
        <v>1702.55</v>
      </c>
      <c r="K104" s="23">
        <f t="shared" si="4"/>
        <v>-8.1310772637901534E-3</v>
      </c>
      <c r="L104" s="7">
        <v>10223.85</v>
      </c>
      <c r="M104" s="9">
        <f t="shared" si="5"/>
        <v>6.6142545222387557E-3</v>
      </c>
      <c r="N104" s="7">
        <v>14236.55</v>
      </c>
      <c r="O104" s="23">
        <f t="shared" si="6"/>
        <v>2.1251077024532265E-2</v>
      </c>
      <c r="P104" s="7">
        <v>5814.4</v>
      </c>
      <c r="Q104" s="23">
        <f t="shared" si="7"/>
        <v>5.8041671677749864E-3</v>
      </c>
      <c r="R104" s="7">
        <v>1871.75</v>
      </c>
      <c r="S104" s="23">
        <f t="shared" si="8"/>
        <v>1.0418718878853527E-2</v>
      </c>
      <c r="T104" s="7">
        <v>7705.35</v>
      </c>
      <c r="U104" s="23">
        <f t="shared" si="9"/>
        <v>-4.4674147798204307E-3</v>
      </c>
      <c r="V104" s="7">
        <v>3012.85</v>
      </c>
      <c r="W104" s="23">
        <f t="shared" si="10"/>
        <v>-9.3163758792266897E-3</v>
      </c>
      <c r="X104" s="7">
        <v>2462.35</v>
      </c>
      <c r="Y104" s="23">
        <f t="shared" si="11"/>
        <v>5.1097899317598498E-3</v>
      </c>
      <c r="Z104" s="7">
        <v>6266.5</v>
      </c>
      <c r="AA104" s="23">
        <f t="shared" si="12"/>
        <v>-5.4665598619975386E-3</v>
      </c>
      <c r="AB104" s="10">
        <v>634</v>
      </c>
      <c r="AC104" s="23">
        <f t="shared" si="13"/>
        <v>-9.5754597107318047E-3</v>
      </c>
      <c r="AD104" s="11">
        <v>13609.7</v>
      </c>
      <c r="AE104" s="23">
        <f t="shared" si="14"/>
        <v>2.2308464565528603E-2</v>
      </c>
    </row>
    <row r="105" spans="1:31" ht="13.8">
      <c r="A105" s="13">
        <v>45594</v>
      </c>
      <c r="B105" s="7">
        <v>1839.3</v>
      </c>
      <c r="C105" s="49">
        <f t="shared" si="0"/>
        <v>-1.4063638594131938E-2</v>
      </c>
      <c r="D105" s="8">
        <v>556.65</v>
      </c>
      <c r="E105" s="49">
        <f t="shared" si="1"/>
        <v>6.8499591863054815E-3</v>
      </c>
      <c r="F105" s="7">
        <v>2528.6999999999998</v>
      </c>
      <c r="G105" s="49">
        <f t="shared" si="2"/>
        <v>4.1131819603403168E-2</v>
      </c>
      <c r="H105" s="7">
        <v>1046.75</v>
      </c>
      <c r="I105" s="23">
        <f t="shared" si="3"/>
        <v>-1.0980355816433461E-3</v>
      </c>
      <c r="J105" s="7">
        <v>1698.5</v>
      </c>
      <c r="K105" s="23">
        <f t="shared" si="4"/>
        <v>-2.3816185674047242E-3</v>
      </c>
      <c r="L105" s="7">
        <v>10355.25</v>
      </c>
      <c r="M105" s="9">
        <f t="shared" si="5"/>
        <v>1.2770411316183096E-2</v>
      </c>
      <c r="N105" s="7">
        <v>14939.15</v>
      </c>
      <c r="O105" s="23">
        <f t="shared" si="6"/>
        <v>4.8172682492957399E-2</v>
      </c>
      <c r="P105" s="7">
        <v>5803.35</v>
      </c>
      <c r="Q105" s="23">
        <f t="shared" si="7"/>
        <v>-1.9022621991569323E-3</v>
      </c>
      <c r="R105" s="7">
        <v>1871.75</v>
      </c>
      <c r="S105" s="23">
        <f t="shared" si="8"/>
        <v>0</v>
      </c>
      <c r="T105" s="7">
        <v>7753.75</v>
      </c>
      <c r="U105" s="23">
        <f t="shared" si="9"/>
        <v>6.2617045161276284E-3</v>
      </c>
      <c r="V105" s="7">
        <v>3022.5</v>
      </c>
      <c r="W105" s="23">
        <f t="shared" si="10"/>
        <v>3.1978288660956208E-3</v>
      </c>
      <c r="X105" s="7">
        <v>2447.1999999999998</v>
      </c>
      <c r="Y105" s="23">
        <f t="shared" si="11"/>
        <v>-6.1716646486514645E-3</v>
      </c>
      <c r="Z105" s="7">
        <v>6361</v>
      </c>
      <c r="AA105" s="23">
        <f t="shared" si="12"/>
        <v>1.4967612627227277E-2</v>
      </c>
      <c r="AB105" s="10">
        <v>629.15</v>
      </c>
      <c r="AC105" s="23">
        <f t="shared" si="13"/>
        <v>-7.6792523992490315E-3</v>
      </c>
      <c r="AD105" s="11">
        <v>14253.55</v>
      </c>
      <c r="AE105" s="23">
        <f t="shared" si="14"/>
        <v>4.6223224691034334E-2</v>
      </c>
    </row>
    <row r="106" spans="1:31" ht="13.8">
      <c r="A106" s="13">
        <v>45595</v>
      </c>
      <c r="B106" s="7">
        <v>1802.1</v>
      </c>
      <c r="C106" s="49">
        <f t="shared" si="0"/>
        <v>-2.0432412912526562E-2</v>
      </c>
      <c r="D106" s="8">
        <v>554.79999999999995</v>
      </c>
      <c r="E106" s="49">
        <f t="shared" si="1"/>
        <v>-3.3289877340397594E-3</v>
      </c>
      <c r="F106" s="7">
        <v>2627.8</v>
      </c>
      <c r="G106" s="49">
        <f t="shared" si="2"/>
        <v>3.8441657536175691E-2</v>
      </c>
      <c r="H106" s="7">
        <v>1063.8499999999999</v>
      </c>
      <c r="I106" s="23">
        <f t="shared" si="3"/>
        <v>1.6204277620474085E-2</v>
      </c>
      <c r="J106" s="7">
        <v>1684.95</v>
      </c>
      <c r="K106" s="23">
        <f t="shared" si="4"/>
        <v>-8.0096188449506316E-3</v>
      </c>
      <c r="L106" s="7">
        <v>10223.299999999999</v>
      </c>
      <c r="M106" s="9">
        <f t="shared" si="5"/>
        <v>-1.2824208544660912E-2</v>
      </c>
      <c r="N106" s="7">
        <v>14175.6</v>
      </c>
      <c r="O106" s="23">
        <f t="shared" si="6"/>
        <v>-5.2463107082153626E-2</v>
      </c>
      <c r="P106" s="7">
        <v>5886.6</v>
      </c>
      <c r="Q106" s="23">
        <f t="shared" si="7"/>
        <v>1.4243244394705224E-2</v>
      </c>
      <c r="R106" s="7">
        <v>1838.8</v>
      </c>
      <c r="S106" s="23">
        <f t="shared" si="8"/>
        <v>-1.7760637178721669E-2</v>
      </c>
      <c r="T106" s="7">
        <v>7742.4</v>
      </c>
      <c r="U106" s="23">
        <f t="shared" si="9"/>
        <v>-1.4648802482732102E-3</v>
      </c>
      <c r="V106" s="7">
        <v>3007</v>
      </c>
      <c r="W106" s="23">
        <f t="shared" si="10"/>
        <v>-5.1413995004186523E-3</v>
      </c>
      <c r="X106" s="7">
        <v>2458.9</v>
      </c>
      <c r="Y106" s="23">
        <f t="shared" si="11"/>
        <v>4.7695816147971153E-3</v>
      </c>
      <c r="Z106" s="7">
        <v>6352.8</v>
      </c>
      <c r="AA106" s="23">
        <f t="shared" si="12"/>
        <v>-1.2899370978030065E-3</v>
      </c>
      <c r="AB106" s="10">
        <v>651.15</v>
      </c>
      <c r="AC106" s="23">
        <f t="shared" si="13"/>
        <v>3.4370328375735282E-2</v>
      </c>
      <c r="AD106" s="11">
        <v>13695.85</v>
      </c>
      <c r="AE106" s="23">
        <f t="shared" si="14"/>
        <v>-3.9913131259135405E-2</v>
      </c>
    </row>
    <row r="107" spans="1:31" ht="13.8">
      <c r="A107" s="13">
        <v>45596</v>
      </c>
      <c r="B107" s="7">
        <v>1757.25</v>
      </c>
      <c r="C107" s="49">
        <f t="shared" si="0"/>
        <v>-2.5202564468210654E-2</v>
      </c>
      <c r="D107" s="8">
        <v>569.6</v>
      </c>
      <c r="E107" s="49">
        <f t="shared" si="1"/>
        <v>2.6326671657089646E-2</v>
      </c>
      <c r="F107" s="7">
        <v>2667.35</v>
      </c>
      <c r="G107" s="49">
        <f t="shared" si="2"/>
        <v>1.4938475959717822E-2</v>
      </c>
      <c r="H107" s="7">
        <v>1085.3</v>
      </c>
      <c r="I107" s="23">
        <f t="shared" si="3"/>
        <v>1.9962042932242404E-2</v>
      </c>
      <c r="J107" s="7">
        <v>1608.65</v>
      </c>
      <c r="K107" s="23">
        <f t="shared" si="4"/>
        <v>-4.6340571839528256E-2</v>
      </c>
      <c r="L107" s="7">
        <v>10249.5</v>
      </c>
      <c r="M107" s="9">
        <f t="shared" si="5"/>
        <v>2.5594949692320092E-3</v>
      </c>
      <c r="N107" s="7">
        <v>14061.6</v>
      </c>
      <c r="O107" s="23">
        <f t="shared" si="6"/>
        <v>-8.0744988437860387E-3</v>
      </c>
      <c r="P107" s="7">
        <v>5889.65</v>
      </c>
      <c r="Q107" s="23">
        <f t="shared" si="7"/>
        <v>5.179917322061259E-4</v>
      </c>
      <c r="R107" s="7">
        <v>1766.05</v>
      </c>
      <c r="S107" s="23">
        <f t="shared" si="8"/>
        <v>-4.0367770598179468E-2</v>
      </c>
      <c r="T107" s="7">
        <v>7624.1</v>
      </c>
      <c r="U107" s="23">
        <f t="shared" si="9"/>
        <v>-1.539743431674445E-2</v>
      </c>
      <c r="V107" s="7">
        <v>2879.55</v>
      </c>
      <c r="W107" s="23">
        <f t="shared" si="10"/>
        <v>-4.3308872066840372E-2</v>
      </c>
      <c r="X107" s="7">
        <v>2493.6999999999998</v>
      </c>
      <c r="Y107" s="23">
        <f t="shared" si="11"/>
        <v>1.405345586036303E-2</v>
      </c>
      <c r="Z107" s="7">
        <v>6625.15</v>
      </c>
      <c r="AA107" s="23">
        <f t="shared" si="12"/>
        <v>4.1977352526540439E-2</v>
      </c>
      <c r="AB107" s="10">
        <v>640</v>
      </c>
      <c r="AC107" s="23">
        <f t="shared" si="13"/>
        <v>-1.7271854059994724E-2</v>
      </c>
      <c r="AD107" s="11">
        <v>13819</v>
      </c>
      <c r="AE107" s="23">
        <f t="shared" si="14"/>
        <v>8.9515895847397508E-3</v>
      </c>
    </row>
    <row r="108" spans="1:31" ht="13.8">
      <c r="A108" s="12">
        <v>45597</v>
      </c>
      <c r="B108" s="7">
        <v>1760.85</v>
      </c>
      <c r="C108" s="49">
        <f t="shared" si="0"/>
        <v>2.0465599366260817E-3</v>
      </c>
      <c r="D108" s="8">
        <v>570.20000000000005</v>
      </c>
      <c r="E108" s="49">
        <f t="shared" si="1"/>
        <v>1.0528163808055475E-3</v>
      </c>
      <c r="F108" s="7">
        <v>2680.7</v>
      </c>
      <c r="G108" s="49">
        <f t="shared" si="2"/>
        <v>4.9924842620913314E-3</v>
      </c>
      <c r="H108" s="7">
        <v>1115.8499999999999</v>
      </c>
      <c r="I108" s="23">
        <f t="shared" si="3"/>
        <v>2.7759999853490674E-2</v>
      </c>
      <c r="J108" s="7">
        <v>1603.65</v>
      </c>
      <c r="K108" s="23">
        <f t="shared" si="4"/>
        <v>-3.1130367885410749E-3</v>
      </c>
      <c r="L108" s="7">
        <v>10332.549999999999</v>
      </c>
      <c r="M108" s="9">
        <f t="shared" si="5"/>
        <v>8.0701825851637495E-3</v>
      </c>
      <c r="N108" s="7">
        <v>14129.75</v>
      </c>
      <c r="O108" s="23">
        <f t="shared" si="6"/>
        <v>4.8348257712763675E-3</v>
      </c>
      <c r="P108" s="7">
        <v>5903.55</v>
      </c>
      <c r="Q108" s="23">
        <f t="shared" si="7"/>
        <v>2.3572917336523742E-3</v>
      </c>
      <c r="R108" s="7">
        <v>1757.4</v>
      </c>
      <c r="S108" s="23">
        <f t="shared" si="8"/>
        <v>-4.9099702721505907E-3</v>
      </c>
      <c r="T108" s="7">
        <v>7552.7</v>
      </c>
      <c r="U108" s="23">
        <f t="shared" si="9"/>
        <v>-9.409167514522386E-3</v>
      </c>
      <c r="V108" s="7">
        <v>2894.15</v>
      </c>
      <c r="W108" s="23">
        <f t="shared" si="10"/>
        <v>5.0574263018003194E-3</v>
      </c>
      <c r="X108" s="7">
        <v>2509.6999999999998</v>
      </c>
      <c r="Y108" s="23">
        <f t="shared" si="11"/>
        <v>6.3956727583121412E-3</v>
      </c>
      <c r="Z108" s="7">
        <v>6700.05</v>
      </c>
      <c r="AA108" s="23">
        <f t="shared" si="12"/>
        <v>1.1241975930237061E-2</v>
      </c>
      <c r="AB108" s="10">
        <v>645.95000000000005</v>
      </c>
      <c r="AC108" s="23">
        <f t="shared" si="13"/>
        <v>9.2539250525926972E-3</v>
      </c>
      <c r="AD108" s="11">
        <v>13923.75</v>
      </c>
      <c r="AE108" s="23">
        <f t="shared" si="14"/>
        <v>7.5515583559148045E-3</v>
      </c>
    </row>
    <row r="109" spans="1:31" ht="13.8">
      <c r="A109" s="12">
        <v>45600</v>
      </c>
      <c r="B109" s="7">
        <v>1763.65</v>
      </c>
      <c r="C109" s="49">
        <f t="shared" si="0"/>
        <v>1.5888781892796826E-3</v>
      </c>
      <c r="D109" s="8">
        <v>549.95000000000005</v>
      </c>
      <c r="E109" s="49">
        <f t="shared" si="1"/>
        <v>-3.6159811475445995E-2</v>
      </c>
      <c r="F109" s="7">
        <v>2731.2</v>
      </c>
      <c r="G109" s="49">
        <f t="shared" si="2"/>
        <v>1.8663118610645117E-2</v>
      </c>
      <c r="H109" s="7">
        <v>1053.5999999999999</v>
      </c>
      <c r="I109" s="23">
        <f t="shared" si="3"/>
        <v>-5.7403574876388738E-2</v>
      </c>
      <c r="J109" s="7">
        <v>1638.4</v>
      </c>
      <c r="K109" s="23">
        <f t="shared" si="4"/>
        <v>2.1437874717570131E-2</v>
      </c>
      <c r="L109" s="7">
        <v>10658.25</v>
      </c>
      <c r="M109" s="9">
        <f t="shared" si="5"/>
        <v>3.1035133665974199E-2</v>
      </c>
      <c r="N109" s="7">
        <v>14434.6</v>
      </c>
      <c r="O109" s="23">
        <f t="shared" si="6"/>
        <v>2.1345598617081692E-2</v>
      </c>
      <c r="P109" s="7">
        <v>5901.75</v>
      </c>
      <c r="Q109" s="23">
        <f t="shared" si="7"/>
        <v>-3.049477800562246E-4</v>
      </c>
      <c r="R109" s="7">
        <v>1762.95</v>
      </c>
      <c r="S109" s="23">
        <f t="shared" si="8"/>
        <v>3.1530981852300995E-3</v>
      </c>
      <c r="T109" s="7">
        <v>7543.25</v>
      </c>
      <c r="U109" s="23">
        <f t="shared" si="9"/>
        <v>-1.2519915917040944E-3</v>
      </c>
      <c r="V109" s="7">
        <v>2870.15</v>
      </c>
      <c r="W109" s="23">
        <f t="shared" si="10"/>
        <v>-8.3271650272173942E-3</v>
      </c>
      <c r="X109" s="7">
        <v>2412.15</v>
      </c>
      <c r="Y109" s="23">
        <f t="shared" si="11"/>
        <v>-3.9644758102022545E-2</v>
      </c>
      <c r="Z109" s="7">
        <v>6839.25</v>
      </c>
      <c r="AA109" s="23">
        <f t="shared" si="12"/>
        <v>2.0563087444105614E-2</v>
      </c>
      <c r="AB109" s="10">
        <v>634.95000000000005</v>
      </c>
      <c r="AC109" s="23">
        <f t="shared" si="13"/>
        <v>-1.7175845771267812E-2</v>
      </c>
      <c r="AD109" s="11">
        <v>13969.4</v>
      </c>
      <c r="AE109" s="23">
        <f t="shared" si="14"/>
        <v>3.2732079924581501E-3</v>
      </c>
    </row>
    <row r="110" spans="1:31" ht="13.8">
      <c r="A110" s="12">
        <v>45601</v>
      </c>
      <c r="B110" s="7">
        <v>1754.2</v>
      </c>
      <c r="C110" s="49">
        <f t="shared" si="0"/>
        <v>-5.3726126646391932E-3</v>
      </c>
      <c r="D110" s="8">
        <v>550.4</v>
      </c>
      <c r="E110" s="49">
        <f t="shared" si="1"/>
        <v>8.1792161600803429E-4</v>
      </c>
      <c r="F110" s="7">
        <v>2714.25</v>
      </c>
      <c r="G110" s="49">
        <f t="shared" si="2"/>
        <v>-6.2254009282145884E-3</v>
      </c>
      <c r="H110" s="7">
        <v>1032.25</v>
      </c>
      <c r="I110" s="23">
        <f t="shared" si="3"/>
        <v>-2.0471985662871624E-2</v>
      </c>
      <c r="J110" s="7">
        <v>1632.65</v>
      </c>
      <c r="K110" s="23">
        <f t="shared" si="4"/>
        <v>-3.5156943015544084E-3</v>
      </c>
      <c r="L110" s="7">
        <v>10600.35</v>
      </c>
      <c r="M110" s="9">
        <f t="shared" si="5"/>
        <v>-5.4472207171083311E-3</v>
      </c>
      <c r="N110" s="7">
        <v>14402.65</v>
      </c>
      <c r="O110" s="23">
        <f t="shared" si="6"/>
        <v>-2.2158848762113327E-3</v>
      </c>
      <c r="P110" s="7">
        <v>5811.25</v>
      </c>
      <c r="Q110" s="23">
        <f t="shared" si="7"/>
        <v>-1.5453223078407961E-2</v>
      </c>
      <c r="R110" s="7">
        <v>1773.55</v>
      </c>
      <c r="S110" s="23">
        <f t="shared" si="8"/>
        <v>5.9946454083119804E-3</v>
      </c>
      <c r="T110" s="7">
        <v>7546.5</v>
      </c>
      <c r="U110" s="23">
        <f t="shared" si="9"/>
        <v>4.3075598339976164E-4</v>
      </c>
      <c r="V110" s="7">
        <v>2857.7</v>
      </c>
      <c r="W110" s="23">
        <f t="shared" si="10"/>
        <v>-4.3471877254857129E-3</v>
      </c>
      <c r="X110" s="7">
        <v>2458.4</v>
      </c>
      <c r="Y110" s="23">
        <f t="shared" si="11"/>
        <v>1.8992265848131518E-2</v>
      </c>
      <c r="Z110" s="7">
        <v>6843.85</v>
      </c>
      <c r="AA110" s="23">
        <f t="shared" si="12"/>
        <v>6.7236228242043851E-4</v>
      </c>
      <c r="AB110" s="10">
        <v>634</v>
      </c>
      <c r="AC110" s="23">
        <f t="shared" si="13"/>
        <v>-1.4973011978165927E-3</v>
      </c>
      <c r="AD110" s="11">
        <v>13986.3</v>
      </c>
      <c r="AE110" s="23">
        <f t="shared" si="14"/>
        <v>1.2090559033560624E-3</v>
      </c>
    </row>
    <row r="111" spans="1:31" ht="13.8">
      <c r="A111" s="12">
        <v>45602</v>
      </c>
      <c r="B111" s="7">
        <v>1823.7</v>
      </c>
      <c r="C111" s="49">
        <f t="shared" si="0"/>
        <v>3.8854491905505301E-2</v>
      </c>
      <c r="D111" s="8">
        <v>576.45000000000005</v>
      </c>
      <c r="E111" s="49">
        <f t="shared" si="1"/>
        <v>4.6243319059828841E-2</v>
      </c>
      <c r="F111" s="7">
        <v>2748.85</v>
      </c>
      <c r="G111" s="49">
        <f t="shared" si="2"/>
        <v>1.2666970268072815E-2</v>
      </c>
      <c r="H111" s="7">
        <v>1080.6500000000001</v>
      </c>
      <c r="I111" s="23">
        <f t="shared" si="3"/>
        <v>4.5821826163727791E-2</v>
      </c>
      <c r="J111" s="7">
        <v>1693.55</v>
      </c>
      <c r="K111" s="23">
        <f t="shared" si="4"/>
        <v>3.6622455931433373E-2</v>
      </c>
      <c r="L111" s="7">
        <v>10590.2</v>
      </c>
      <c r="M111" s="9">
        <f t="shared" si="5"/>
        <v>-9.5797426458807356E-4</v>
      </c>
      <c r="N111" s="7">
        <v>15647.6</v>
      </c>
      <c r="O111" s="23">
        <f t="shared" si="6"/>
        <v>8.2905333164852033E-2</v>
      </c>
      <c r="P111" s="7">
        <v>5954.15</v>
      </c>
      <c r="Q111" s="23">
        <f t="shared" si="7"/>
        <v>2.4292761401049055E-2</v>
      </c>
      <c r="R111" s="7">
        <v>1838.4</v>
      </c>
      <c r="S111" s="23">
        <f t="shared" si="8"/>
        <v>3.5912440439206585E-2</v>
      </c>
      <c r="T111" s="7">
        <v>7829.5</v>
      </c>
      <c r="U111" s="23">
        <f t="shared" si="9"/>
        <v>3.6814771386014598E-2</v>
      </c>
      <c r="V111" s="7">
        <v>2896.4</v>
      </c>
      <c r="W111" s="23">
        <f t="shared" si="10"/>
        <v>1.3451481043879875E-2</v>
      </c>
      <c r="X111" s="7">
        <v>2485.9</v>
      </c>
      <c r="Y111" s="23">
        <f t="shared" si="11"/>
        <v>1.1124035183859748E-2</v>
      </c>
      <c r="Z111" s="7">
        <v>7106.85</v>
      </c>
      <c r="AA111" s="23">
        <f t="shared" si="12"/>
        <v>3.7708668887977984E-2</v>
      </c>
      <c r="AB111" s="10">
        <v>648.70000000000005</v>
      </c>
      <c r="AC111" s="23">
        <f t="shared" si="13"/>
        <v>2.2921405781783782E-2</v>
      </c>
      <c r="AD111" s="11">
        <v>14817.25</v>
      </c>
      <c r="AE111" s="23">
        <f t="shared" si="14"/>
        <v>5.7713763522486305E-2</v>
      </c>
    </row>
    <row r="112" spans="1:31" ht="13.8">
      <c r="A112" s="12">
        <v>45603</v>
      </c>
      <c r="B112" s="7">
        <v>1803.05</v>
      </c>
      <c r="C112" s="49">
        <f t="shared" si="0"/>
        <v>-1.1387729045468271E-2</v>
      </c>
      <c r="D112" s="8">
        <v>572.1</v>
      </c>
      <c r="E112" s="49">
        <f t="shared" si="1"/>
        <v>-7.5748044044796443E-3</v>
      </c>
      <c r="F112" s="7">
        <v>2727</v>
      </c>
      <c r="G112" s="49">
        <f t="shared" si="2"/>
        <v>-7.9805385344457174E-3</v>
      </c>
      <c r="H112" s="7">
        <v>1077.0999999999999</v>
      </c>
      <c r="I112" s="23">
        <f t="shared" si="3"/>
        <v>-3.2904675732029795E-3</v>
      </c>
      <c r="J112" s="7">
        <v>1651</v>
      </c>
      <c r="K112" s="23">
        <f t="shared" si="4"/>
        <v>-2.5445752554939693E-2</v>
      </c>
      <c r="L112" s="7">
        <v>10498.85</v>
      </c>
      <c r="M112" s="9">
        <f t="shared" si="5"/>
        <v>-8.6633178204636192E-3</v>
      </c>
      <c r="N112" s="7">
        <v>15698.5</v>
      </c>
      <c r="O112" s="23">
        <f t="shared" si="6"/>
        <v>3.2476157950675861E-3</v>
      </c>
      <c r="P112" s="7">
        <v>5959.95</v>
      </c>
      <c r="Q112" s="23">
        <f t="shared" si="7"/>
        <v>9.7363635661679897E-4</v>
      </c>
      <c r="R112" s="7">
        <v>1831.95</v>
      </c>
      <c r="S112" s="23">
        <f t="shared" si="8"/>
        <v>-3.5146548092840828E-3</v>
      </c>
      <c r="T112" s="7">
        <v>7853.35</v>
      </c>
      <c r="U112" s="23">
        <f t="shared" si="9"/>
        <v>3.0415413507503034E-3</v>
      </c>
      <c r="V112" s="7">
        <v>2839.15</v>
      </c>
      <c r="W112" s="23">
        <f t="shared" si="10"/>
        <v>-1.9963874931981034E-2</v>
      </c>
      <c r="X112" s="7">
        <v>2479.4499999999998</v>
      </c>
      <c r="Y112" s="23">
        <f t="shared" si="11"/>
        <v>-2.5980056301883442E-3</v>
      </c>
      <c r="Z112" s="7">
        <v>6946.25</v>
      </c>
      <c r="AA112" s="23">
        <f t="shared" si="12"/>
        <v>-2.2857162058152049E-2</v>
      </c>
      <c r="AB112" s="10">
        <v>631.65</v>
      </c>
      <c r="AC112" s="23">
        <f t="shared" si="13"/>
        <v>-2.6634916942963348E-2</v>
      </c>
      <c r="AD112" s="11">
        <v>14353.85</v>
      </c>
      <c r="AE112" s="23">
        <f t="shared" si="14"/>
        <v>-3.1773843691051712E-2</v>
      </c>
    </row>
    <row r="113" spans="1:31" ht="13.8">
      <c r="A113" s="12">
        <v>45604</v>
      </c>
      <c r="B113" s="7">
        <v>1829.95</v>
      </c>
      <c r="C113" s="49">
        <f t="shared" si="0"/>
        <v>1.4808968680513086E-2</v>
      </c>
      <c r="D113" s="8">
        <v>584.5</v>
      </c>
      <c r="E113" s="49">
        <f t="shared" si="1"/>
        <v>2.1442979637639907E-2</v>
      </c>
      <c r="F113" s="7">
        <v>2659.5</v>
      </c>
      <c r="G113" s="49">
        <f t="shared" si="2"/>
        <v>-2.5063968663216276E-2</v>
      </c>
      <c r="H113" s="7">
        <v>1050.3</v>
      </c>
      <c r="I113" s="23">
        <f t="shared" si="3"/>
        <v>-2.5196406727994787E-2</v>
      </c>
      <c r="J113" s="7">
        <v>1681.35</v>
      </c>
      <c r="K113" s="23">
        <f t="shared" si="4"/>
        <v>1.8215877215085993E-2</v>
      </c>
      <c r="L113" s="7">
        <v>10488.3</v>
      </c>
      <c r="M113" s="9">
        <f t="shared" si="5"/>
        <v>-1.005377184481722E-3</v>
      </c>
      <c r="N113" s="7">
        <v>15621.1</v>
      </c>
      <c r="O113" s="23">
        <f t="shared" si="6"/>
        <v>-4.9426019214171869E-3</v>
      </c>
      <c r="P113" s="7">
        <v>5949.85</v>
      </c>
      <c r="Q113" s="23">
        <f t="shared" si="7"/>
        <v>-1.6960826245980543E-3</v>
      </c>
      <c r="R113" s="7">
        <v>1837.5</v>
      </c>
      <c r="S113" s="23">
        <f t="shared" si="8"/>
        <v>3.0249788017845027E-3</v>
      </c>
      <c r="T113" s="7">
        <v>7953.8</v>
      </c>
      <c r="U113" s="23">
        <f t="shared" si="9"/>
        <v>1.270960953391502E-2</v>
      </c>
      <c r="V113" s="7">
        <v>2858.35</v>
      </c>
      <c r="W113" s="23">
        <f t="shared" si="10"/>
        <v>6.7398236701366656E-3</v>
      </c>
      <c r="X113" s="7">
        <v>2467.9</v>
      </c>
      <c r="Y113" s="23">
        <f t="shared" si="11"/>
        <v>-4.6691748041439354E-3</v>
      </c>
      <c r="Z113" s="7">
        <v>6695.75</v>
      </c>
      <c r="AA113" s="23">
        <f t="shared" si="12"/>
        <v>-3.6728948844634741E-2</v>
      </c>
      <c r="AB113" s="10">
        <v>629.85</v>
      </c>
      <c r="AC113" s="23">
        <f t="shared" si="13"/>
        <v>-2.8537474777344169E-3</v>
      </c>
      <c r="AD113" s="11">
        <v>14039.35</v>
      </c>
      <c r="AE113" s="23">
        <f t="shared" si="14"/>
        <v>-2.2154097674848921E-2</v>
      </c>
    </row>
    <row r="114" spans="1:31" ht="13.8">
      <c r="A114" s="13">
        <v>45607</v>
      </c>
      <c r="B114" s="7">
        <v>1860.1</v>
      </c>
      <c r="C114" s="49">
        <f t="shared" si="0"/>
        <v>1.6341605645073785E-2</v>
      </c>
      <c r="D114" s="8">
        <v>572.29999999999995</v>
      </c>
      <c r="E114" s="49">
        <f t="shared" si="1"/>
        <v>-2.109345149706664E-2</v>
      </c>
      <c r="F114" s="7">
        <v>2646.65</v>
      </c>
      <c r="G114" s="49">
        <f t="shared" si="2"/>
        <v>-4.8434458583472969E-3</v>
      </c>
      <c r="H114" s="7">
        <v>1041.95</v>
      </c>
      <c r="I114" s="23">
        <f t="shared" si="3"/>
        <v>-7.9818801116308766E-3</v>
      </c>
      <c r="J114" s="7">
        <v>1704.15</v>
      </c>
      <c r="K114" s="23">
        <f t="shared" si="4"/>
        <v>1.3469410548809268E-2</v>
      </c>
      <c r="L114" s="7">
        <v>10851.45</v>
      </c>
      <c r="M114" s="9">
        <f t="shared" si="5"/>
        <v>3.4038361439059125E-2</v>
      </c>
      <c r="N114" s="7">
        <v>15387.75</v>
      </c>
      <c r="O114" s="23">
        <f t="shared" si="6"/>
        <v>-1.5050826134913103E-2</v>
      </c>
      <c r="P114" s="7">
        <v>5899.95</v>
      </c>
      <c r="Q114" s="23">
        <f t="shared" si="7"/>
        <v>-8.4221328562321743E-3</v>
      </c>
      <c r="R114" s="7">
        <v>1867.3</v>
      </c>
      <c r="S114" s="23">
        <f t="shared" si="8"/>
        <v>1.6087585138042461E-2</v>
      </c>
      <c r="T114" s="7">
        <v>8066.9</v>
      </c>
      <c r="U114" s="23">
        <f t="shared" si="9"/>
        <v>1.4119467808002082E-2</v>
      </c>
      <c r="V114" s="7">
        <v>2861.5</v>
      </c>
      <c r="W114" s="23">
        <f t="shared" si="10"/>
        <v>1.1014275963354934E-3</v>
      </c>
      <c r="X114" s="7">
        <v>2460.5</v>
      </c>
      <c r="Y114" s="23">
        <f t="shared" si="11"/>
        <v>-3.0030052597696567E-3</v>
      </c>
      <c r="Z114" s="7">
        <v>6636.15</v>
      </c>
      <c r="AA114" s="23">
        <f t="shared" si="12"/>
        <v>-8.9410207163269917E-3</v>
      </c>
      <c r="AB114" s="10">
        <v>617.1</v>
      </c>
      <c r="AC114" s="23">
        <f t="shared" si="13"/>
        <v>-2.0450610471290768E-2</v>
      </c>
      <c r="AD114" s="11">
        <v>13491.8</v>
      </c>
      <c r="AE114" s="23">
        <f t="shared" si="14"/>
        <v>-3.9782007739298894E-2</v>
      </c>
    </row>
    <row r="115" spans="1:31" ht="13.8">
      <c r="A115" s="13">
        <v>45608</v>
      </c>
      <c r="B115" s="7">
        <v>1868.8</v>
      </c>
      <c r="C115" s="49">
        <f t="shared" si="0"/>
        <v>4.6662639310027778E-3</v>
      </c>
      <c r="D115" s="8">
        <v>562.15</v>
      </c>
      <c r="E115" s="49">
        <f t="shared" si="1"/>
        <v>-1.7894611219287985E-2</v>
      </c>
      <c r="F115" s="7">
        <v>2622.1</v>
      </c>
      <c r="G115" s="49">
        <f t="shared" si="2"/>
        <v>-9.3191659023221379E-3</v>
      </c>
      <c r="H115" s="7">
        <v>1028.3</v>
      </c>
      <c r="I115" s="23">
        <f t="shared" si="3"/>
        <v>-1.3187004281953914E-2</v>
      </c>
      <c r="J115" s="7">
        <v>1687</v>
      </c>
      <c r="K115" s="23">
        <f t="shared" si="4"/>
        <v>-1.0114649138054944E-2</v>
      </c>
      <c r="L115" s="7">
        <v>10794.15</v>
      </c>
      <c r="M115" s="9">
        <f t="shared" si="5"/>
        <v>-5.2943909012393908E-3</v>
      </c>
      <c r="N115" s="7">
        <v>15008.15</v>
      </c>
      <c r="O115" s="23">
        <f t="shared" si="6"/>
        <v>-2.497835144885573E-2</v>
      </c>
      <c r="P115" s="7">
        <v>5810.7</v>
      </c>
      <c r="Q115" s="23">
        <f t="shared" si="7"/>
        <v>-1.5242830765326979E-2</v>
      </c>
      <c r="R115" s="7">
        <v>1872.85</v>
      </c>
      <c r="S115" s="23">
        <f t="shared" si="8"/>
        <v>2.9677975875926272E-3</v>
      </c>
      <c r="T115" s="7">
        <v>8099.25</v>
      </c>
      <c r="U115" s="23">
        <f t="shared" si="9"/>
        <v>4.0021951028137645E-3</v>
      </c>
      <c r="V115" s="7">
        <v>2853.45</v>
      </c>
      <c r="W115" s="23">
        <f t="shared" si="10"/>
        <v>-2.8171743668970271E-3</v>
      </c>
      <c r="X115" s="7">
        <v>2440.3000000000002</v>
      </c>
      <c r="Y115" s="23">
        <f t="shared" si="11"/>
        <v>-8.2435987569456394E-3</v>
      </c>
      <c r="Z115" s="7">
        <v>6583.7</v>
      </c>
      <c r="AA115" s="23">
        <f t="shared" si="12"/>
        <v>-7.9350787204551815E-3</v>
      </c>
      <c r="AB115" s="10">
        <v>595.54999999999995</v>
      </c>
      <c r="AC115" s="23">
        <f t="shared" si="13"/>
        <v>-3.5545737000111308E-2</v>
      </c>
      <c r="AD115" s="11">
        <v>12952.8</v>
      </c>
      <c r="AE115" s="23">
        <f t="shared" si="14"/>
        <v>-4.0770112499957663E-2</v>
      </c>
    </row>
    <row r="116" spans="1:31" ht="13.8">
      <c r="A116" s="13">
        <v>45609</v>
      </c>
      <c r="B116" s="7">
        <v>1868.4</v>
      </c>
      <c r="C116" s="49">
        <f t="shared" si="0"/>
        <v>-2.1406400595484735E-4</v>
      </c>
      <c r="D116" s="8">
        <v>532.4</v>
      </c>
      <c r="E116" s="49">
        <f t="shared" si="1"/>
        <v>-5.4373631674812087E-2</v>
      </c>
      <c r="F116" s="7">
        <v>2532.15</v>
      </c>
      <c r="G116" s="49">
        <f t="shared" si="2"/>
        <v>-3.4906779206195365E-2</v>
      </c>
      <c r="H116" s="7">
        <v>979.2</v>
      </c>
      <c r="I116" s="23">
        <f t="shared" si="3"/>
        <v>-4.8926320477083167E-2</v>
      </c>
      <c r="J116" s="7">
        <v>1675.6</v>
      </c>
      <c r="K116" s="23">
        <f t="shared" si="4"/>
        <v>-6.7804934730885816E-3</v>
      </c>
      <c r="L116" s="7">
        <v>10528.65</v>
      </c>
      <c r="M116" s="9">
        <f t="shared" si="5"/>
        <v>-2.4904207910422381E-2</v>
      </c>
      <c r="N116" s="7">
        <v>14719.95</v>
      </c>
      <c r="O116" s="23">
        <f t="shared" si="6"/>
        <v>-1.9389670327601211E-2</v>
      </c>
      <c r="P116" s="7">
        <v>5770.1</v>
      </c>
      <c r="Q116" s="23">
        <f t="shared" si="7"/>
        <v>-7.0116341418079466E-3</v>
      </c>
      <c r="R116" s="7">
        <v>1864.75</v>
      </c>
      <c r="S116" s="23">
        <f t="shared" si="8"/>
        <v>-4.3343389773542835E-3</v>
      </c>
      <c r="T116" s="7">
        <v>8056.2</v>
      </c>
      <c r="U116" s="23">
        <f t="shared" si="9"/>
        <v>-5.3294834742613961E-3</v>
      </c>
      <c r="V116" s="7">
        <v>2845.35</v>
      </c>
      <c r="W116" s="23">
        <f t="shared" si="10"/>
        <v>-2.8427056414183334E-3</v>
      </c>
      <c r="X116" s="7">
        <v>2385.75</v>
      </c>
      <c r="Y116" s="23">
        <f t="shared" si="11"/>
        <v>-2.2607442251724008E-2</v>
      </c>
      <c r="Z116" s="7">
        <v>6302.45</v>
      </c>
      <c r="AA116" s="23">
        <f t="shared" si="12"/>
        <v>-4.3658450641886191E-2</v>
      </c>
      <c r="AB116" s="10">
        <v>597.20000000000005</v>
      </c>
      <c r="AC116" s="23">
        <f t="shared" si="13"/>
        <v>2.7667173381256049E-3</v>
      </c>
      <c r="AD116" s="11">
        <v>12121.25</v>
      </c>
      <c r="AE116" s="23">
        <f t="shared" si="14"/>
        <v>-6.6351870353786729E-2</v>
      </c>
    </row>
    <row r="117" spans="1:31" ht="13.8">
      <c r="A117" s="13">
        <v>45610</v>
      </c>
      <c r="B117" s="7">
        <v>1864.55</v>
      </c>
      <c r="C117" s="49">
        <f t="shared" si="0"/>
        <v>-2.0627125276664144E-3</v>
      </c>
      <c r="D117" s="8">
        <v>533.9</v>
      </c>
      <c r="E117" s="49">
        <f t="shared" si="1"/>
        <v>2.8134689851840706E-3</v>
      </c>
      <c r="F117" s="7">
        <v>2597.65</v>
      </c>
      <c r="G117" s="49">
        <f t="shared" si="2"/>
        <v>2.5538445924989335E-2</v>
      </c>
      <c r="H117" s="7">
        <v>989.55</v>
      </c>
      <c r="I117" s="23">
        <f t="shared" si="3"/>
        <v>1.0514382578927874E-2</v>
      </c>
      <c r="J117" s="7">
        <v>1687.5</v>
      </c>
      <c r="K117" s="23">
        <f t="shared" si="4"/>
        <v>7.0768336738050441E-3</v>
      </c>
      <c r="L117" s="7">
        <v>10850.1</v>
      </c>
      <c r="M117" s="9">
        <f t="shared" si="5"/>
        <v>3.0074183735158785E-2</v>
      </c>
      <c r="N117" s="7">
        <v>14776.1</v>
      </c>
      <c r="O117" s="23">
        <f t="shared" si="6"/>
        <v>3.8072940496635174E-3</v>
      </c>
      <c r="P117" s="7">
        <v>5750.1</v>
      </c>
      <c r="Q117" s="23">
        <f t="shared" si="7"/>
        <v>-3.4721654299781327E-3</v>
      </c>
      <c r="R117" s="7">
        <v>1858.95</v>
      </c>
      <c r="S117" s="23">
        <f t="shared" si="8"/>
        <v>-3.115183656279667E-3</v>
      </c>
      <c r="T117" s="7">
        <v>8074</v>
      </c>
      <c r="U117" s="23">
        <f t="shared" si="9"/>
        <v>2.2070411061686983E-3</v>
      </c>
      <c r="V117" s="7">
        <v>2839.3</v>
      </c>
      <c r="W117" s="23">
        <f t="shared" si="10"/>
        <v>-2.1285399397389039E-3</v>
      </c>
      <c r="X117" s="7">
        <v>2396.15</v>
      </c>
      <c r="Y117" s="23">
        <f t="shared" si="11"/>
        <v>4.3497423189745484E-3</v>
      </c>
      <c r="Z117" s="7">
        <v>6114.6</v>
      </c>
      <c r="AA117" s="23">
        <f t="shared" si="12"/>
        <v>-3.0259092608124712E-2</v>
      </c>
      <c r="AB117" s="10">
        <v>592.25</v>
      </c>
      <c r="AC117" s="23">
        <f t="shared" si="13"/>
        <v>-8.323222626140582E-3</v>
      </c>
      <c r="AD117" s="11">
        <v>11782.35</v>
      </c>
      <c r="AE117" s="23">
        <f t="shared" si="14"/>
        <v>-2.8357461646655258E-2</v>
      </c>
    </row>
    <row r="118" spans="1:31" ht="13.8">
      <c r="A118" s="13">
        <v>45614</v>
      </c>
      <c r="B118" s="7">
        <v>1811.45</v>
      </c>
      <c r="C118" s="49">
        <f t="shared" si="0"/>
        <v>-2.8892107581355839E-2</v>
      </c>
      <c r="D118" s="8">
        <v>529.1</v>
      </c>
      <c r="E118" s="49">
        <f t="shared" si="1"/>
        <v>-9.0311055960543597E-3</v>
      </c>
      <c r="F118" s="7">
        <v>2597.9</v>
      </c>
      <c r="G118" s="49">
        <f t="shared" si="2"/>
        <v>9.6236202208842733E-5</v>
      </c>
      <c r="H118" s="7">
        <v>939.65</v>
      </c>
      <c r="I118" s="23">
        <f t="shared" si="3"/>
        <v>-5.1742828834379674E-2</v>
      </c>
      <c r="J118" s="7">
        <v>1660.8</v>
      </c>
      <c r="K118" s="23">
        <f t="shared" si="4"/>
        <v>-1.594872977511546E-2</v>
      </c>
      <c r="L118" s="7">
        <v>10684.75</v>
      </c>
      <c r="M118" s="9">
        <f t="shared" si="5"/>
        <v>-1.5356805322382512E-2</v>
      </c>
      <c r="N118" s="7">
        <v>14811.45</v>
      </c>
      <c r="O118" s="23">
        <f t="shared" si="6"/>
        <v>2.389519701369692E-3</v>
      </c>
      <c r="P118" s="7">
        <v>5766.65</v>
      </c>
      <c r="Q118" s="23">
        <f t="shared" si="7"/>
        <v>2.874076695656569E-3</v>
      </c>
      <c r="R118" s="7">
        <v>1835</v>
      </c>
      <c r="S118" s="23">
        <f t="shared" si="8"/>
        <v>-1.2967330690322311E-2</v>
      </c>
      <c r="T118" s="7">
        <v>8006.6</v>
      </c>
      <c r="U118" s="23">
        <f t="shared" si="9"/>
        <v>-8.3828208763569827E-3</v>
      </c>
      <c r="V118" s="7">
        <v>2758.15</v>
      </c>
      <c r="W118" s="23">
        <f t="shared" si="10"/>
        <v>-2.8997377789659246E-2</v>
      </c>
      <c r="X118" s="7">
        <v>2416</v>
      </c>
      <c r="Y118" s="23">
        <f t="shared" si="11"/>
        <v>8.2499974383679706E-3</v>
      </c>
      <c r="Z118" s="7">
        <v>6016.3</v>
      </c>
      <c r="AA118" s="23">
        <f t="shared" si="12"/>
        <v>-1.6206901655069154E-2</v>
      </c>
      <c r="AB118" s="10">
        <v>595.15</v>
      </c>
      <c r="AC118" s="23">
        <f t="shared" si="13"/>
        <v>4.8846315749939348E-3</v>
      </c>
      <c r="AD118" s="11">
        <v>11392.15</v>
      </c>
      <c r="AE118" s="23">
        <f t="shared" si="14"/>
        <v>-3.3678127272198259E-2</v>
      </c>
    </row>
    <row r="119" spans="1:31" ht="13.8">
      <c r="A119" s="13">
        <v>45615</v>
      </c>
      <c r="B119" s="7">
        <v>1824.75</v>
      </c>
      <c r="C119" s="49">
        <f t="shared" si="0"/>
        <v>7.3153618128109161E-3</v>
      </c>
      <c r="D119" s="8">
        <v>552.65</v>
      </c>
      <c r="E119" s="49">
        <f t="shared" si="1"/>
        <v>4.3547439846878325E-2</v>
      </c>
      <c r="F119" s="7">
        <v>2574.4</v>
      </c>
      <c r="G119" s="49">
        <f t="shared" si="2"/>
        <v>-9.086929104586642E-3</v>
      </c>
      <c r="H119" s="7">
        <v>966.4</v>
      </c>
      <c r="I119" s="23">
        <f t="shared" si="3"/>
        <v>2.8070361677940681E-2</v>
      </c>
      <c r="J119" s="7">
        <v>1699.65</v>
      </c>
      <c r="K119" s="23">
        <f t="shared" si="4"/>
        <v>2.3122933523115931E-2</v>
      </c>
      <c r="L119" s="7">
        <v>10555.3</v>
      </c>
      <c r="M119" s="9">
        <f t="shared" si="5"/>
        <v>-1.2189387766549219E-2</v>
      </c>
      <c r="N119" s="7">
        <v>14876.4</v>
      </c>
      <c r="O119" s="23">
        <f t="shared" si="6"/>
        <v>4.3755343431002968E-3</v>
      </c>
      <c r="P119" s="7">
        <v>5900.85</v>
      </c>
      <c r="Q119" s="23">
        <f t="shared" si="7"/>
        <v>2.3005085673479E-2</v>
      </c>
      <c r="R119" s="7">
        <v>1820.55</v>
      </c>
      <c r="S119" s="23">
        <f t="shared" si="8"/>
        <v>-7.9058282681904995E-3</v>
      </c>
      <c r="T119" s="7">
        <v>8116.5</v>
      </c>
      <c r="U119" s="23">
        <f t="shared" si="9"/>
        <v>1.3632825214370403E-2</v>
      </c>
      <c r="V119" s="7">
        <v>2789.25</v>
      </c>
      <c r="W119" s="23">
        <f t="shared" si="10"/>
        <v>1.1212577361845716E-2</v>
      </c>
      <c r="X119" s="7">
        <v>2429.25</v>
      </c>
      <c r="Y119" s="23">
        <f t="shared" si="11"/>
        <v>5.4692876648428698E-3</v>
      </c>
      <c r="Z119" s="7">
        <v>5985.65</v>
      </c>
      <c r="AA119" s="23">
        <f t="shared" si="12"/>
        <v>-5.1075144671926861E-3</v>
      </c>
      <c r="AB119" s="10">
        <v>590.95000000000005</v>
      </c>
      <c r="AC119" s="23">
        <f t="shared" si="13"/>
        <v>-7.0820631556390524E-3</v>
      </c>
      <c r="AD119" s="11">
        <v>11729.4</v>
      </c>
      <c r="AE119" s="23">
        <f t="shared" si="14"/>
        <v>2.9173988744226418E-2</v>
      </c>
    </row>
    <row r="120" spans="1:31" ht="13.8">
      <c r="A120" s="13">
        <v>45617</v>
      </c>
      <c r="B120" s="7">
        <v>1834.05</v>
      </c>
      <c r="C120" s="49">
        <f t="shared" si="0"/>
        <v>5.0836449265671138E-3</v>
      </c>
      <c r="D120" s="8">
        <v>544.85</v>
      </c>
      <c r="E120" s="49">
        <f t="shared" si="1"/>
        <v>-1.4214362334069214E-2</v>
      </c>
      <c r="F120" s="7">
        <v>2558.65</v>
      </c>
      <c r="G120" s="49">
        <f t="shared" si="2"/>
        <v>-6.1367216091285015E-3</v>
      </c>
      <c r="H120" s="7">
        <v>926.9</v>
      </c>
      <c r="I120" s="23">
        <f t="shared" si="3"/>
        <v>-4.1732142298763458E-2</v>
      </c>
      <c r="J120" s="7">
        <v>1702.25</v>
      </c>
      <c r="K120" s="23">
        <f t="shared" si="4"/>
        <v>1.5285578683907897E-3</v>
      </c>
      <c r="L120" s="7">
        <v>10420.950000000001</v>
      </c>
      <c r="M120" s="9">
        <f t="shared" si="5"/>
        <v>-1.2809900450176381E-2</v>
      </c>
      <c r="N120" s="7">
        <v>14995.45</v>
      </c>
      <c r="O120" s="23">
        <f t="shared" si="6"/>
        <v>7.9707571040513042E-3</v>
      </c>
      <c r="P120" s="7">
        <v>5977.1</v>
      </c>
      <c r="Q120" s="23">
        <f t="shared" si="7"/>
        <v>1.2839092172048613E-2</v>
      </c>
      <c r="R120" s="7">
        <v>1836.35</v>
      </c>
      <c r="S120" s="23">
        <f t="shared" si="8"/>
        <v>8.6412526003001189E-3</v>
      </c>
      <c r="T120" s="7">
        <v>8210.1</v>
      </c>
      <c r="U120" s="23">
        <f t="shared" si="9"/>
        <v>1.146607688936126E-2</v>
      </c>
      <c r="V120" s="7">
        <v>2786.2</v>
      </c>
      <c r="W120" s="23">
        <f t="shared" si="10"/>
        <v>-1.0940822011646638E-3</v>
      </c>
      <c r="X120" s="7">
        <v>2388.4499999999998</v>
      </c>
      <c r="Y120" s="23">
        <f t="shared" si="11"/>
        <v>-1.6937947749003694E-2</v>
      </c>
      <c r="Z120" s="7">
        <v>5852.85</v>
      </c>
      <c r="AA120" s="23">
        <f t="shared" si="12"/>
        <v>-2.2436215860756809E-2</v>
      </c>
      <c r="AB120" s="10">
        <v>591.04999999999995</v>
      </c>
      <c r="AC120" s="23">
        <f t="shared" si="13"/>
        <v>1.6920473813628352E-4</v>
      </c>
      <c r="AD120" s="11">
        <v>11411.7</v>
      </c>
      <c r="AE120" s="23">
        <f t="shared" si="14"/>
        <v>-2.7459365574047562E-2</v>
      </c>
    </row>
    <row r="121" spans="1:31" ht="13.8">
      <c r="A121" s="13">
        <v>45618</v>
      </c>
      <c r="B121" s="7">
        <v>1902.25</v>
      </c>
      <c r="C121" s="49">
        <f t="shared" si="0"/>
        <v>3.6510759798323321E-2</v>
      </c>
      <c r="D121" s="8">
        <v>559.5</v>
      </c>
      <c r="E121" s="49">
        <f t="shared" si="1"/>
        <v>2.6533000329084788E-2</v>
      </c>
      <c r="F121" s="7">
        <v>2551.6</v>
      </c>
      <c r="G121" s="49">
        <f t="shared" si="2"/>
        <v>-2.7591622611900014E-3</v>
      </c>
      <c r="H121" s="7">
        <v>935.4</v>
      </c>
      <c r="I121" s="23">
        <f t="shared" si="3"/>
        <v>9.1285604099987563E-3</v>
      </c>
      <c r="J121" s="7">
        <v>1747.45</v>
      </c>
      <c r="K121" s="23">
        <f t="shared" si="4"/>
        <v>2.6206677032259047E-2</v>
      </c>
      <c r="L121" s="7">
        <v>10458.299999999999</v>
      </c>
      <c r="M121" s="9">
        <f t="shared" si="5"/>
        <v>3.57771853301306E-3</v>
      </c>
      <c r="N121" s="7">
        <v>15348.7</v>
      </c>
      <c r="O121" s="23">
        <f t="shared" si="6"/>
        <v>2.3283958138997137E-2</v>
      </c>
      <c r="P121" s="7">
        <v>5998.35</v>
      </c>
      <c r="Q121" s="23">
        <f t="shared" si="7"/>
        <v>3.5489309050570172E-3</v>
      </c>
      <c r="R121" s="7">
        <v>1898.4</v>
      </c>
      <c r="S121" s="23">
        <f t="shared" si="8"/>
        <v>3.3231520300773539E-2</v>
      </c>
      <c r="T121" s="7">
        <v>8327.5</v>
      </c>
      <c r="U121" s="23">
        <f t="shared" si="9"/>
        <v>1.4198187427573632E-2</v>
      </c>
      <c r="V121" s="7">
        <v>2883.55</v>
      </c>
      <c r="W121" s="23">
        <f t="shared" si="10"/>
        <v>3.4343513671154215E-2</v>
      </c>
      <c r="X121" s="7">
        <v>2414.25</v>
      </c>
      <c r="Y121" s="23">
        <f t="shared" si="11"/>
        <v>1.0744059876482638E-2</v>
      </c>
      <c r="Z121" s="7">
        <v>5626.2</v>
      </c>
      <c r="AA121" s="23">
        <f t="shared" si="12"/>
        <v>-3.9494463426049904E-2</v>
      </c>
      <c r="AB121" s="10">
        <v>599.15</v>
      </c>
      <c r="AC121" s="23">
        <f t="shared" si="13"/>
        <v>1.3611367932139681E-2</v>
      </c>
      <c r="AD121" s="11">
        <v>11513.05</v>
      </c>
      <c r="AE121" s="23">
        <f t="shared" si="14"/>
        <v>8.8420297108554279E-3</v>
      </c>
    </row>
    <row r="122" spans="1:31" ht="13.8">
      <c r="A122" s="13">
        <v>45621</v>
      </c>
      <c r="B122" s="7">
        <v>1889.7</v>
      </c>
      <c r="C122" s="49">
        <f t="shared" si="0"/>
        <v>-6.6193097606391006E-3</v>
      </c>
      <c r="D122" s="8">
        <v>575.04999999999995</v>
      </c>
      <c r="E122" s="49">
        <f t="shared" si="1"/>
        <v>2.741346578661032E-2</v>
      </c>
      <c r="F122" s="7">
        <v>2610.1</v>
      </c>
      <c r="G122" s="49">
        <f t="shared" si="2"/>
        <v>2.2667921391214742E-2</v>
      </c>
      <c r="H122" s="7">
        <v>994.15</v>
      </c>
      <c r="I122" s="23">
        <f t="shared" si="3"/>
        <v>6.091385541230445E-2</v>
      </c>
      <c r="J122" s="7">
        <v>1732.6</v>
      </c>
      <c r="K122" s="23">
        <f t="shared" si="4"/>
        <v>-8.5344119392953399E-3</v>
      </c>
      <c r="L122" s="7">
        <v>10591.55</v>
      </c>
      <c r="M122" s="9">
        <f t="shared" si="5"/>
        <v>1.2660591870121002E-2</v>
      </c>
      <c r="N122" s="7">
        <v>15724.8</v>
      </c>
      <c r="O122" s="23">
        <f t="shared" si="6"/>
        <v>2.4208304011655322E-2</v>
      </c>
      <c r="P122" s="7">
        <v>6138.45</v>
      </c>
      <c r="Q122" s="23">
        <f t="shared" si="7"/>
        <v>2.3087835884590274E-2</v>
      </c>
      <c r="R122" s="7">
        <v>1891.7</v>
      </c>
      <c r="S122" s="23">
        <f t="shared" si="8"/>
        <v>-3.5355304499361897E-3</v>
      </c>
      <c r="T122" s="7">
        <v>8611.6</v>
      </c>
      <c r="U122" s="23">
        <f t="shared" si="9"/>
        <v>3.3546840519339247E-2</v>
      </c>
      <c r="V122" s="7">
        <v>2982.4</v>
      </c>
      <c r="W122" s="23">
        <f t="shared" si="10"/>
        <v>3.3706171547993408E-2</v>
      </c>
      <c r="X122" s="7">
        <v>2458.35</v>
      </c>
      <c r="Y122" s="23">
        <f t="shared" si="11"/>
        <v>1.8101713330918812E-2</v>
      </c>
      <c r="Z122" s="7">
        <v>5758.9</v>
      </c>
      <c r="AA122" s="23">
        <f t="shared" si="12"/>
        <v>2.3312225576563369E-2</v>
      </c>
      <c r="AB122" s="10">
        <v>607.79999999999995</v>
      </c>
      <c r="AC122" s="23">
        <f t="shared" si="13"/>
        <v>1.4333896354167115E-2</v>
      </c>
      <c r="AD122" s="11">
        <v>11660.2</v>
      </c>
      <c r="AE122" s="23">
        <f t="shared" si="14"/>
        <v>1.270015883510347E-2</v>
      </c>
    </row>
    <row r="123" spans="1:31" ht="13.8">
      <c r="A123" s="13">
        <v>45622</v>
      </c>
      <c r="B123" s="7">
        <v>1924.15</v>
      </c>
      <c r="C123" s="49">
        <f t="shared" si="0"/>
        <v>1.8066225468697655E-2</v>
      </c>
      <c r="D123" s="8">
        <v>595.29999999999995</v>
      </c>
      <c r="E123" s="49">
        <f t="shared" si="1"/>
        <v>3.4608486620753942E-2</v>
      </c>
      <c r="F123" s="7">
        <v>2580.6</v>
      </c>
      <c r="G123" s="49">
        <f t="shared" si="2"/>
        <v>-1.1366604741269316E-2</v>
      </c>
      <c r="H123" s="7">
        <v>1032.0999999999999</v>
      </c>
      <c r="I123" s="23">
        <f t="shared" si="3"/>
        <v>3.7462739867797315E-2</v>
      </c>
      <c r="J123" s="7">
        <v>1745.4</v>
      </c>
      <c r="K123" s="23">
        <f t="shared" si="4"/>
        <v>7.3605852731711075E-3</v>
      </c>
      <c r="L123" s="7">
        <v>10476.25</v>
      </c>
      <c r="M123" s="9">
        <f t="shared" si="5"/>
        <v>-1.0945722966904966E-2</v>
      </c>
      <c r="N123" s="7">
        <v>15501.1</v>
      </c>
      <c r="O123" s="23">
        <f t="shared" si="6"/>
        <v>-1.4328094755622809E-2</v>
      </c>
      <c r="P123" s="7">
        <v>6072.5</v>
      </c>
      <c r="Q123" s="23">
        <f t="shared" si="7"/>
        <v>-1.080188539902101E-2</v>
      </c>
      <c r="R123" s="7">
        <v>1899.55</v>
      </c>
      <c r="S123" s="23">
        <f t="shared" si="8"/>
        <v>4.1411203261303544E-3</v>
      </c>
      <c r="T123" s="7">
        <v>8616.5499999999993</v>
      </c>
      <c r="U123" s="23">
        <f t="shared" si="9"/>
        <v>5.7464093779214501E-4</v>
      </c>
      <c r="V123" s="7">
        <v>2999.1</v>
      </c>
      <c r="W123" s="23">
        <f t="shared" si="10"/>
        <v>5.5838981499726371E-3</v>
      </c>
      <c r="X123" s="7">
        <v>2424.6</v>
      </c>
      <c r="Y123" s="23">
        <f t="shared" si="11"/>
        <v>-1.3823830865462992E-2</v>
      </c>
      <c r="Z123" s="7">
        <v>5771.6</v>
      </c>
      <c r="AA123" s="23">
        <f t="shared" si="12"/>
        <v>2.2028541929028705E-3</v>
      </c>
      <c r="AB123" s="10">
        <v>628.35</v>
      </c>
      <c r="AC123" s="23">
        <f t="shared" si="13"/>
        <v>3.325145557846091E-2</v>
      </c>
      <c r="AD123" s="11">
        <v>12337.2</v>
      </c>
      <c r="AE123" s="23">
        <f t="shared" si="14"/>
        <v>5.643775492063282E-2</v>
      </c>
    </row>
    <row r="124" spans="1:31" ht="13.8">
      <c r="A124" s="13">
        <v>45623</v>
      </c>
      <c r="B124" s="7">
        <v>1924.5</v>
      </c>
      <c r="C124" s="49">
        <f t="shared" si="0"/>
        <v>1.8188195911016781E-4</v>
      </c>
      <c r="D124" s="8">
        <v>582.95000000000005</v>
      </c>
      <c r="E124" s="49">
        <f t="shared" si="1"/>
        <v>-2.0964060780043859E-2</v>
      </c>
      <c r="F124" s="7">
        <v>2557</v>
      </c>
      <c r="G124" s="49">
        <f t="shared" si="2"/>
        <v>-9.1872337265589445E-3</v>
      </c>
      <c r="H124" s="7">
        <v>1116.75</v>
      </c>
      <c r="I124" s="23">
        <f t="shared" si="3"/>
        <v>7.8827119660340561E-2</v>
      </c>
      <c r="J124" s="7">
        <v>1756.8</v>
      </c>
      <c r="K124" s="23">
        <f t="shared" si="4"/>
        <v>6.5102165860005433E-3</v>
      </c>
      <c r="L124" s="7">
        <v>10221.85</v>
      </c>
      <c r="M124" s="9">
        <f t="shared" si="5"/>
        <v>-2.4583204424607107E-2</v>
      </c>
      <c r="N124" s="7">
        <v>15617.5</v>
      </c>
      <c r="O124" s="23">
        <f t="shared" si="6"/>
        <v>7.4810912365426132E-3</v>
      </c>
      <c r="P124" s="7">
        <v>5999.2</v>
      </c>
      <c r="Q124" s="23">
        <f t="shared" si="7"/>
        <v>-1.2144254889147939E-2</v>
      </c>
      <c r="R124" s="7">
        <v>1891.05</v>
      </c>
      <c r="S124" s="23">
        <f t="shared" si="8"/>
        <v>-4.4847856523599263E-3</v>
      </c>
      <c r="T124" s="7">
        <v>8672.9</v>
      </c>
      <c r="U124" s="23">
        <f t="shared" si="9"/>
        <v>6.5184490572751811E-3</v>
      </c>
      <c r="V124" s="7">
        <v>3017</v>
      </c>
      <c r="W124" s="23">
        <f t="shared" si="10"/>
        <v>5.9507165178164408E-3</v>
      </c>
      <c r="X124" s="7">
        <v>2440.65</v>
      </c>
      <c r="Y124" s="23">
        <f t="shared" si="11"/>
        <v>6.5978349409547476E-3</v>
      </c>
      <c r="Z124" s="7">
        <v>5820.75</v>
      </c>
      <c r="AA124" s="23">
        <f t="shared" si="12"/>
        <v>8.4797809792571625E-3</v>
      </c>
      <c r="AB124" s="10">
        <v>649.9</v>
      </c>
      <c r="AC124" s="23">
        <f t="shared" si="13"/>
        <v>3.3721168839149641E-2</v>
      </c>
      <c r="AD124" s="11">
        <v>12138.6</v>
      </c>
      <c r="AE124" s="23">
        <f t="shared" si="14"/>
        <v>-1.6228630625250134E-2</v>
      </c>
    </row>
    <row r="125" spans="1:31" ht="13.8">
      <c r="A125" s="13">
        <v>45624</v>
      </c>
      <c r="B125" s="7">
        <v>1856.65</v>
      </c>
      <c r="C125" s="49">
        <f t="shared" si="0"/>
        <v>-3.5892405171553468E-2</v>
      </c>
      <c r="D125" s="8">
        <v>583.65</v>
      </c>
      <c r="E125" s="49">
        <f t="shared" si="1"/>
        <v>1.2000687193717025E-3</v>
      </c>
      <c r="F125" s="7">
        <v>2560.4</v>
      </c>
      <c r="G125" s="49">
        <f t="shared" si="2"/>
        <v>1.3287999766617763E-3</v>
      </c>
      <c r="H125" s="7">
        <v>1169.95</v>
      </c>
      <c r="I125" s="23">
        <f t="shared" si="3"/>
        <v>4.6538331603670796E-2</v>
      </c>
      <c r="J125" s="7">
        <v>1713.35</v>
      </c>
      <c r="K125" s="23">
        <f t="shared" si="4"/>
        <v>-2.5043453954964275E-2</v>
      </c>
      <c r="L125" s="7">
        <v>10326.450000000001</v>
      </c>
      <c r="M125" s="9">
        <f t="shared" si="5"/>
        <v>1.0180978815887098E-2</v>
      </c>
      <c r="N125" s="7">
        <v>15608.2</v>
      </c>
      <c r="O125" s="23">
        <f t="shared" si="6"/>
        <v>-5.9566320530722236E-4</v>
      </c>
      <c r="P125" s="7">
        <v>5951.8</v>
      </c>
      <c r="Q125" s="23">
        <f t="shared" si="7"/>
        <v>-7.932432189354308E-3</v>
      </c>
      <c r="R125" s="7">
        <v>1840.9</v>
      </c>
      <c r="S125" s="23">
        <f t="shared" si="8"/>
        <v>-2.6877647892871628E-2</v>
      </c>
      <c r="T125" s="7">
        <v>8661.0499999999993</v>
      </c>
      <c r="U125" s="23">
        <f t="shared" si="9"/>
        <v>-1.3672592624336397E-3</v>
      </c>
      <c r="V125" s="7">
        <v>2957.6</v>
      </c>
      <c r="W125" s="23">
        <f t="shared" si="10"/>
        <v>-1.9884831536638947E-2</v>
      </c>
      <c r="X125" s="7">
        <v>2415.4499999999998</v>
      </c>
      <c r="Y125" s="23">
        <f t="shared" si="11"/>
        <v>-1.0378792121323048E-2</v>
      </c>
      <c r="Z125" s="7">
        <v>5874.7</v>
      </c>
      <c r="AA125" s="23">
        <f t="shared" si="12"/>
        <v>9.225875476412862E-3</v>
      </c>
      <c r="AB125" s="10">
        <v>644.85</v>
      </c>
      <c r="AC125" s="23">
        <f t="shared" si="13"/>
        <v>-7.8007732899028435E-3</v>
      </c>
      <c r="AD125" s="11">
        <v>12223.1</v>
      </c>
      <c r="AE125" s="23">
        <f t="shared" si="14"/>
        <v>6.9371463299267907E-3</v>
      </c>
    </row>
    <row r="126" spans="1:31" ht="13.8">
      <c r="A126" s="13">
        <v>45625</v>
      </c>
      <c r="B126" s="7">
        <v>1857.85</v>
      </c>
      <c r="C126" s="49">
        <f t="shared" si="0"/>
        <v>6.4611659267536903E-4</v>
      </c>
      <c r="D126" s="8">
        <v>584.29999999999995</v>
      </c>
      <c r="E126" s="49">
        <f t="shared" si="1"/>
        <v>1.1130614617191243E-3</v>
      </c>
      <c r="F126" s="7">
        <v>2561.1999999999998</v>
      </c>
      <c r="G126" s="49">
        <f t="shared" si="2"/>
        <v>3.1240237679877207E-4</v>
      </c>
      <c r="H126" s="7">
        <v>1150</v>
      </c>
      <c r="I126" s="23">
        <f t="shared" si="3"/>
        <v>-1.719907047860314E-2</v>
      </c>
      <c r="J126" s="7">
        <v>1712.3</v>
      </c>
      <c r="K126" s="23">
        <f t="shared" si="4"/>
        <v>-6.1302236532167738E-4</v>
      </c>
      <c r="L126" s="7">
        <v>10468.25</v>
      </c>
      <c r="M126" s="9">
        <f t="shared" si="5"/>
        <v>1.3638301868449002E-2</v>
      </c>
      <c r="N126" s="7">
        <v>15807.4</v>
      </c>
      <c r="O126" s="23">
        <f t="shared" si="6"/>
        <v>1.2681767639317231E-2</v>
      </c>
      <c r="P126" s="7">
        <v>6172.7</v>
      </c>
      <c r="Q126" s="23">
        <f t="shared" si="7"/>
        <v>3.6442648678680897E-2</v>
      </c>
      <c r="R126" s="7">
        <v>1848.05</v>
      </c>
      <c r="S126" s="23">
        <f t="shared" si="8"/>
        <v>3.8764466601547481E-3</v>
      </c>
      <c r="T126" s="7">
        <v>8685.85</v>
      </c>
      <c r="U126" s="23">
        <f t="shared" si="9"/>
        <v>2.8593024570685017E-3</v>
      </c>
      <c r="V126" s="7">
        <v>2974.55</v>
      </c>
      <c r="W126" s="23">
        <f t="shared" si="10"/>
        <v>5.7146384120825618E-3</v>
      </c>
      <c r="X126" s="7">
        <v>2434.4499999999998</v>
      </c>
      <c r="Y126" s="23">
        <f t="shared" si="11"/>
        <v>7.8352531815592506E-3</v>
      </c>
      <c r="Z126" s="7">
        <v>5673.15</v>
      </c>
      <c r="AA126" s="23">
        <f t="shared" si="12"/>
        <v>-3.4910475865273051E-2</v>
      </c>
      <c r="AB126" s="10">
        <v>644.95000000000005</v>
      </c>
      <c r="AC126" s="23">
        <f t="shared" si="13"/>
        <v>1.5506280074481824E-4</v>
      </c>
      <c r="AD126" s="11">
        <v>11978.55</v>
      </c>
      <c r="AE126" s="23">
        <f t="shared" si="14"/>
        <v>-2.0210053755674123E-2</v>
      </c>
    </row>
    <row r="127" spans="1:31" ht="13.8">
      <c r="A127" s="12">
        <v>45628</v>
      </c>
      <c r="B127" s="7">
        <v>1879.8</v>
      </c>
      <c r="C127" s="49">
        <f t="shared" si="0"/>
        <v>1.1745483041278247E-2</v>
      </c>
      <c r="D127" s="8">
        <v>595.04999999999995</v>
      </c>
      <c r="E127" s="49">
        <f t="shared" si="1"/>
        <v>1.8230886068057565E-2</v>
      </c>
      <c r="F127" s="7">
        <v>2616.4499999999998</v>
      </c>
      <c r="G127" s="49">
        <f t="shared" si="2"/>
        <v>2.1342538487606387E-2</v>
      </c>
      <c r="H127" s="7">
        <v>1151.8499999999999</v>
      </c>
      <c r="I127" s="23">
        <f t="shared" si="3"/>
        <v>1.6074030873665058E-3</v>
      </c>
      <c r="J127" s="7">
        <v>1745.95</v>
      </c>
      <c r="K127" s="23">
        <f t="shared" si="4"/>
        <v>1.9461324110271818E-2</v>
      </c>
      <c r="L127" s="7">
        <v>10403.299999999999</v>
      </c>
      <c r="M127" s="9">
        <f t="shared" si="5"/>
        <v>-6.2238031825123385E-3</v>
      </c>
      <c r="N127" s="7">
        <v>16763.900000000001</v>
      </c>
      <c r="O127" s="23">
        <f t="shared" si="6"/>
        <v>5.8749580061990062E-2</v>
      </c>
      <c r="P127" s="7">
        <v>6255.35</v>
      </c>
      <c r="Q127" s="23">
        <f t="shared" si="7"/>
        <v>1.3300754094880868E-2</v>
      </c>
      <c r="R127" s="7">
        <v>1871.5</v>
      </c>
      <c r="S127" s="23">
        <f t="shared" si="8"/>
        <v>1.260921923181235E-2</v>
      </c>
      <c r="T127" s="7">
        <v>8710.7000000000007</v>
      </c>
      <c r="U127" s="23">
        <f t="shared" si="9"/>
        <v>2.856890234186824E-3</v>
      </c>
      <c r="V127" s="7">
        <v>3050</v>
      </c>
      <c r="W127" s="23">
        <f t="shared" si="10"/>
        <v>2.5048823566952611E-2</v>
      </c>
      <c r="X127" s="7">
        <v>2493.4</v>
      </c>
      <c r="Y127" s="23">
        <f t="shared" si="11"/>
        <v>2.3926382597200938E-2</v>
      </c>
      <c r="Z127" s="7">
        <v>5757.15</v>
      </c>
      <c r="AA127" s="23">
        <f t="shared" si="12"/>
        <v>1.469804155998268E-2</v>
      </c>
      <c r="AB127" s="10">
        <v>646.54999999999995</v>
      </c>
      <c r="AC127" s="23">
        <f t="shared" si="13"/>
        <v>2.4777403307153101E-3</v>
      </c>
      <c r="AD127" s="11">
        <v>12264.3</v>
      </c>
      <c r="AE127" s="23">
        <f t="shared" si="14"/>
        <v>2.357505280631858E-2</v>
      </c>
    </row>
    <row r="128" spans="1:31" ht="13.8">
      <c r="A128" s="12">
        <v>45629</v>
      </c>
      <c r="B128" s="7">
        <v>1892.1</v>
      </c>
      <c r="C128" s="49">
        <f t="shared" si="0"/>
        <v>6.5219351515141558E-3</v>
      </c>
      <c r="D128" s="8">
        <v>534.15</v>
      </c>
      <c r="E128" s="49">
        <f t="shared" si="1"/>
        <v>-0.10796873723655231</v>
      </c>
      <c r="F128" s="7">
        <v>2559</v>
      </c>
      <c r="G128" s="49">
        <f t="shared" si="2"/>
        <v>-2.2201879972464592E-2</v>
      </c>
      <c r="H128" s="7">
        <v>1152.2</v>
      </c>
      <c r="I128" s="23">
        <f t="shared" si="3"/>
        <v>3.0381285362062431E-4</v>
      </c>
      <c r="J128" s="7">
        <v>1749.5</v>
      </c>
      <c r="K128" s="23">
        <f t="shared" si="4"/>
        <v>2.0312127025455692E-3</v>
      </c>
      <c r="L128" s="7">
        <v>10683</v>
      </c>
      <c r="M128" s="9">
        <f t="shared" si="5"/>
        <v>2.653062945555475E-2</v>
      </c>
      <c r="N128" s="7">
        <v>16866.45</v>
      </c>
      <c r="O128" s="23">
        <f t="shared" si="6"/>
        <v>6.0986768114111144E-3</v>
      </c>
      <c r="P128" s="7">
        <v>6210.55</v>
      </c>
      <c r="Q128" s="23">
        <f t="shared" si="7"/>
        <v>-7.1876387379753064E-3</v>
      </c>
      <c r="R128" s="7">
        <v>1890.75</v>
      </c>
      <c r="S128" s="23">
        <f t="shared" si="8"/>
        <v>1.0233327391655193E-2</v>
      </c>
      <c r="T128" s="7">
        <v>8718.25</v>
      </c>
      <c r="U128" s="23">
        <f t="shared" si="9"/>
        <v>8.6637467802192457E-4</v>
      </c>
      <c r="V128" s="7">
        <v>3018.95</v>
      </c>
      <c r="W128" s="23">
        <f t="shared" si="10"/>
        <v>-1.0232501807188567E-2</v>
      </c>
      <c r="X128" s="7">
        <v>2556.1999999999998</v>
      </c>
      <c r="Y128" s="23">
        <f t="shared" si="11"/>
        <v>2.4874539786739293E-2</v>
      </c>
      <c r="Z128" s="7">
        <v>5701.3</v>
      </c>
      <c r="AA128" s="23">
        <f t="shared" si="12"/>
        <v>-9.7483415794489929E-3</v>
      </c>
      <c r="AB128" s="10">
        <v>641.70000000000005</v>
      </c>
      <c r="AC128" s="23">
        <f t="shared" si="13"/>
        <v>-7.5296299853908795E-3</v>
      </c>
      <c r="AD128" s="11">
        <v>12220.95</v>
      </c>
      <c r="AE128" s="23">
        <f t="shared" si="14"/>
        <v>-3.5409109805859687E-3</v>
      </c>
    </row>
    <row r="129" spans="1:31" ht="13.8">
      <c r="A129" s="12">
        <v>45630</v>
      </c>
      <c r="B129" s="7">
        <v>1889.25</v>
      </c>
      <c r="C129" s="49">
        <f t="shared" si="0"/>
        <v>-1.5073984368858997E-3</v>
      </c>
      <c r="D129" s="8">
        <v>543.04999999999995</v>
      </c>
      <c r="E129" s="49">
        <f t="shared" si="1"/>
        <v>1.6524698334148661E-2</v>
      </c>
      <c r="F129" s="7">
        <v>2596.15</v>
      </c>
      <c r="G129" s="49">
        <f t="shared" si="2"/>
        <v>1.4413021196771453E-2</v>
      </c>
      <c r="H129" s="7">
        <v>1215.8</v>
      </c>
      <c r="I129" s="23">
        <f t="shared" si="3"/>
        <v>5.3729138016339335E-2</v>
      </c>
      <c r="J129" s="7">
        <v>1759.6</v>
      </c>
      <c r="K129" s="23">
        <f t="shared" si="4"/>
        <v>5.756477666821881E-3</v>
      </c>
      <c r="L129" s="7">
        <v>10607.15</v>
      </c>
      <c r="M129" s="9">
        <f t="shared" si="5"/>
        <v>-7.1253909358080063E-3</v>
      </c>
      <c r="N129" s="7">
        <v>17391.3</v>
      </c>
      <c r="O129" s="23">
        <f t="shared" si="6"/>
        <v>3.0643639485801705E-2</v>
      </c>
      <c r="P129" s="7">
        <v>6256.5</v>
      </c>
      <c r="Q129" s="23">
        <f t="shared" si="7"/>
        <v>7.3714644716978668E-3</v>
      </c>
      <c r="R129" s="7">
        <v>1897.65</v>
      </c>
      <c r="S129" s="23">
        <f t="shared" si="8"/>
        <v>3.6427027926493943E-3</v>
      </c>
      <c r="T129" s="7">
        <v>8765.9</v>
      </c>
      <c r="U129" s="23">
        <f t="shared" si="9"/>
        <v>5.4506645129881641E-3</v>
      </c>
      <c r="V129" s="7">
        <v>3017.7</v>
      </c>
      <c r="W129" s="23">
        <f t="shared" si="10"/>
        <v>-4.1413698586657279E-4</v>
      </c>
      <c r="X129" s="7">
        <v>2518.6999999999998</v>
      </c>
      <c r="Y129" s="23">
        <f t="shared" si="11"/>
        <v>-1.4778885316282235E-2</v>
      </c>
      <c r="Z129" s="7">
        <v>5625.2</v>
      </c>
      <c r="AA129" s="23">
        <f t="shared" si="12"/>
        <v>-1.3437715997938799E-2</v>
      </c>
      <c r="AB129" s="10">
        <v>631.6</v>
      </c>
      <c r="AC129" s="23">
        <f t="shared" si="13"/>
        <v>-1.5864622374982661E-2</v>
      </c>
      <c r="AD129" s="11">
        <v>12105.55</v>
      </c>
      <c r="AE129" s="23">
        <f t="shared" si="14"/>
        <v>-9.4876670010800804E-3</v>
      </c>
    </row>
    <row r="130" spans="1:31" ht="13.8">
      <c r="A130" s="12">
        <v>45631</v>
      </c>
      <c r="B130" s="7">
        <v>1934.85</v>
      </c>
      <c r="C130" s="49">
        <f t="shared" si="0"/>
        <v>2.3849879178425484E-2</v>
      </c>
      <c r="D130" s="8">
        <v>566.95000000000005</v>
      </c>
      <c r="E130" s="49">
        <f t="shared" si="1"/>
        <v>4.3069719691803975E-2</v>
      </c>
      <c r="F130" s="7">
        <v>2615.5</v>
      </c>
      <c r="G130" s="49">
        <f t="shared" si="2"/>
        <v>7.4257054541053465E-3</v>
      </c>
      <c r="H130" s="7">
        <v>1222.7</v>
      </c>
      <c r="I130" s="23">
        <f t="shared" si="3"/>
        <v>5.6592318355222666E-3</v>
      </c>
      <c r="J130" s="7">
        <v>1786.95</v>
      </c>
      <c r="K130" s="23">
        <f t="shared" si="4"/>
        <v>1.5423745438915309E-2</v>
      </c>
      <c r="L130" s="7">
        <v>10742.95</v>
      </c>
      <c r="M130" s="9">
        <f t="shared" si="5"/>
        <v>1.2721423452203942E-2</v>
      </c>
      <c r="N130" s="7">
        <v>17298.55</v>
      </c>
      <c r="O130" s="23">
        <f t="shared" si="6"/>
        <v>-5.3473982166452813E-3</v>
      </c>
      <c r="P130" s="7">
        <v>6096.2</v>
      </c>
      <c r="Q130" s="23">
        <f t="shared" si="7"/>
        <v>-2.5955297077861105E-2</v>
      </c>
      <c r="R130" s="7">
        <v>1924</v>
      </c>
      <c r="S130" s="23">
        <f t="shared" si="8"/>
        <v>1.3790073696863431E-2</v>
      </c>
      <c r="T130" s="7">
        <v>8817.7999999999993</v>
      </c>
      <c r="U130" s="23">
        <f t="shared" si="9"/>
        <v>5.9032115785766738E-3</v>
      </c>
      <c r="V130" s="7">
        <v>3051.3</v>
      </c>
      <c r="W130" s="23">
        <f t="shared" si="10"/>
        <v>1.1072777491258182E-2</v>
      </c>
      <c r="X130" s="7">
        <v>2512.1999999999998</v>
      </c>
      <c r="Y130" s="23">
        <f t="shared" si="11"/>
        <v>-2.5840321281791197E-3</v>
      </c>
      <c r="Z130" s="7">
        <v>5617.05</v>
      </c>
      <c r="AA130" s="23">
        <f t="shared" si="12"/>
        <v>-1.4498879544089121E-3</v>
      </c>
      <c r="AB130" s="10">
        <v>633.25</v>
      </c>
      <c r="AC130" s="23">
        <f t="shared" si="13"/>
        <v>2.6090065002974919E-3</v>
      </c>
      <c r="AD130" s="11">
        <v>11899.25</v>
      </c>
      <c r="AE130" s="23">
        <f t="shared" si="14"/>
        <v>-1.7188652206963577E-2</v>
      </c>
    </row>
    <row r="131" spans="1:31" ht="13.8">
      <c r="A131" s="12">
        <v>45632</v>
      </c>
      <c r="B131" s="7">
        <v>1922.4</v>
      </c>
      <c r="C131" s="49">
        <f t="shared" si="0"/>
        <v>-6.4553986569955727E-3</v>
      </c>
      <c r="D131" s="8">
        <v>575.65</v>
      </c>
      <c r="E131" s="49">
        <f t="shared" si="1"/>
        <v>1.5228720701824464E-2</v>
      </c>
      <c r="F131" s="7">
        <v>2586.4499999999998</v>
      </c>
      <c r="G131" s="49">
        <f t="shared" si="2"/>
        <v>-1.1169004696415494E-2</v>
      </c>
      <c r="H131" s="7">
        <v>1219.8</v>
      </c>
      <c r="I131" s="23">
        <f t="shared" si="3"/>
        <v>-2.3746172877885182E-3</v>
      </c>
      <c r="J131" s="7">
        <v>1782.8</v>
      </c>
      <c r="K131" s="23">
        <f t="shared" si="4"/>
        <v>-2.3250938410791467E-3</v>
      </c>
      <c r="L131" s="7">
        <v>10675.85</v>
      </c>
      <c r="M131" s="9">
        <f t="shared" si="5"/>
        <v>-6.2655442426433209E-3</v>
      </c>
      <c r="N131" s="7">
        <v>17421.05</v>
      </c>
      <c r="O131" s="23">
        <f t="shared" si="6"/>
        <v>7.0565621910534523E-3</v>
      </c>
      <c r="P131" s="7">
        <v>6130.75</v>
      </c>
      <c r="Q131" s="23">
        <f t="shared" si="7"/>
        <v>5.6514653217407344E-3</v>
      </c>
      <c r="R131" s="7">
        <v>1922.7</v>
      </c>
      <c r="S131" s="23">
        <f t="shared" si="8"/>
        <v>-6.759040473608859E-4</v>
      </c>
      <c r="T131" s="7">
        <v>8901.4500000000007</v>
      </c>
      <c r="U131" s="23">
        <f t="shared" si="9"/>
        <v>9.4417790176546928E-3</v>
      </c>
      <c r="V131" s="7">
        <v>3053.95</v>
      </c>
      <c r="W131" s="23">
        <f t="shared" si="10"/>
        <v>8.6810537370995348E-4</v>
      </c>
      <c r="X131" s="7">
        <v>2521.5500000000002</v>
      </c>
      <c r="Y131" s="23">
        <f t="shared" si="11"/>
        <v>3.7149285336134843E-3</v>
      </c>
      <c r="Z131" s="7">
        <v>5594.45</v>
      </c>
      <c r="AA131" s="23">
        <f t="shared" si="12"/>
        <v>-4.0315801830284872E-3</v>
      </c>
      <c r="AB131" s="10">
        <v>633.65</v>
      </c>
      <c r="AC131" s="23">
        <f t="shared" si="13"/>
        <v>6.3146264628845337E-4</v>
      </c>
      <c r="AD131" s="11">
        <v>12074.95</v>
      </c>
      <c r="AE131" s="23">
        <f t="shared" si="14"/>
        <v>1.4657685822086295E-2</v>
      </c>
    </row>
    <row r="132" spans="1:31" ht="13.8">
      <c r="A132" s="12">
        <v>45635</v>
      </c>
      <c r="B132" s="7">
        <v>1923.65</v>
      </c>
      <c r="C132" s="49">
        <f t="shared" si="0"/>
        <v>6.5001757336104844E-4</v>
      </c>
      <c r="D132" s="8">
        <v>580.1</v>
      </c>
      <c r="E132" s="49">
        <f t="shared" si="1"/>
        <v>7.7006653523452916E-3</v>
      </c>
      <c r="F132" s="7">
        <v>2639.35</v>
      </c>
      <c r="G132" s="49">
        <f t="shared" si="2"/>
        <v>2.0246395589719132E-2</v>
      </c>
      <c r="H132" s="7">
        <v>1216.5999999999999</v>
      </c>
      <c r="I132" s="23">
        <f t="shared" si="3"/>
        <v>-2.626827975751052E-3</v>
      </c>
      <c r="J132" s="7">
        <v>1777.85</v>
      </c>
      <c r="K132" s="23">
        <f t="shared" si="4"/>
        <v>-2.7803930118748899E-3</v>
      </c>
      <c r="L132" s="7">
        <v>11122</v>
      </c>
      <c r="M132" s="9">
        <f t="shared" si="5"/>
        <v>4.0940947527869177E-2</v>
      </c>
      <c r="N132" s="7">
        <v>17345.900000000001</v>
      </c>
      <c r="O132" s="23">
        <f t="shared" si="6"/>
        <v>-4.3230779254344563E-3</v>
      </c>
      <c r="P132" s="7">
        <v>5959.65</v>
      </c>
      <c r="Q132" s="23">
        <f t="shared" si="7"/>
        <v>-2.8305337046179168E-2</v>
      </c>
      <c r="R132" s="7">
        <v>1909.9</v>
      </c>
      <c r="S132" s="23">
        <f t="shared" si="8"/>
        <v>-6.6795635291819642E-3</v>
      </c>
      <c r="T132" s="7">
        <v>8918.6</v>
      </c>
      <c r="U132" s="23">
        <f t="shared" si="9"/>
        <v>1.9247987850593477E-3</v>
      </c>
      <c r="V132" s="7">
        <v>3104.6</v>
      </c>
      <c r="W132" s="23">
        <f t="shared" si="10"/>
        <v>1.6449047918972757E-2</v>
      </c>
      <c r="X132" s="7">
        <v>2488.85</v>
      </c>
      <c r="Y132" s="23">
        <f t="shared" si="11"/>
        <v>-1.3053035401925895E-2</v>
      </c>
      <c r="Z132" s="7">
        <v>5677.75</v>
      </c>
      <c r="AA132" s="23">
        <f t="shared" si="12"/>
        <v>1.4779992617047542E-2</v>
      </c>
      <c r="AB132" s="10">
        <v>607.75</v>
      </c>
      <c r="AC132" s="23">
        <f t="shared" si="13"/>
        <v>-4.1733138331840391E-2</v>
      </c>
      <c r="AD132" s="11">
        <v>12452.8</v>
      </c>
      <c r="AE132" s="23">
        <f t="shared" si="14"/>
        <v>3.0812438479672698E-2</v>
      </c>
    </row>
    <row r="133" spans="1:31" ht="13.8">
      <c r="A133" s="13">
        <v>45636</v>
      </c>
      <c r="B133" s="7">
        <v>1948.55</v>
      </c>
      <c r="C133" s="49">
        <f t="shared" si="0"/>
        <v>1.286108321860247E-2</v>
      </c>
      <c r="D133" s="8">
        <v>582.79999999999995</v>
      </c>
      <c r="E133" s="49">
        <f t="shared" si="1"/>
        <v>4.6435718490310494E-3</v>
      </c>
      <c r="F133" s="7">
        <v>2666.4</v>
      </c>
      <c r="G133" s="49">
        <f t="shared" si="2"/>
        <v>1.0196573289560614E-2</v>
      </c>
      <c r="H133" s="7">
        <v>1207.25</v>
      </c>
      <c r="I133" s="23">
        <f t="shared" si="3"/>
        <v>-7.715037132953591E-3</v>
      </c>
      <c r="J133" s="7">
        <v>1763.55</v>
      </c>
      <c r="K133" s="23">
        <f t="shared" si="4"/>
        <v>-8.0759460786660447E-3</v>
      </c>
      <c r="L133" s="7">
        <v>11197.75</v>
      </c>
      <c r="M133" s="9">
        <f t="shared" si="5"/>
        <v>6.7877364968608519E-3</v>
      </c>
      <c r="N133" s="7">
        <v>17514.05</v>
      </c>
      <c r="O133" s="23">
        <f t="shared" si="6"/>
        <v>9.6472487271528472E-3</v>
      </c>
      <c r="P133" s="7">
        <v>5932.6</v>
      </c>
      <c r="Q133" s="23">
        <f t="shared" si="7"/>
        <v>-4.5491890349150998E-3</v>
      </c>
      <c r="R133" s="7">
        <v>1936.35</v>
      </c>
      <c r="S133" s="23">
        <f t="shared" si="8"/>
        <v>1.3753872971719013E-2</v>
      </c>
      <c r="T133" s="7">
        <v>9008.5499999999993</v>
      </c>
      <c r="U133" s="23">
        <f t="shared" si="9"/>
        <v>1.0035142770581013E-2</v>
      </c>
      <c r="V133" s="7">
        <v>3181.8</v>
      </c>
      <c r="W133" s="23">
        <f t="shared" si="10"/>
        <v>2.4562191778796528E-2</v>
      </c>
      <c r="X133" s="7">
        <v>2520.1999999999998</v>
      </c>
      <c r="Y133" s="23">
        <f t="shared" si="11"/>
        <v>1.2517507050752405E-2</v>
      </c>
      <c r="Z133" s="7">
        <v>5800.65</v>
      </c>
      <c r="AA133" s="23">
        <f t="shared" si="12"/>
        <v>2.1414952745067835E-2</v>
      </c>
      <c r="AB133" s="10">
        <v>613.9</v>
      </c>
      <c r="AC133" s="23">
        <f t="shared" si="13"/>
        <v>1.0068435237217805E-2</v>
      </c>
      <c r="AD133" s="11">
        <v>12501.35</v>
      </c>
      <c r="AE133" s="23">
        <f t="shared" si="14"/>
        <v>3.8911412536887496E-3</v>
      </c>
    </row>
    <row r="134" spans="1:31" ht="13.8">
      <c r="A134" s="13">
        <v>45637</v>
      </c>
      <c r="B134" s="7">
        <v>1974.15</v>
      </c>
      <c r="C134" s="49">
        <f t="shared" si="0"/>
        <v>1.305241973421958E-2</v>
      </c>
      <c r="D134" s="8">
        <v>585.29999999999995</v>
      </c>
      <c r="E134" s="49">
        <f t="shared" si="1"/>
        <v>4.2804619761254332E-3</v>
      </c>
      <c r="F134" s="7">
        <v>2624.35</v>
      </c>
      <c r="G134" s="49">
        <f t="shared" si="2"/>
        <v>-1.5896001678083149E-2</v>
      </c>
      <c r="H134" s="7">
        <v>1212.05</v>
      </c>
      <c r="I134" s="23">
        <f t="shared" si="3"/>
        <v>3.96809515009289E-3</v>
      </c>
      <c r="J134" s="7">
        <v>1762.8</v>
      </c>
      <c r="K134" s="23">
        <f t="shared" si="4"/>
        <v>-4.2536901402789618E-4</v>
      </c>
      <c r="L134" s="7">
        <v>11167.75</v>
      </c>
      <c r="M134" s="9">
        <f t="shared" si="5"/>
        <v>-2.6827048795923705E-3</v>
      </c>
      <c r="N134" s="7">
        <v>17528.55</v>
      </c>
      <c r="O134" s="23">
        <f t="shared" si="6"/>
        <v>8.2756421199015897E-4</v>
      </c>
      <c r="P134" s="7">
        <v>5927.95</v>
      </c>
      <c r="Q134" s="23">
        <f t="shared" si="7"/>
        <v>-7.8411207545148079E-4</v>
      </c>
      <c r="R134" s="7">
        <v>1930.9</v>
      </c>
      <c r="S134" s="23">
        <f t="shared" si="8"/>
        <v>-2.8185421723349248E-3</v>
      </c>
      <c r="T134" s="7">
        <v>8996.2000000000007</v>
      </c>
      <c r="U134" s="23">
        <f t="shared" si="9"/>
        <v>-1.3718604187107628E-3</v>
      </c>
      <c r="V134" s="7">
        <v>3184.55</v>
      </c>
      <c r="W134" s="23">
        <f t="shared" si="10"/>
        <v>8.6391736899132845E-4</v>
      </c>
      <c r="X134" s="7">
        <v>2531.4499999999998</v>
      </c>
      <c r="Y134" s="23">
        <f t="shared" si="11"/>
        <v>4.4539976436244891E-3</v>
      </c>
      <c r="Z134" s="7">
        <v>5988.45</v>
      </c>
      <c r="AA134" s="23">
        <f t="shared" si="12"/>
        <v>3.1862633795707307E-2</v>
      </c>
      <c r="AB134" s="10">
        <v>632.9</v>
      </c>
      <c r="AC134" s="23">
        <f t="shared" si="13"/>
        <v>3.0480383347809024E-2</v>
      </c>
      <c r="AD134" s="11">
        <v>12645.3</v>
      </c>
      <c r="AE134" s="23">
        <f t="shared" si="14"/>
        <v>1.1448966156232731E-2</v>
      </c>
    </row>
    <row r="135" spans="1:31" ht="13.8">
      <c r="A135" s="13">
        <v>45638</v>
      </c>
      <c r="B135" s="7">
        <v>1987</v>
      </c>
      <c r="C135" s="49">
        <f t="shared" si="0"/>
        <v>6.4880376033744722E-3</v>
      </c>
      <c r="D135" s="8">
        <v>589.29999999999995</v>
      </c>
      <c r="E135" s="49">
        <f t="shared" si="1"/>
        <v>6.810855546692497E-3</v>
      </c>
      <c r="F135" s="7">
        <v>2650.45</v>
      </c>
      <c r="G135" s="49">
        <f t="shared" si="2"/>
        <v>9.8961905692654846E-3</v>
      </c>
      <c r="H135" s="7">
        <v>1227</v>
      </c>
      <c r="I135" s="23">
        <f t="shared" si="3"/>
        <v>1.2259024807167182E-2</v>
      </c>
      <c r="J135" s="7">
        <v>1789.6</v>
      </c>
      <c r="K135" s="23">
        <f t="shared" si="4"/>
        <v>1.5088677208087972E-2</v>
      </c>
      <c r="L135" s="7">
        <v>11273.45</v>
      </c>
      <c r="M135" s="9">
        <f t="shared" si="5"/>
        <v>9.4202432721072673E-3</v>
      </c>
      <c r="N135" s="7">
        <v>17697.349999999999</v>
      </c>
      <c r="O135" s="23">
        <f t="shared" si="6"/>
        <v>9.5839306899556873E-3</v>
      </c>
      <c r="P135" s="7">
        <v>5951.7</v>
      </c>
      <c r="Q135" s="23">
        <f t="shared" si="7"/>
        <v>3.9984396243924088E-3</v>
      </c>
      <c r="R135" s="7">
        <v>1936.2</v>
      </c>
      <c r="S135" s="23">
        <f t="shared" si="8"/>
        <v>2.7410738374781243E-3</v>
      </c>
      <c r="T135" s="7">
        <v>9195.9500000000007</v>
      </c>
      <c r="U135" s="23">
        <f t="shared" si="9"/>
        <v>2.1960903786471631E-2</v>
      </c>
      <c r="V135" s="7">
        <v>3190.35</v>
      </c>
      <c r="W135" s="23">
        <f t="shared" si="10"/>
        <v>1.819636888532842E-3</v>
      </c>
      <c r="X135" s="7">
        <v>2523.75</v>
      </c>
      <c r="Y135" s="23">
        <f t="shared" si="11"/>
        <v>-3.0463704521700272E-3</v>
      </c>
      <c r="Z135" s="7">
        <v>5984.4</v>
      </c>
      <c r="AA135" s="23">
        <f t="shared" si="12"/>
        <v>-6.7653067640069365E-4</v>
      </c>
      <c r="AB135" s="10">
        <v>635.9</v>
      </c>
      <c r="AC135" s="23">
        <f t="shared" si="13"/>
        <v>4.7288864921024428E-3</v>
      </c>
      <c r="AD135" s="11">
        <v>13130.7</v>
      </c>
      <c r="AE135" s="23">
        <f t="shared" si="14"/>
        <v>3.7667395284318166E-2</v>
      </c>
    </row>
    <row r="136" spans="1:31" ht="13.8">
      <c r="A136" s="13">
        <v>45639</v>
      </c>
      <c r="B136" s="7">
        <v>1999.7</v>
      </c>
      <c r="C136" s="49">
        <f t="shared" si="0"/>
        <v>6.3712057391403865E-3</v>
      </c>
      <c r="D136" s="8">
        <v>584.79999999999995</v>
      </c>
      <c r="E136" s="49">
        <f t="shared" si="1"/>
        <v>-7.6654834082989474E-3</v>
      </c>
      <c r="F136" s="7">
        <v>2641.85</v>
      </c>
      <c r="G136" s="49">
        <f t="shared" si="2"/>
        <v>-3.250007584538177E-3</v>
      </c>
      <c r="H136" s="7">
        <v>1260.95</v>
      </c>
      <c r="I136" s="23">
        <f t="shared" si="3"/>
        <v>2.7293239397304863E-2</v>
      </c>
      <c r="J136" s="7">
        <v>1796.4</v>
      </c>
      <c r="K136" s="23">
        <f t="shared" si="4"/>
        <v>3.7925310376632328E-3</v>
      </c>
      <c r="L136" s="7">
        <v>11131.75</v>
      </c>
      <c r="M136" s="9">
        <f t="shared" si="5"/>
        <v>-1.2649018022657979E-2</v>
      </c>
      <c r="N136" s="7">
        <v>17954.400000000001</v>
      </c>
      <c r="O136" s="23">
        <f t="shared" si="6"/>
        <v>1.4420299387294659E-2</v>
      </c>
      <c r="P136" s="7">
        <v>5876.7</v>
      </c>
      <c r="Q136" s="23">
        <f t="shared" si="7"/>
        <v>-1.2681513159371683E-2</v>
      </c>
      <c r="R136" s="7">
        <v>1968.8</v>
      </c>
      <c r="S136" s="23">
        <f t="shared" si="8"/>
        <v>1.6696930790874944E-2</v>
      </c>
      <c r="T136" s="7">
        <v>9300.75</v>
      </c>
      <c r="U136" s="23">
        <f t="shared" si="9"/>
        <v>1.1331872329286089E-2</v>
      </c>
      <c r="V136" s="7">
        <v>3195.4</v>
      </c>
      <c r="W136" s="23">
        <f t="shared" si="10"/>
        <v>1.5816469648074376E-3</v>
      </c>
      <c r="X136" s="7">
        <v>2521.9</v>
      </c>
      <c r="Y136" s="23">
        <f t="shared" si="11"/>
        <v>-7.3330495888574451E-4</v>
      </c>
      <c r="Z136" s="7">
        <v>6051.45</v>
      </c>
      <c r="AA136" s="23">
        <f t="shared" si="12"/>
        <v>1.1141829390169906E-2</v>
      </c>
      <c r="AB136" s="10">
        <v>639.79999999999995</v>
      </c>
      <c r="AC136" s="23">
        <f t="shared" si="13"/>
        <v>6.114309242055525E-3</v>
      </c>
      <c r="AD136" s="11">
        <v>12990</v>
      </c>
      <c r="AE136" s="23">
        <f t="shared" si="14"/>
        <v>-1.0773169234718046E-2</v>
      </c>
    </row>
    <row r="137" spans="1:31" ht="13.8">
      <c r="A137" s="13">
        <v>45642</v>
      </c>
      <c r="B137" s="7">
        <v>1980.05</v>
      </c>
      <c r="C137" s="49">
        <f t="shared" si="0"/>
        <v>-9.8750723959634794E-3</v>
      </c>
      <c r="D137" s="8">
        <v>584.1</v>
      </c>
      <c r="E137" s="49">
        <f t="shared" si="1"/>
        <v>-1.1977073893049521E-3</v>
      </c>
      <c r="F137" s="7">
        <v>2690.75</v>
      </c>
      <c r="G137" s="49">
        <f t="shared" si="2"/>
        <v>1.8340535844233414E-2</v>
      </c>
      <c r="H137" s="7">
        <v>1286.8</v>
      </c>
      <c r="I137" s="23">
        <f t="shared" si="3"/>
        <v>2.0293111256654995E-2</v>
      </c>
      <c r="J137" s="7">
        <v>1775.55</v>
      </c>
      <c r="K137" s="23">
        <f t="shared" si="4"/>
        <v>-1.1674428145570726E-2</v>
      </c>
      <c r="L137" s="7">
        <v>11023.5</v>
      </c>
      <c r="M137" s="9">
        <f t="shared" si="5"/>
        <v>-9.7720279771913356E-3</v>
      </c>
      <c r="N137" s="7">
        <v>18831.8</v>
      </c>
      <c r="O137" s="23">
        <f t="shared" si="6"/>
        <v>4.7711719996457354E-2</v>
      </c>
      <c r="P137" s="7">
        <v>5856.45</v>
      </c>
      <c r="Q137" s="23">
        <f t="shared" si="7"/>
        <v>-3.4517619063908641E-3</v>
      </c>
      <c r="R137" s="7">
        <v>1954.4</v>
      </c>
      <c r="S137" s="23">
        <f t="shared" si="8"/>
        <v>-7.3409791333153337E-3</v>
      </c>
      <c r="T137" s="7">
        <v>9284.7000000000007</v>
      </c>
      <c r="U137" s="23">
        <f t="shared" si="9"/>
        <v>-1.7271579638762067E-3</v>
      </c>
      <c r="V137" s="7">
        <v>3197.3</v>
      </c>
      <c r="W137" s="23">
        <f t="shared" si="10"/>
        <v>5.9442803696283918E-4</v>
      </c>
      <c r="X137" s="7">
        <v>2527.9</v>
      </c>
      <c r="Y137" s="23">
        <f t="shared" si="11"/>
        <v>2.3763328541639844E-3</v>
      </c>
      <c r="Z137" s="7">
        <v>6003</v>
      </c>
      <c r="AA137" s="23">
        <f t="shared" si="12"/>
        <v>-8.0385684784040276E-3</v>
      </c>
      <c r="AB137" s="10">
        <v>645.1</v>
      </c>
      <c r="AC137" s="23">
        <f t="shared" si="13"/>
        <v>8.2497160227785488E-3</v>
      </c>
      <c r="AD137" s="11">
        <v>13171.95</v>
      </c>
      <c r="AE137" s="23">
        <f t="shared" si="14"/>
        <v>1.3909737893642936E-2</v>
      </c>
    </row>
    <row r="138" spans="1:31" ht="13.8">
      <c r="A138" s="13">
        <v>45643</v>
      </c>
      <c r="B138" s="7">
        <v>1976.6</v>
      </c>
      <c r="C138" s="49">
        <f t="shared" si="0"/>
        <v>-1.7438999529102918E-3</v>
      </c>
      <c r="D138" s="8">
        <v>589.75</v>
      </c>
      <c r="E138" s="49">
        <f t="shared" si="1"/>
        <v>9.6265172415207472E-3</v>
      </c>
      <c r="F138" s="7">
        <v>2661.8</v>
      </c>
      <c r="G138" s="49">
        <f t="shared" si="2"/>
        <v>-1.0817379491951802E-2</v>
      </c>
      <c r="H138" s="7">
        <v>1280.3499999999999</v>
      </c>
      <c r="I138" s="23">
        <f t="shared" si="3"/>
        <v>-5.0250383284282819E-3</v>
      </c>
      <c r="J138" s="7">
        <v>1770.75</v>
      </c>
      <c r="K138" s="23">
        <f t="shared" si="4"/>
        <v>-2.7070484342802902E-3</v>
      </c>
      <c r="L138" s="7">
        <v>11270</v>
      </c>
      <c r="M138" s="9">
        <f t="shared" si="5"/>
        <v>2.2114970396786435E-2</v>
      </c>
      <c r="N138" s="7">
        <v>18940.150000000001</v>
      </c>
      <c r="O138" s="23">
        <f t="shared" si="6"/>
        <v>5.7370772325140845E-3</v>
      </c>
      <c r="P138" s="7">
        <v>5847.4</v>
      </c>
      <c r="Q138" s="23">
        <f t="shared" si="7"/>
        <v>-1.5464999643215317E-3</v>
      </c>
      <c r="R138" s="7">
        <v>1950.6</v>
      </c>
      <c r="S138" s="23">
        <f t="shared" si="8"/>
        <v>-1.9462234056161064E-3</v>
      </c>
      <c r="T138" s="7">
        <v>9402.9500000000007</v>
      </c>
      <c r="U138" s="23">
        <f t="shared" si="9"/>
        <v>1.2655585723947069E-2</v>
      </c>
      <c r="V138" s="7">
        <v>3181.2</v>
      </c>
      <c r="W138" s="23">
        <f t="shared" si="10"/>
        <v>-5.0482195474539464E-3</v>
      </c>
      <c r="X138" s="7">
        <v>2453.0500000000002</v>
      </c>
      <c r="Y138" s="23">
        <f t="shared" si="11"/>
        <v>-3.0056770267331126E-2</v>
      </c>
      <c r="Z138" s="7">
        <v>5892.55</v>
      </c>
      <c r="AA138" s="23">
        <f t="shared" si="12"/>
        <v>-1.8570503114808123E-2</v>
      </c>
      <c r="AB138" s="10">
        <v>633.45000000000005</v>
      </c>
      <c r="AC138" s="23">
        <f t="shared" si="13"/>
        <v>-1.8224273490133697E-2</v>
      </c>
      <c r="AD138" s="11">
        <v>13199</v>
      </c>
      <c r="AE138" s="23">
        <f t="shared" si="14"/>
        <v>2.0515005706662945E-3</v>
      </c>
    </row>
    <row r="139" spans="1:31" ht="13.8">
      <c r="A139" s="13">
        <v>45644</v>
      </c>
      <c r="B139" s="7">
        <v>1979.15</v>
      </c>
      <c r="C139" s="49">
        <f t="shared" si="0"/>
        <v>1.2892626446145809E-3</v>
      </c>
      <c r="D139" s="8">
        <v>596.79999999999995</v>
      </c>
      <c r="E139" s="49">
        <f t="shared" si="1"/>
        <v>1.18833306017665E-2</v>
      </c>
      <c r="F139" s="7">
        <v>2805.95</v>
      </c>
      <c r="G139" s="49">
        <f t="shared" si="2"/>
        <v>5.2739576891817949E-2</v>
      </c>
      <c r="H139" s="7">
        <v>1268.0999999999999</v>
      </c>
      <c r="I139" s="23">
        <f t="shared" si="3"/>
        <v>-9.6137607955890884E-3</v>
      </c>
      <c r="J139" s="7">
        <v>1778.9</v>
      </c>
      <c r="K139" s="23">
        <f t="shared" si="4"/>
        <v>4.5920100974921069E-3</v>
      </c>
      <c r="L139" s="7">
        <v>11184.05</v>
      </c>
      <c r="M139" s="9">
        <f t="shared" si="5"/>
        <v>-7.655671897834811E-3</v>
      </c>
      <c r="N139" s="7">
        <v>18916.2</v>
      </c>
      <c r="O139" s="23">
        <f t="shared" si="6"/>
        <v>-1.2653096875608193E-3</v>
      </c>
      <c r="P139" s="7">
        <v>5849.75</v>
      </c>
      <c r="Q139" s="23">
        <f t="shared" si="7"/>
        <v>4.0180728324709717E-4</v>
      </c>
      <c r="R139" s="7">
        <v>1960.35</v>
      </c>
      <c r="S139" s="23">
        <f t="shared" si="8"/>
        <v>4.9860111732399903E-3</v>
      </c>
      <c r="T139" s="7">
        <v>9471.35</v>
      </c>
      <c r="U139" s="23">
        <f t="shared" si="9"/>
        <v>7.2479826472267818E-3</v>
      </c>
      <c r="V139" s="7">
        <v>3176.55</v>
      </c>
      <c r="W139" s="23">
        <f t="shared" si="10"/>
        <v>-1.4627819052794352E-3</v>
      </c>
      <c r="X139" s="7">
        <v>2479.25</v>
      </c>
      <c r="Y139" s="23">
        <f t="shared" si="11"/>
        <v>1.0623946811240114E-2</v>
      </c>
      <c r="Z139" s="7">
        <v>5666.9</v>
      </c>
      <c r="AA139" s="23">
        <f t="shared" si="12"/>
        <v>-3.9046610143930988E-2</v>
      </c>
      <c r="AB139" s="10">
        <v>640.85</v>
      </c>
      <c r="AC139" s="23">
        <f t="shared" si="13"/>
        <v>1.1614350127770769E-2</v>
      </c>
      <c r="AD139" s="11">
        <v>12841.35</v>
      </c>
      <c r="AE139" s="23">
        <f t="shared" si="14"/>
        <v>-2.7470636224928534E-2</v>
      </c>
    </row>
    <row r="140" spans="1:31" ht="13.8">
      <c r="A140" s="13">
        <v>45645</v>
      </c>
      <c r="B140" s="7">
        <v>1946.2</v>
      </c>
      <c r="C140" s="49">
        <f t="shared" si="0"/>
        <v>-1.6788706198809462E-2</v>
      </c>
      <c r="D140" s="8">
        <v>600.04999999999995</v>
      </c>
      <c r="E140" s="49">
        <f t="shared" si="1"/>
        <v>5.4309361878993401E-3</v>
      </c>
      <c r="F140" s="7">
        <v>2891.05</v>
      </c>
      <c r="G140" s="49">
        <f t="shared" si="2"/>
        <v>2.9877595376129107E-2</v>
      </c>
      <c r="H140" s="7">
        <v>1231.8499999999999</v>
      </c>
      <c r="I140" s="23">
        <f t="shared" si="3"/>
        <v>-2.9002612806670353E-2</v>
      </c>
      <c r="J140" s="7">
        <v>1754.35</v>
      </c>
      <c r="K140" s="23">
        <f t="shared" si="4"/>
        <v>-1.3896777805673839E-2</v>
      </c>
      <c r="L140" s="7">
        <v>11331.5</v>
      </c>
      <c r="M140" s="9">
        <f t="shared" si="5"/>
        <v>1.3097802002997981E-2</v>
      </c>
      <c r="N140" s="7">
        <v>18401.95</v>
      </c>
      <c r="O140" s="23">
        <f t="shared" si="6"/>
        <v>-2.7562060525068089E-2</v>
      </c>
      <c r="P140" s="7">
        <v>5820.75</v>
      </c>
      <c r="Q140" s="23">
        <f t="shared" si="7"/>
        <v>-4.9698058676412651E-3</v>
      </c>
      <c r="R140" s="7">
        <v>1934.25</v>
      </c>
      <c r="S140" s="23">
        <f t="shared" si="8"/>
        <v>-1.3403374281590752E-2</v>
      </c>
      <c r="T140" s="7">
        <v>9657.1</v>
      </c>
      <c r="U140" s="23">
        <f t="shared" si="9"/>
        <v>1.9421943637783233E-2</v>
      </c>
      <c r="V140" s="7">
        <v>3117.1</v>
      </c>
      <c r="W140" s="23">
        <f t="shared" si="10"/>
        <v>-1.8892619794730683E-2</v>
      </c>
      <c r="X140" s="7">
        <v>2459.65</v>
      </c>
      <c r="Y140" s="23">
        <f t="shared" si="11"/>
        <v>-7.9370316848405148E-3</v>
      </c>
      <c r="Z140" s="7">
        <v>5579.7</v>
      </c>
      <c r="AA140" s="23">
        <f t="shared" si="12"/>
        <v>-1.5507219503913289E-2</v>
      </c>
      <c r="AB140" s="10">
        <v>640.95000000000005</v>
      </c>
      <c r="AC140" s="23">
        <f t="shared" si="13"/>
        <v>1.5603058231057249E-4</v>
      </c>
      <c r="AD140" s="11">
        <v>13120.65</v>
      </c>
      <c r="AE140" s="23">
        <f t="shared" si="14"/>
        <v>2.1516892049782629E-2</v>
      </c>
    </row>
    <row r="141" spans="1:31" ht="13.8">
      <c r="A141" s="13">
        <v>45646</v>
      </c>
      <c r="B141" s="7">
        <v>1922.15</v>
      </c>
      <c r="C141" s="49">
        <f t="shared" si="0"/>
        <v>-1.2434402198427799E-2</v>
      </c>
      <c r="D141" s="8">
        <v>592.4</v>
      </c>
      <c r="E141" s="49">
        <f t="shared" si="1"/>
        <v>-1.28309026838066E-2</v>
      </c>
      <c r="F141" s="7">
        <v>2805.2</v>
      </c>
      <c r="G141" s="49">
        <f t="shared" si="2"/>
        <v>-3.0144920257647808E-2</v>
      </c>
      <c r="H141" s="7">
        <v>1239.25</v>
      </c>
      <c r="I141" s="23">
        <f t="shared" si="3"/>
        <v>5.9892534664996791E-3</v>
      </c>
      <c r="J141" s="7">
        <v>1686.05</v>
      </c>
      <c r="K141" s="23">
        <f t="shared" si="4"/>
        <v>-3.9709902812969745E-2</v>
      </c>
      <c r="L141" s="7">
        <v>10746.75</v>
      </c>
      <c r="M141" s="9">
        <f t="shared" si="5"/>
        <v>-5.2983074874163302E-2</v>
      </c>
      <c r="N141" s="7">
        <v>17944.900000000001</v>
      </c>
      <c r="O141" s="23">
        <f t="shared" si="6"/>
        <v>-2.5150685259358763E-2</v>
      </c>
      <c r="P141" s="7">
        <v>5846.75</v>
      </c>
      <c r="Q141" s="23">
        <f t="shared" si="7"/>
        <v>4.4568318898212216E-3</v>
      </c>
      <c r="R141" s="7">
        <v>1911.35</v>
      </c>
      <c r="S141" s="23">
        <f t="shared" si="8"/>
        <v>-1.1909855776087875E-2</v>
      </c>
      <c r="T141" s="7">
        <v>9370.4500000000007</v>
      </c>
      <c r="U141" s="23">
        <f t="shared" si="9"/>
        <v>-3.013227540313658E-2</v>
      </c>
      <c r="V141" s="7">
        <v>2950.6</v>
      </c>
      <c r="W141" s="23">
        <f t="shared" si="10"/>
        <v>-5.4894542899503476E-2</v>
      </c>
      <c r="X141" s="7">
        <v>2391.65</v>
      </c>
      <c r="Y141" s="23">
        <f t="shared" si="11"/>
        <v>-2.8035559087077846E-2</v>
      </c>
      <c r="Z141" s="7">
        <v>5323.7</v>
      </c>
      <c r="AA141" s="23">
        <f t="shared" si="12"/>
        <v>-4.6966461171898725E-2</v>
      </c>
      <c r="AB141" s="10">
        <v>627.95000000000005</v>
      </c>
      <c r="AC141" s="23">
        <f t="shared" si="13"/>
        <v>-2.0490905294007846E-2</v>
      </c>
      <c r="AD141" s="11">
        <v>13316.45</v>
      </c>
      <c r="AE141" s="23">
        <f t="shared" si="14"/>
        <v>1.4812788102216709E-2</v>
      </c>
    </row>
    <row r="142" spans="1:31" ht="13.8">
      <c r="A142" s="13">
        <v>45649</v>
      </c>
      <c r="B142" s="7">
        <v>1924.3</v>
      </c>
      <c r="C142" s="49">
        <f t="shared" si="0"/>
        <v>1.1179140370524651E-3</v>
      </c>
      <c r="D142" s="8">
        <v>586.70000000000005</v>
      </c>
      <c r="E142" s="49">
        <f t="shared" si="1"/>
        <v>-9.6684664618294277E-3</v>
      </c>
      <c r="F142" s="7">
        <v>2998.4</v>
      </c>
      <c r="G142" s="49">
        <f t="shared" si="2"/>
        <v>6.6603975381347699E-2</v>
      </c>
      <c r="H142" s="7">
        <v>1212.8</v>
      </c>
      <c r="I142" s="23">
        <f t="shared" si="3"/>
        <v>-2.1574622012576046E-2</v>
      </c>
      <c r="J142" s="7">
        <v>1712.4</v>
      </c>
      <c r="K142" s="23">
        <f t="shared" si="4"/>
        <v>1.5507380158210519E-2</v>
      </c>
      <c r="L142" s="7">
        <v>11115.15</v>
      </c>
      <c r="M142" s="9">
        <f t="shared" si="5"/>
        <v>3.3705659319067778E-2</v>
      </c>
      <c r="N142" s="7">
        <v>17998.45</v>
      </c>
      <c r="O142" s="23">
        <f t="shared" si="6"/>
        <v>2.9796910761274759E-3</v>
      </c>
      <c r="P142" s="7">
        <v>5849.45</v>
      </c>
      <c r="Q142" s="23">
        <f t="shared" si="7"/>
        <v>4.616884198218455E-4</v>
      </c>
      <c r="R142" s="7">
        <v>1903</v>
      </c>
      <c r="S142" s="23">
        <f t="shared" si="8"/>
        <v>-4.378210357326523E-3</v>
      </c>
      <c r="T142" s="7">
        <v>9406.35</v>
      </c>
      <c r="U142" s="23">
        <f t="shared" si="9"/>
        <v>3.8238724110753221E-3</v>
      </c>
      <c r="V142" s="7">
        <v>2977.65</v>
      </c>
      <c r="W142" s="23">
        <f t="shared" si="10"/>
        <v>9.1258593108213045E-3</v>
      </c>
      <c r="X142" s="7">
        <v>2388.3000000000002</v>
      </c>
      <c r="Y142" s="23">
        <f t="shared" si="11"/>
        <v>-1.4016885316738695E-3</v>
      </c>
      <c r="Z142" s="7">
        <v>5132.8500000000004</v>
      </c>
      <c r="AA142" s="23">
        <f t="shared" si="12"/>
        <v>-3.650748986077676E-2</v>
      </c>
      <c r="AB142" s="10">
        <v>636.54999999999995</v>
      </c>
      <c r="AC142" s="23">
        <f t="shared" si="13"/>
        <v>1.360242404351852E-2</v>
      </c>
      <c r="AD142" s="11">
        <v>13589.6</v>
      </c>
      <c r="AE142" s="23">
        <f t="shared" si="14"/>
        <v>2.0304681249076029E-2</v>
      </c>
    </row>
    <row r="143" spans="1:31" ht="13.8">
      <c r="A143" s="13">
        <v>45650</v>
      </c>
      <c r="B143" s="7">
        <v>1909.05</v>
      </c>
      <c r="C143" s="49">
        <f t="shared" si="0"/>
        <v>-7.9565291203474737E-3</v>
      </c>
      <c r="D143" s="8">
        <v>596.85</v>
      </c>
      <c r="E143" s="49">
        <f t="shared" si="1"/>
        <v>1.7152209609233096E-2</v>
      </c>
      <c r="F143" s="7">
        <v>2910.6</v>
      </c>
      <c r="G143" s="49">
        <f t="shared" si="2"/>
        <v>-2.971956756487731E-2</v>
      </c>
      <c r="H143" s="7">
        <v>1214.5999999999999</v>
      </c>
      <c r="I143" s="23">
        <f t="shared" si="3"/>
        <v>1.4830685753676332E-3</v>
      </c>
      <c r="J143" s="7">
        <v>1704.9</v>
      </c>
      <c r="K143" s="23">
        <f t="shared" si="4"/>
        <v>-4.3894372996055283E-3</v>
      </c>
      <c r="L143" s="7">
        <v>11048.6</v>
      </c>
      <c r="M143" s="9">
        <f t="shared" si="5"/>
        <v>-6.0053194972916083E-3</v>
      </c>
      <c r="N143" s="7">
        <v>17893</v>
      </c>
      <c r="O143" s="23">
        <f t="shared" si="6"/>
        <v>-5.8760681675543011E-3</v>
      </c>
      <c r="P143" s="7">
        <v>5782.35</v>
      </c>
      <c r="Q143" s="23">
        <f t="shared" si="7"/>
        <v>-1.1537465280087453E-2</v>
      </c>
      <c r="R143" s="7">
        <v>1896.95</v>
      </c>
      <c r="S143" s="23">
        <f t="shared" si="8"/>
        <v>-3.1842551149289622E-3</v>
      </c>
      <c r="T143" s="7">
        <v>9393.7000000000007</v>
      </c>
      <c r="U143" s="23">
        <f t="shared" si="9"/>
        <v>-1.3457413048493655E-3</v>
      </c>
      <c r="V143" s="7">
        <v>2930.65</v>
      </c>
      <c r="W143" s="23">
        <f t="shared" si="10"/>
        <v>-1.5910157383282268E-2</v>
      </c>
      <c r="X143" s="7">
        <v>2427.15</v>
      </c>
      <c r="Y143" s="23">
        <f t="shared" si="11"/>
        <v>1.6135913751284599E-2</v>
      </c>
      <c r="Z143" s="7">
        <v>5062.1499999999996</v>
      </c>
      <c r="AA143" s="23">
        <f t="shared" si="12"/>
        <v>-1.3869766234179723E-2</v>
      </c>
      <c r="AB143" s="10">
        <v>633.35</v>
      </c>
      <c r="AC143" s="23">
        <f t="shared" si="13"/>
        <v>-5.0397775780127475E-3</v>
      </c>
      <c r="AD143" s="11">
        <v>14030.95</v>
      </c>
      <c r="AE143" s="23">
        <f t="shared" si="14"/>
        <v>3.1960809544664771E-2</v>
      </c>
    </row>
    <row r="144" spans="1:31" ht="13.8">
      <c r="A144" s="13">
        <v>45652</v>
      </c>
      <c r="B144" s="7">
        <v>1907.4</v>
      </c>
      <c r="C144" s="49">
        <f t="shared" si="0"/>
        <v>-8.6467796135369457E-4</v>
      </c>
      <c r="D144" s="8">
        <v>592.95000000000005</v>
      </c>
      <c r="E144" s="49">
        <f t="shared" si="1"/>
        <v>-6.5557471302430809E-3</v>
      </c>
      <c r="F144" s="7">
        <v>2916.65</v>
      </c>
      <c r="G144" s="49">
        <f t="shared" si="2"/>
        <v>2.0764519022837347E-3</v>
      </c>
      <c r="H144" s="7">
        <v>1188.8499999999999</v>
      </c>
      <c r="I144" s="23">
        <f t="shared" si="3"/>
        <v>-2.1428351165063527E-2</v>
      </c>
      <c r="J144" s="7">
        <v>1698.7</v>
      </c>
      <c r="K144" s="23">
        <f t="shared" si="4"/>
        <v>-3.6432053459201637E-3</v>
      </c>
      <c r="L144" s="7">
        <v>11202.05</v>
      </c>
      <c r="M144" s="9">
        <f t="shared" si="5"/>
        <v>1.3793074161880995E-2</v>
      </c>
      <c r="N144" s="7">
        <v>18038.150000000001</v>
      </c>
      <c r="O144" s="23">
        <f t="shared" si="6"/>
        <v>8.0793845770181297E-3</v>
      </c>
      <c r="P144" s="7">
        <v>5886.75</v>
      </c>
      <c r="Q144" s="23">
        <f t="shared" si="7"/>
        <v>1.7893888243119275E-2</v>
      </c>
      <c r="R144" s="7">
        <v>1900.75</v>
      </c>
      <c r="S144" s="23">
        <f t="shared" si="8"/>
        <v>2.0012119273255867E-3</v>
      </c>
      <c r="T144" s="7">
        <v>9493.25</v>
      </c>
      <c r="U144" s="23">
        <f t="shared" si="9"/>
        <v>1.0541767930225328E-2</v>
      </c>
      <c r="V144" s="7">
        <v>2908.45</v>
      </c>
      <c r="W144" s="23">
        <f t="shared" si="10"/>
        <v>-7.603948199876441E-3</v>
      </c>
      <c r="X144" s="7">
        <v>2438.5500000000002</v>
      </c>
      <c r="Y144" s="23">
        <f t="shared" si="11"/>
        <v>4.6858708344159339E-3</v>
      </c>
      <c r="Z144" s="7">
        <v>5511</v>
      </c>
      <c r="AA144" s="23">
        <f t="shared" si="12"/>
        <v>8.4954800660899804E-2</v>
      </c>
      <c r="AB144" s="10">
        <v>632.6</v>
      </c>
      <c r="AC144" s="23">
        <f t="shared" si="13"/>
        <v>-1.1848810580930521E-3</v>
      </c>
      <c r="AD144" s="11">
        <v>14332.3</v>
      </c>
      <c r="AE144" s="23">
        <f t="shared" si="14"/>
        <v>2.1250127535740921E-2</v>
      </c>
    </row>
    <row r="145" spans="1:31" ht="13.8">
      <c r="A145" s="13">
        <v>45653</v>
      </c>
      <c r="B145" s="7">
        <v>1916.75</v>
      </c>
      <c r="C145" s="49">
        <f t="shared" si="0"/>
        <v>4.8899852941917702E-3</v>
      </c>
      <c r="D145" s="8">
        <v>585.85</v>
      </c>
      <c r="E145" s="49">
        <f t="shared" si="1"/>
        <v>-1.2046294296639717E-2</v>
      </c>
      <c r="F145" s="7">
        <v>2871.75</v>
      </c>
      <c r="G145" s="49">
        <f t="shared" si="2"/>
        <v>-1.5514097355995999E-2</v>
      </c>
      <c r="H145" s="7">
        <v>1199.95</v>
      </c>
      <c r="I145" s="23">
        <f t="shared" si="3"/>
        <v>9.2934359429340807E-3</v>
      </c>
      <c r="J145" s="7">
        <v>1711.65</v>
      </c>
      <c r="K145" s="23">
        <f t="shared" si="4"/>
        <v>7.5945649235329123E-3</v>
      </c>
      <c r="L145" s="7">
        <v>11300.9</v>
      </c>
      <c r="M145" s="9">
        <f t="shared" si="5"/>
        <v>8.7855712980763907E-3</v>
      </c>
      <c r="N145" s="7">
        <v>17972.3</v>
      </c>
      <c r="O145" s="23">
        <f t="shared" si="6"/>
        <v>-3.657275785165347E-3</v>
      </c>
      <c r="P145" s="7">
        <v>5881.05</v>
      </c>
      <c r="Q145" s="23">
        <f t="shared" si="7"/>
        <v>-9.6874529576842225E-4</v>
      </c>
      <c r="R145" s="7">
        <v>1892</v>
      </c>
      <c r="S145" s="23">
        <f t="shared" si="8"/>
        <v>-4.6140744967224177E-3</v>
      </c>
      <c r="T145" s="7">
        <v>9451.1</v>
      </c>
      <c r="U145" s="23">
        <f t="shared" si="9"/>
        <v>-4.4498828993971449E-3</v>
      </c>
      <c r="V145" s="7">
        <v>2883.95</v>
      </c>
      <c r="W145" s="23">
        <f t="shared" si="10"/>
        <v>-8.4594109884776614E-3</v>
      </c>
      <c r="X145" s="7">
        <v>2420.4499999999998</v>
      </c>
      <c r="Y145" s="23">
        <f t="shared" si="11"/>
        <v>-7.4501270710227267E-3</v>
      </c>
      <c r="Z145" s="7">
        <v>5265.2</v>
      </c>
      <c r="AA145" s="23">
        <f t="shared" si="12"/>
        <v>-4.5626963331982719E-2</v>
      </c>
      <c r="AB145" s="10">
        <v>632.6</v>
      </c>
      <c r="AC145" s="23">
        <f t="shared" si="13"/>
        <v>0</v>
      </c>
      <c r="AD145" s="11">
        <v>14687.45</v>
      </c>
      <c r="AE145" s="23">
        <f t="shared" si="14"/>
        <v>2.447765623989407E-2</v>
      </c>
    </row>
    <row r="146" spans="1:31" ht="13.8">
      <c r="A146" s="13">
        <v>45656</v>
      </c>
      <c r="B146" s="7">
        <v>1906</v>
      </c>
      <c r="C146" s="49">
        <f t="shared" si="0"/>
        <v>-5.6242382248563941E-3</v>
      </c>
      <c r="D146" s="8">
        <v>583.70000000000005</v>
      </c>
      <c r="E146" s="49">
        <f t="shared" si="1"/>
        <v>-3.6766319044192163E-3</v>
      </c>
      <c r="F146" s="7">
        <v>2857.4</v>
      </c>
      <c r="G146" s="49">
        <f t="shared" si="2"/>
        <v>-5.0094795944558108E-3</v>
      </c>
      <c r="H146" s="7">
        <v>1108.05</v>
      </c>
      <c r="I146" s="23">
        <f t="shared" si="3"/>
        <v>-7.9678175598488943E-2</v>
      </c>
      <c r="J146" s="7">
        <v>1740.85</v>
      </c>
      <c r="K146" s="23">
        <f t="shared" si="4"/>
        <v>1.6915682126814588E-2</v>
      </c>
      <c r="L146" s="7">
        <v>12630.8</v>
      </c>
      <c r="M146" s="9">
        <f t="shared" si="5"/>
        <v>0.11125590704299874</v>
      </c>
      <c r="N146" s="7">
        <v>18103.599999999999</v>
      </c>
      <c r="O146" s="23">
        <f t="shared" si="6"/>
        <v>7.2791298208328883E-3</v>
      </c>
      <c r="P146" s="7">
        <v>6045</v>
      </c>
      <c r="Q146" s="23">
        <f t="shared" si="7"/>
        <v>2.7496166669628664E-2</v>
      </c>
      <c r="R146" s="7">
        <v>1928.95</v>
      </c>
      <c r="S146" s="23">
        <f t="shared" si="8"/>
        <v>1.9341342792083122E-2</v>
      </c>
      <c r="T146" s="7">
        <v>9817.9500000000007</v>
      </c>
      <c r="U146" s="23">
        <f t="shared" si="9"/>
        <v>3.8081206088138565E-2</v>
      </c>
      <c r="V146" s="7">
        <v>2935.25</v>
      </c>
      <c r="W146" s="23">
        <f t="shared" si="10"/>
        <v>1.763174628766977E-2</v>
      </c>
      <c r="X146" s="7">
        <v>2353.6</v>
      </c>
      <c r="Y146" s="23">
        <f t="shared" si="11"/>
        <v>-2.8007402430146908E-2</v>
      </c>
      <c r="Z146" s="7">
        <v>4819.7</v>
      </c>
      <c r="AA146" s="23">
        <f t="shared" si="12"/>
        <v>-8.8407446107537618E-2</v>
      </c>
      <c r="AB146" s="10">
        <v>642.20000000000005</v>
      </c>
      <c r="AC146" s="23">
        <f t="shared" si="13"/>
        <v>1.5061470783865126E-2</v>
      </c>
      <c r="AD146" s="11">
        <v>14310.9</v>
      </c>
      <c r="AE146" s="23">
        <f t="shared" si="14"/>
        <v>-2.5971902970830581E-2</v>
      </c>
    </row>
    <row r="147" spans="1:31" ht="13.8">
      <c r="A147" s="13">
        <v>45657</v>
      </c>
      <c r="B147" s="7">
        <v>1880</v>
      </c>
      <c r="C147" s="49">
        <f t="shared" si="0"/>
        <v>-1.3735028390152519E-2</v>
      </c>
      <c r="D147" s="8">
        <v>592.29999999999995</v>
      </c>
      <c r="E147" s="49">
        <f t="shared" si="1"/>
        <v>1.4626111073174051E-2</v>
      </c>
      <c r="F147" s="7">
        <v>2880.4</v>
      </c>
      <c r="G147" s="49">
        <f t="shared" si="2"/>
        <v>8.0170529436539642E-3</v>
      </c>
      <c r="H147" s="7">
        <v>1122.8499999999999</v>
      </c>
      <c r="I147" s="23">
        <f t="shared" si="3"/>
        <v>1.326838238169396E-2</v>
      </c>
      <c r="J147" s="7">
        <v>1706.2</v>
      </c>
      <c r="K147" s="23">
        <f t="shared" si="4"/>
        <v>-2.0104824201018664E-2</v>
      </c>
      <c r="L147" s="7">
        <v>11886.75</v>
      </c>
      <c r="M147" s="9">
        <f t="shared" si="5"/>
        <v>-6.0713941208909467E-2</v>
      </c>
      <c r="N147" s="7">
        <v>17936.3</v>
      </c>
      <c r="O147" s="23">
        <f t="shared" si="6"/>
        <v>-9.2842211951094586E-3</v>
      </c>
      <c r="P147" s="7">
        <v>6098.8</v>
      </c>
      <c r="Q147" s="23">
        <f t="shared" si="7"/>
        <v>8.8605464488589851E-3</v>
      </c>
      <c r="R147" s="7">
        <v>1917.4</v>
      </c>
      <c r="S147" s="23">
        <f t="shared" si="8"/>
        <v>-6.0057117610105024E-3</v>
      </c>
      <c r="T147" s="7">
        <v>9662.9500000000007</v>
      </c>
      <c r="U147" s="23">
        <f t="shared" si="9"/>
        <v>-1.5913358308694687E-2</v>
      </c>
      <c r="V147" s="7">
        <v>2847.2</v>
      </c>
      <c r="W147" s="23">
        <f t="shared" si="10"/>
        <v>-3.0456573314338351E-2</v>
      </c>
      <c r="X147" s="7">
        <v>2368.5</v>
      </c>
      <c r="Y147" s="23">
        <f t="shared" si="11"/>
        <v>6.3107725166334887E-3</v>
      </c>
      <c r="Z147" s="7">
        <v>5227.7</v>
      </c>
      <c r="AA147" s="23">
        <f t="shared" si="12"/>
        <v>8.1259725333330243E-2</v>
      </c>
      <c r="AB147" s="10">
        <v>639.5</v>
      </c>
      <c r="AC147" s="23">
        <f t="shared" si="13"/>
        <v>-4.2131606365162985E-3</v>
      </c>
      <c r="AD147" s="11">
        <v>14412.2</v>
      </c>
      <c r="AE147" s="23">
        <f t="shared" si="14"/>
        <v>7.0535854415758829E-3</v>
      </c>
    </row>
    <row r="148" spans="1:31" ht="13.8">
      <c r="A148" s="12">
        <v>45658</v>
      </c>
      <c r="B148" s="7">
        <v>1882.5</v>
      </c>
      <c r="C148" s="49">
        <f t="shared" si="0"/>
        <v>1.3289038500537342E-3</v>
      </c>
      <c r="D148" s="8">
        <v>597.4</v>
      </c>
      <c r="E148" s="49">
        <f t="shared" si="1"/>
        <v>8.5736424990900482E-3</v>
      </c>
      <c r="F148" s="7">
        <v>2881.05</v>
      </c>
      <c r="G148" s="49">
        <f t="shared" si="2"/>
        <v>2.2563764425896627E-4</v>
      </c>
      <c r="H148" s="7">
        <v>1133.7</v>
      </c>
      <c r="I148" s="23">
        <f t="shared" si="3"/>
        <v>9.6165239990026619E-3</v>
      </c>
      <c r="J148" s="7">
        <v>1703.85</v>
      </c>
      <c r="K148" s="23">
        <f t="shared" si="4"/>
        <v>-1.378279129054181E-3</v>
      </c>
      <c r="L148" s="7">
        <v>11843.1</v>
      </c>
      <c r="M148" s="9">
        <f t="shared" si="5"/>
        <v>-3.6789148883302589E-3</v>
      </c>
      <c r="N148" s="7">
        <v>17994.2</v>
      </c>
      <c r="O148" s="23">
        <f t="shared" si="6"/>
        <v>3.222891421906582E-3</v>
      </c>
      <c r="P148" s="7">
        <v>6073</v>
      </c>
      <c r="Q148" s="23">
        <f t="shared" si="7"/>
        <v>-4.2393136001767006E-3</v>
      </c>
      <c r="R148" s="7">
        <v>1911.95</v>
      </c>
      <c r="S148" s="23">
        <f t="shared" si="8"/>
        <v>-2.8464380010982857E-3</v>
      </c>
      <c r="T148" s="7">
        <v>9628.5499999999993</v>
      </c>
      <c r="U148" s="23">
        <f t="shared" si="9"/>
        <v>-3.5663412861131529E-3</v>
      </c>
      <c r="V148" s="7">
        <v>2854.9</v>
      </c>
      <c r="W148" s="23">
        <f t="shared" si="10"/>
        <v>2.7007610109913986E-3</v>
      </c>
      <c r="X148" s="7">
        <v>2406.6</v>
      </c>
      <c r="Y148" s="23">
        <f t="shared" si="11"/>
        <v>1.5958119640255675E-2</v>
      </c>
      <c r="Z148" s="7">
        <v>5035.2</v>
      </c>
      <c r="AA148" s="23">
        <f t="shared" si="12"/>
        <v>-3.7518163466902878E-2</v>
      </c>
      <c r="AB148" s="10">
        <v>644</v>
      </c>
      <c r="AC148" s="23">
        <f t="shared" si="13"/>
        <v>7.0121050854562578E-3</v>
      </c>
      <c r="AD148" s="11">
        <v>15428.5</v>
      </c>
      <c r="AE148" s="23">
        <f t="shared" si="14"/>
        <v>6.8141378314550499E-2</v>
      </c>
    </row>
    <row r="149" spans="1:31" ht="13.8">
      <c r="A149" s="12">
        <v>45659</v>
      </c>
      <c r="B149" s="7">
        <v>1957.85</v>
      </c>
      <c r="C149" s="49">
        <f t="shared" si="0"/>
        <v>3.9246251697330266E-2</v>
      </c>
      <c r="D149" s="8">
        <v>608.6</v>
      </c>
      <c r="E149" s="49">
        <f t="shared" si="1"/>
        <v>1.857433168086145E-2</v>
      </c>
      <c r="F149" s="7">
        <v>2901.9</v>
      </c>
      <c r="G149" s="49">
        <f t="shared" si="2"/>
        <v>7.2108838376402588E-3</v>
      </c>
      <c r="H149" s="7">
        <v>1125.5</v>
      </c>
      <c r="I149" s="23">
        <f t="shared" si="3"/>
        <v>-7.2592386767660663E-3</v>
      </c>
      <c r="J149" s="7">
        <v>1726.95</v>
      </c>
      <c r="K149" s="23">
        <f t="shared" si="4"/>
        <v>1.3466450442242813E-2</v>
      </c>
      <c r="L149" s="7">
        <v>11918.95</v>
      </c>
      <c r="M149" s="9">
        <f t="shared" si="5"/>
        <v>6.3841509987947777E-3</v>
      </c>
      <c r="N149" s="7">
        <v>18341.900000000001</v>
      </c>
      <c r="O149" s="23">
        <f t="shared" si="6"/>
        <v>1.9138576404522316E-2</v>
      </c>
      <c r="P149" s="7">
        <v>6144.75</v>
      </c>
      <c r="Q149" s="23">
        <f t="shared" si="7"/>
        <v>1.1745341792458494E-2</v>
      </c>
      <c r="R149" s="7">
        <v>1972.2</v>
      </c>
      <c r="S149" s="23">
        <f t="shared" si="8"/>
        <v>3.1026007256430743E-2</v>
      </c>
      <c r="T149" s="7">
        <v>9696.65</v>
      </c>
      <c r="U149" s="23">
        <f t="shared" si="9"/>
        <v>7.0478216926271519E-3</v>
      </c>
      <c r="V149" s="7">
        <v>2898.7</v>
      </c>
      <c r="W149" s="23">
        <f t="shared" si="10"/>
        <v>1.5225544399860605E-2</v>
      </c>
      <c r="X149" s="7">
        <v>2501.4499999999998</v>
      </c>
      <c r="Y149" s="23">
        <f t="shared" si="11"/>
        <v>3.8655600717238996E-2</v>
      </c>
      <c r="Z149" s="7">
        <v>5166.25</v>
      </c>
      <c r="AA149" s="23">
        <f t="shared" si="12"/>
        <v>2.5693839515799816E-2</v>
      </c>
      <c r="AB149" s="10">
        <v>653.35</v>
      </c>
      <c r="AC149" s="23">
        <f t="shared" si="13"/>
        <v>1.4414247330801485E-2</v>
      </c>
      <c r="AD149" s="11">
        <v>15169.25</v>
      </c>
      <c r="AE149" s="23">
        <f t="shared" si="14"/>
        <v>-1.6946095973886535E-2</v>
      </c>
    </row>
    <row r="150" spans="1:31" ht="13.8">
      <c r="A150" s="12">
        <v>45660</v>
      </c>
      <c r="B150" s="7">
        <v>1938.75</v>
      </c>
      <c r="C150" s="49">
        <f t="shared" si="0"/>
        <v>-9.8034968806303587E-3</v>
      </c>
      <c r="D150" s="8">
        <v>605.20000000000005</v>
      </c>
      <c r="E150" s="49">
        <f t="shared" si="1"/>
        <v>-5.6022555486697871E-3</v>
      </c>
      <c r="F150" s="7">
        <v>2937.55</v>
      </c>
      <c r="G150" s="49">
        <f t="shared" si="2"/>
        <v>1.221020572753889E-2</v>
      </c>
      <c r="H150" s="7">
        <v>1143.6500000000001</v>
      </c>
      <c r="I150" s="23">
        <f t="shared" si="3"/>
        <v>1.5997520726581685E-2</v>
      </c>
      <c r="J150" s="7">
        <v>1689.45</v>
      </c>
      <c r="K150" s="23">
        <f t="shared" si="4"/>
        <v>-2.1953814625967964E-2</v>
      </c>
      <c r="L150" s="7">
        <v>11607.95</v>
      </c>
      <c r="M150" s="9">
        <f t="shared" si="5"/>
        <v>-2.6439362310586811E-2</v>
      </c>
      <c r="N150" s="7">
        <v>18397.650000000001</v>
      </c>
      <c r="O150" s="23">
        <f t="shared" si="6"/>
        <v>3.0348789133452093E-3</v>
      </c>
      <c r="P150" s="7">
        <v>6048.3</v>
      </c>
      <c r="Q150" s="23">
        <f t="shared" si="7"/>
        <v>-1.5820817886258453E-2</v>
      </c>
      <c r="R150" s="7">
        <v>1946.65</v>
      </c>
      <c r="S150" s="23">
        <f t="shared" si="8"/>
        <v>-1.3039724424552293E-2</v>
      </c>
      <c r="T150" s="7">
        <v>9669.65</v>
      </c>
      <c r="U150" s="23">
        <f t="shared" si="9"/>
        <v>-2.7883506393602125E-3</v>
      </c>
      <c r="V150" s="7">
        <v>2869.25</v>
      </c>
      <c r="W150" s="23">
        <f t="shared" si="10"/>
        <v>-1.0211689046057067E-2</v>
      </c>
      <c r="X150" s="7">
        <v>2482.9499999999998</v>
      </c>
      <c r="Y150" s="23">
        <f t="shared" si="11"/>
        <v>-7.4231943470169544E-3</v>
      </c>
      <c r="Z150" s="7">
        <v>5105.8999999999996</v>
      </c>
      <c r="AA150" s="23">
        <f t="shared" si="12"/>
        <v>-1.1750353018491332E-2</v>
      </c>
      <c r="AB150" s="10">
        <v>660.95</v>
      </c>
      <c r="AC150" s="23">
        <f t="shared" si="13"/>
        <v>1.1565220590253635E-2</v>
      </c>
      <c r="AD150" s="11">
        <v>15131.4</v>
      </c>
      <c r="AE150" s="23">
        <f t="shared" si="14"/>
        <v>-2.4982975405940158E-3</v>
      </c>
    </row>
    <row r="151" spans="1:31" ht="13.8">
      <c r="A151" s="12">
        <v>45663</v>
      </c>
      <c r="B151" s="7">
        <v>1937.85</v>
      </c>
      <c r="C151" s="49">
        <f t="shared" si="0"/>
        <v>-4.643244163286467E-4</v>
      </c>
      <c r="D151" s="8">
        <v>607.9</v>
      </c>
      <c r="E151" s="49">
        <f t="shared" si="1"/>
        <v>4.4514128404758834E-3</v>
      </c>
      <c r="F151" s="7">
        <v>2884.55</v>
      </c>
      <c r="G151" s="49">
        <f t="shared" si="2"/>
        <v>-1.8206992010743869E-2</v>
      </c>
      <c r="H151" s="7">
        <v>1132.1500000000001</v>
      </c>
      <c r="I151" s="23">
        <f t="shared" si="3"/>
        <v>-1.0106422254838161E-2</v>
      </c>
      <c r="J151" s="7">
        <v>1686.3</v>
      </c>
      <c r="K151" s="23">
        <f t="shared" si="4"/>
        <v>-1.8662524856762606E-3</v>
      </c>
      <c r="L151" s="7">
        <v>11025.95</v>
      </c>
      <c r="M151" s="9">
        <f t="shared" si="5"/>
        <v>-5.1438622777253785E-2</v>
      </c>
      <c r="N151" s="7">
        <v>18037.25</v>
      </c>
      <c r="O151" s="23">
        <f t="shared" si="6"/>
        <v>-1.9783875076996835E-2</v>
      </c>
      <c r="P151" s="7">
        <v>5891.65</v>
      </c>
      <c r="Q151" s="23">
        <f t="shared" si="7"/>
        <v>-2.6241146565426848E-2</v>
      </c>
      <c r="R151" s="7">
        <v>1953.05</v>
      </c>
      <c r="S151" s="23">
        <f t="shared" si="8"/>
        <v>3.2823067137910714E-3</v>
      </c>
      <c r="T151" s="7">
        <v>9631.75</v>
      </c>
      <c r="U151" s="23">
        <f t="shared" si="9"/>
        <v>-3.9271813143276811E-3</v>
      </c>
      <c r="V151" s="7">
        <v>2897.65</v>
      </c>
      <c r="W151" s="23">
        <f t="shared" si="10"/>
        <v>9.8493920793504622E-3</v>
      </c>
      <c r="X151" s="7">
        <v>2413.85</v>
      </c>
      <c r="Y151" s="23">
        <f t="shared" si="11"/>
        <v>-2.8224386178492447E-2</v>
      </c>
      <c r="Z151" s="7">
        <v>4915.45</v>
      </c>
      <c r="AA151" s="23">
        <f t="shared" si="12"/>
        <v>-3.8013427957403874E-2</v>
      </c>
      <c r="AB151" s="10">
        <v>648.35</v>
      </c>
      <c r="AC151" s="23">
        <f t="shared" si="13"/>
        <v>-1.9247520030515403E-2</v>
      </c>
      <c r="AD151" s="11">
        <v>14766.65</v>
      </c>
      <c r="AE151" s="23">
        <f t="shared" si="14"/>
        <v>-2.4400795199907635E-2</v>
      </c>
    </row>
    <row r="152" spans="1:31" ht="13.8">
      <c r="A152" s="12">
        <v>45664</v>
      </c>
      <c r="B152" s="7">
        <v>1930.85</v>
      </c>
      <c r="C152" s="49">
        <f t="shared" si="0"/>
        <v>-3.6187906217204115E-3</v>
      </c>
      <c r="D152" s="8">
        <v>616.1</v>
      </c>
      <c r="E152" s="49">
        <f t="shared" si="1"/>
        <v>1.3398893265848213E-2</v>
      </c>
      <c r="F152" s="7">
        <v>2919.7</v>
      </c>
      <c r="G152" s="49">
        <f t="shared" si="2"/>
        <v>1.2111962684806807E-2</v>
      </c>
      <c r="H152" s="7">
        <v>1184.75</v>
      </c>
      <c r="I152" s="23">
        <f t="shared" si="3"/>
        <v>4.5413302029167157E-2</v>
      </c>
      <c r="J152" s="7">
        <v>1671.15</v>
      </c>
      <c r="K152" s="23">
        <f t="shared" si="4"/>
        <v>-9.0247675027037184E-3</v>
      </c>
      <c r="L152" s="7">
        <v>11101.3</v>
      </c>
      <c r="M152" s="9">
        <f t="shared" si="5"/>
        <v>6.810633156599819E-3</v>
      </c>
      <c r="N152" s="7">
        <v>18451.849999999999</v>
      </c>
      <c r="O152" s="23">
        <f t="shared" si="6"/>
        <v>2.2725572472366746E-2</v>
      </c>
      <c r="P152" s="7">
        <v>5907.95</v>
      </c>
      <c r="Q152" s="23">
        <f t="shared" si="7"/>
        <v>2.7628072762294529E-3</v>
      </c>
      <c r="R152" s="7">
        <v>1915.9</v>
      </c>
      <c r="S152" s="23">
        <f t="shared" si="8"/>
        <v>-1.920476708552071E-2</v>
      </c>
      <c r="T152" s="7">
        <v>9620.2000000000007</v>
      </c>
      <c r="U152" s="23">
        <f t="shared" si="9"/>
        <v>-1.1998785978271185E-3</v>
      </c>
      <c r="V152" s="7">
        <v>2926.2</v>
      </c>
      <c r="W152" s="23">
        <f t="shared" si="10"/>
        <v>9.8045893039335578E-3</v>
      </c>
      <c r="X152" s="7">
        <v>2384.5</v>
      </c>
      <c r="Y152" s="23">
        <f t="shared" si="11"/>
        <v>-1.2233524457512562E-2</v>
      </c>
      <c r="Z152" s="7">
        <v>4977.1000000000004</v>
      </c>
      <c r="AA152" s="23">
        <f t="shared" si="12"/>
        <v>1.2464086231812894E-2</v>
      </c>
      <c r="AB152" s="10">
        <v>643.6</v>
      </c>
      <c r="AC152" s="23">
        <f t="shared" si="13"/>
        <v>-7.3532588766651022E-3</v>
      </c>
      <c r="AD152" s="11">
        <v>14712.05</v>
      </c>
      <c r="AE152" s="23">
        <f t="shared" si="14"/>
        <v>-3.70437383173889E-3</v>
      </c>
    </row>
    <row r="153" spans="1:31" ht="13.8">
      <c r="A153" s="12">
        <v>45665</v>
      </c>
      <c r="B153" s="7">
        <v>1933.15</v>
      </c>
      <c r="C153" s="49">
        <f t="shared" si="0"/>
        <v>1.1904763310748023E-3</v>
      </c>
      <c r="D153" s="8">
        <v>608.4</v>
      </c>
      <c r="E153" s="49">
        <f t="shared" si="1"/>
        <v>-1.2576727635387261E-2</v>
      </c>
      <c r="F153" s="7">
        <v>2879.55</v>
      </c>
      <c r="G153" s="49">
        <f t="shared" si="2"/>
        <v>-1.3846839336524116E-2</v>
      </c>
      <c r="H153" s="7">
        <v>1181.8499999999999</v>
      </c>
      <c r="I153" s="23">
        <f t="shared" si="3"/>
        <v>-2.4507744878909401E-3</v>
      </c>
      <c r="J153" s="7">
        <v>1663.75</v>
      </c>
      <c r="K153" s="23">
        <f t="shared" si="4"/>
        <v>-4.437921464113921E-3</v>
      </c>
      <c r="L153" s="7">
        <v>11270.8</v>
      </c>
      <c r="M153" s="9">
        <f t="shared" si="5"/>
        <v>1.5153091870349061E-2</v>
      </c>
      <c r="N153" s="7">
        <v>16905.849999999999</v>
      </c>
      <c r="O153" s="23">
        <f t="shared" si="6"/>
        <v>-8.7504920584684093E-2</v>
      </c>
      <c r="P153" s="7">
        <v>5868.4</v>
      </c>
      <c r="Q153" s="23">
        <f t="shared" si="7"/>
        <v>-6.7168772490890346E-3</v>
      </c>
      <c r="R153" s="7">
        <v>1932.25</v>
      </c>
      <c r="S153" s="23">
        <f t="shared" si="8"/>
        <v>8.4976408850336946E-3</v>
      </c>
      <c r="T153" s="7">
        <v>9558</v>
      </c>
      <c r="U153" s="23">
        <f t="shared" si="9"/>
        <v>-6.4865543263292347E-3</v>
      </c>
      <c r="V153" s="7">
        <v>2924.85</v>
      </c>
      <c r="W153" s="23">
        <f t="shared" si="10"/>
        <v>-4.6145564435636985E-4</v>
      </c>
      <c r="X153" s="7">
        <v>2361.8000000000002</v>
      </c>
      <c r="Y153" s="23">
        <f t="shared" si="11"/>
        <v>-9.5654185710977637E-3</v>
      </c>
      <c r="Z153" s="7">
        <v>4869.3500000000004</v>
      </c>
      <c r="AA153" s="23">
        <f t="shared" si="12"/>
        <v>-2.1886934139040307E-2</v>
      </c>
      <c r="AB153" s="10">
        <v>638.4</v>
      </c>
      <c r="AC153" s="23">
        <f t="shared" si="13"/>
        <v>-8.1123689826292436E-3</v>
      </c>
      <c r="AD153" s="11">
        <v>14305.1</v>
      </c>
      <c r="AE153" s="23">
        <f t="shared" si="14"/>
        <v>-2.8050768842052889E-2</v>
      </c>
    </row>
    <row r="154" spans="1:31" ht="13.8">
      <c r="A154" s="12">
        <v>45666</v>
      </c>
      <c r="B154" s="7">
        <v>1917.3</v>
      </c>
      <c r="C154" s="49">
        <f t="shared" si="0"/>
        <v>-8.232850459428627E-3</v>
      </c>
      <c r="D154" s="8">
        <v>606</v>
      </c>
      <c r="E154" s="49">
        <f t="shared" si="1"/>
        <v>-3.9525743158232464E-3</v>
      </c>
      <c r="F154" s="7">
        <v>2828.05</v>
      </c>
      <c r="G154" s="49">
        <f t="shared" si="2"/>
        <v>-1.8046603722058147E-2</v>
      </c>
      <c r="H154" s="7">
        <v>1203.25</v>
      </c>
      <c r="I154" s="23">
        <f t="shared" si="3"/>
        <v>1.7945221823411964E-2</v>
      </c>
      <c r="J154" s="7">
        <v>1642.8</v>
      </c>
      <c r="K154" s="23">
        <f t="shared" si="4"/>
        <v>-1.2671987626917864E-2</v>
      </c>
      <c r="L154" s="7">
        <v>11168.9</v>
      </c>
      <c r="M154" s="9">
        <f t="shared" si="5"/>
        <v>-9.0821802825030457E-3</v>
      </c>
      <c r="N154" s="7">
        <v>16852.7</v>
      </c>
      <c r="O154" s="23">
        <f t="shared" si="6"/>
        <v>-3.1488345273053028E-3</v>
      </c>
      <c r="P154" s="7">
        <v>5824.55</v>
      </c>
      <c r="Q154" s="23">
        <f t="shared" si="7"/>
        <v>-7.5002810346552744E-3</v>
      </c>
      <c r="R154" s="7">
        <v>1934.8</v>
      </c>
      <c r="S154" s="23">
        <f t="shared" si="8"/>
        <v>1.318834961847794E-3</v>
      </c>
      <c r="T154" s="7">
        <v>9283</v>
      </c>
      <c r="U154" s="23">
        <f t="shared" si="9"/>
        <v>-2.9193729738171012E-2</v>
      </c>
      <c r="V154" s="7">
        <v>2871.95</v>
      </c>
      <c r="W154" s="23">
        <f t="shared" si="10"/>
        <v>-1.8251955753889375E-2</v>
      </c>
      <c r="X154" s="7">
        <v>2326.4499999999998</v>
      </c>
      <c r="Y154" s="23">
        <f t="shared" si="11"/>
        <v>-1.508053962427724E-2</v>
      </c>
      <c r="Z154" s="7">
        <v>4720.7</v>
      </c>
      <c r="AA154" s="23">
        <f t="shared" si="12"/>
        <v>-3.1003364274584763E-2</v>
      </c>
      <c r="AB154" s="10">
        <v>666.9</v>
      </c>
      <c r="AC154" s="23">
        <f t="shared" si="13"/>
        <v>4.3675063502661635E-2</v>
      </c>
      <c r="AD154" s="11">
        <v>13833.65</v>
      </c>
      <c r="AE154" s="23">
        <f t="shared" si="14"/>
        <v>-3.3512087167579994E-2</v>
      </c>
    </row>
    <row r="155" spans="1:31" ht="13.8">
      <c r="A155" s="13">
        <v>45667</v>
      </c>
      <c r="B155" s="7">
        <v>1966.95</v>
      </c>
      <c r="C155" s="49">
        <f t="shared" si="0"/>
        <v>2.5566173321197216E-2</v>
      </c>
      <c r="D155" s="8">
        <v>593.6</v>
      </c>
      <c r="E155" s="49">
        <f t="shared" si="1"/>
        <v>-2.0674294216143741E-2</v>
      </c>
      <c r="F155" s="7">
        <v>2739.95</v>
      </c>
      <c r="G155" s="49">
        <f t="shared" si="2"/>
        <v>-3.1647756159197175E-2</v>
      </c>
      <c r="H155" s="7">
        <v>1200.45</v>
      </c>
      <c r="I155" s="23">
        <f t="shared" si="3"/>
        <v>-2.3297427020538197E-3</v>
      </c>
      <c r="J155" s="7">
        <v>1705.6</v>
      </c>
      <c r="K155" s="23">
        <f t="shared" si="4"/>
        <v>3.7514851889121889E-2</v>
      </c>
      <c r="L155" s="7">
        <v>10827.85</v>
      </c>
      <c r="M155" s="9">
        <f t="shared" si="5"/>
        <v>-3.101161148324752E-2</v>
      </c>
      <c r="N155" s="7">
        <v>16709.2</v>
      </c>
      <c r="O155" s="23">
        <f t="shared" si="6"/>
        <v>-8.5514154128613559E-3</v>
      </c>
      <c r="P155" s="7">
        <v>5771.35</v>
      </c>
      <c r="Q155" s="23">
        <f t="shared" si="7"/>
        <v>-9.1757212909609944E-3</v>
      </c>
      <c r="R155" s="7">
        <v>1995.1</v>
      </c>
      <c r="S155" s="23">
        <f t="shared" si="8"/>
        <v>3.0690212432187322E-2</v>
      </c>
      <c r="T155" s="7">
        <v>9404.15</v>
      </c>
      <c r="U155" s="23">
        <f t="shared" si="9"/>
        <v>1.2966310792111017E-2</v>
      </c>
      <c r="V155" s="7">
        <v>2915</v>
      </c>
      <c r="W155" s="23">
        <f t="shared" si="10"/>
        <v>1.4878578238776741E-2</v>
      </c>
      <c r="X155" s="7">
        <v>2283.25</v>
      </c>
      <c r="Y155" s="23">
        <f t="shared" si="11"/>
        <v>-1.8743633971115756E-2</v>
      </c>
      <c r="Z155" s="7">
        <v>4777.6499999999996</v>
      </c>
      <c r="AA155" s="23">
        <f t="shared" si="12"/>
        <v>1.199170012756654E-2</v>
      </c>
      <c r="AB155" s="10">
        <v>673.9</v>
      </c>
      <c r="AC155" s="23">
        <f t="shared" si="13"/>
        <v>1.0441622313910751E-2</v>
      </c>
      <c r="AD155" s="11">
        <v>13436.35</v>
      </c>
      <c r="AE155" s="23">
        <f t="shared" si="14"/>
        <v>-2.9140309042563872E-2</v>
      </c>
    </row>
    <row r="156" spans="1:31" ht="13.8">
      <c r="A156" s="13">
        <v>45670</v>
      </c>
      <c r="B156" s="7">
        <v>1962.2</v>
      </c>
      <c r="C156" s="49">
        <f t="shared" si="0"/>
        <v>-2.4178269162524451E-3</v>
      </c>
      <c r="D156" s="8">
        <v>568</v>
      </c>
      <c r="E156" s="49">
        <f t="shared" si="1"/>
        <v>-4.408427313201943E-2</v>
      </c>
      <c r="F156" s="7">
        <v>2595.9499999999998</v>
      </c>
      <c r="G156" s="49">
        <f t="shared" si="2"/>
        <v>-5.3987133802553086E-2</v>
      </c>
      <c r="H156" s="7">
        <v>1116.3499999999999</v>
      </c>
      <c r="I156" s="23">
        <f t="shared" si="3"/>
        <v>-7.2632051636718903E-2</v>
      </c>
      <c r="J156" s="7">
        <v>1659.65</v>
      </c>
      <c r="K156" s="23">
        <f t="shared" si="4"/>
        <v>-2.7310218225019223E-2</v>
      </c>
      <c r="L156" s="7">
        <v>10314.799999999999</v>
      </c>
      <c r="M156" s="9">
        <f t="shared" si="5"/>
        <v>-4.8541761586060807E-2</v>
      </c>
      <c r="N156" s="7">
        <v>15835.15</v>
      </c>
      <c r="O156" s="23">
        <f t="shared" si="6"/>
        <v>-5.3727313304771318E-2</v>
      </c>
      <c r="P156" s="7">
        <v>5732.5</v>
      </c>
      <c r="Q156" s="23">
        <f t="shared" si="7"/>
        <v>-6.7542862078131538E-3</v>
      </c>
      <c r="R156" s="7">
        <v>1989.4</v>
      </c>
      <c r="S156" s="23">
        <f t="shared" si="8"/>
        <v>-2.8610886627018642E-3</v>
      </c>
      <c r="T156" s="7">
        <v>8705.5499999999993</v>
      </c>
      <c r="U156" s="23">
        <f t="shared" si="9"/>
        <v>-7.7190327906392936E-2</v>
      </c>
      <c r="V156" s="7">
        <v>2777.5</v>
      </c>
      <c r="W156" s="23">
        <f t="shared" si="10"/>
        <v>-4.8318577270807683E-2</v>
      </c>
      <c r="X156" s="7">
        <v>2176.6</v>
      </c>
      <c r="Y156" s="23">
        <f t="shared" si="11"/>
        <v>-4.7835840309827085E-2</v>
      </c>
      <c r="Z156" s="7">
        <v>4392.3</v>
      </c>
      <c r="AA156" s="23">
        <f t="shared" si="12"/>
        <v>-8.4095785928255104E-2</v>
      </c>
      <c r="AB156" s="10">
        <v>668.4</v>
      </c>
      <c r="AC156" s="23">
        <f t="shared" si="13"/>
        <v>-8.1949352309326901E-3</v>
      </c>
      <c r="AD156" s="11">
        <v>12724.05</v>
      </c>
      <c r="AE156" s="23">
        <f t="shared" si="14"/>
        <v>-5.4469817369166847E-2</v>
      </c>
    </row>
    <row r="157" spans="1:31" ht="13.8">
      <c r="A157" s="13">
        <v>45671</v>
      </c>
      <c r="B157" s="7">
        <v>1940.05</v>
      </c>
      <c r="C157" s="49">
        <f t="shared" si="0"/>
        <v>-1.1352546808163522E-2</v>
      </c>
      <c r="D157" s="8">
        <v>583.75</v>
      </c>
      <c r="E157" s="49">
        <f t="shared" si="1"/>
        <v>2.7351390261955613E-2</v>
      </c>
      <c r="F157" s="7">
        <v>2665.85</v>
      </c>
      <c r="G157" s="49">
        <f t="shared" si="2"/>
        <v>2.6570417851875101E-2</v>
      </c>
      <c r="H157" s="7">
        <v>1152.3499999999999</v>
      </c>
      <c r="I157" s="23">
        <f t="shared" si="3"/>
        <v>3.173890071205366E-2</v>
      </c>
      <c r="J157" s="7">
        <v>1647.5</v>
      </c>
      <c r="K157" s="23">
        <f t="shared" si="4"/>
        <v>-7.3477493698438038E-3</v>
      </c>
      <c r="L157" s="7">
        <v>10620.6</v>
      </c>
      <c r="M157" s="9">
        <f t="shared" si="5"/>
        <v>2.9215754296759693E-2</v>
      </c>
      <c r="N157" s="7">
        <v>16274.9</v>
      </c>
      <c r="O157" s="23">
        <f t="shared" si="6"/>
        <v>2.7391891049691825E-2</v>
      </c>
      <c r="P157" s="7">
        <v>5990.3</v>
      </c>
      <c r="Q157" s="23">
        <f t="shared" si="7"/>
        <v>4.3989758595754373E-2</v>
      </c>
      <c r="R157" s="7">
        <v>1813.55</v>
      </c>
      <c r="S157" s="23">
        <f t="shared" si="8"/>
        <v>-9.2546835380116516E-2</v>
      </c>
      <c r="T157" s="7">
        <v>8592.4</v>
      </c>
      <c r="U157" s="23">
        <f t="shared" si="9"/>
        <v>-1.3082661685828988E-2</v>
      </c>
      <c r="V157" s="7">
        <v>2780.25</v>
      </c>
      <c r="W157" s="23">
        <f t="shared" si="10"/>
        <v>9.8960918516628185E-4</v>
      </c>
      <c r="X157" s="7">
        <v>2235</v>
      </c>
      <c r="Y157" s="23">
        <f t="shared" si="11"/>
        <v>2.6477201785707921E-2</v>
      </c>
      <c r="Z157" s="7">
        <v>4516.95</v>
      </c>
      <c r="AA157" s="23">
        <f t="shared" si="12"/>
        <v>2.7983979432013837E-2</v>
      </c>
      <c r="AB157" s="10">
        <v>661.1</v>
      </c>
      <c r="AC157" s="23">
        <f t="shared" si="13"/>
        <v>-1.0981682381706132E-2</v>
      </c>
      <c r="AD157" s="11">
        <v>13428.1</v>
      </c>
      <c r="AE157" s="23">
        <f t="shared" si="14"/>
        <v>5.385562275439916E-2</v>
      </c>
    </row>
    <row r="158" spans="1:31" ht="13.8">
      <c r="A158" s="13">
        <v>45672</v>
      </c>
      <c r="B158" s="7">
        <v>1949.65</v>
      </c>
      <c r="C158" s="49">
        <f t="shared" si="0"/>
        <v>4.9361233474269246E-3</v>
      </c>
      <c r="D158" s="8">
        <v>573.20000000000005</v>
      </c>
      <c r="E158" s="49">
        <f t="shared" si="1"/>
        <v>-1.8238113029090171E-2</v>
      </c>
      <c r="F158" s="7">
        <v>2596</v>
      </c>
      <c r="G158" s="49">
        <f t="shared" si="2"/>
        <v>-2.6551157265774911E-2</v>
      </c>
      <c r="H158" s="7">
        <v>1134</v>
      </c>
      <c r="I158" s="23">
        <f t="shared" si="3"/>
        <v>-1.6052130268802173E-2</v>
      </c>
      <c r="J158" s="7">
        <v>1675.95</v>
      </c>
      <c r="K158" s="23">
        <f t="shared" si="4"/>
        <v>1.7121181284794399E-2</v>
      </c>
      <c r="L158" s="7">
        <v>10849.15</v>
      </c>
      <c r="M158" s="9">
        <f t="shared" si="5"/>
        <v>2.1291224510797461E-2</v>
      </c>
      <c r="N158" s="7">
        <v>16919.650000000001</v>
      </c>
      <c r="O158" s="23">
        <f t="shared" si="6"/>
        <v>3.8851624702416626E-2</v>
      </c>
      <c r="P158" s="7">
        <v>5876.85</v>
      </c>
      <c r="Q158" s="23">
        <f t="shared" si="7"/>
        <v>-1.9120590267022286E-2</v>
      </c>
      <c r="R158" s="7">
        <v>1825.7</v>
      </c>
      <c r="S158" s="23">
        <f t="shared" si="8"/>
        <v>6.6772247812675245E-3</v>
      </c>
      <c r="T158" s="7">
        <v>8583.35</v>
      </c>
      <c r="U158" s="23">
        <f t="shared" si="9"/>
        <v>-1.0538114303614502E-3</v>
      </c>
      <c r="V158" s="7">
        <v>2779.75</v>
      </c>
      <c r="W158" s="23">
        <f t="shared" si="10"/>
        <v>-1.7985611559271833E-4</v>
      </c>
      <c r="X158" s="7">
        <v>2250.5</v>
      </c>
      <c r="Y158" s="23">
        <f t="shared" si="11"/>
        <v>6.9111856853182356E-3</v>
      </c>
      <c r="Z158" s="7">
        <v>4468.5</v>
      </c>
      <c r="AA158" s="23">
        <f t="shared" si="12"/>
        <v>-1.0784205478113359E-2</v>
      </c>
      <c r="AB158" s="10">
        <v>659.75</v>
      </c>
      <c r="AC158" s="23">
        <f t="shared" si="13"/>
        <v>-2.0441389560989882E-3</v>
      </c>
      <c r="AD158" s="11">
        <v>12672</v>
      </c>
      <c r="AE158" s="23">
        <f t="shared" si="14"/>
        <v>-5.7954691143398407E-2</v>
      </c>
    </row>
    <row r="159" spans="1:31" ht="13.8">
      <c r="A159" s="13">
        <v>45673</v>
      </c>
      <c r="B159" s="7">
        <v>1928.45</v>
      </c>
      <c r="C159" s="49">
        <f t="shared" si="0"/>
        <v>-1.093329784255981E-2</v>
      </c>
      <c r="D159" s="8">
        <v>579.45000000000005</v>
      </c>
      <c r="E159" s="49">
        <f t="shared" si="1"/>
        <v>1.0844681826383283E-2</v>
      </c>
      <c r="F159" s="7">
        <v>2545.25</v>
      </c>
      <c r="G159" s="49">
        <f t="shared" si="2"/>
        <v>-1.9742921836675545E-2</v>
      </c>
      <c r="H159" s="7">
        <v>1201.45</v>
      </c>
      <c r="I159" s="23">
        <f t="shared" si="3"/>
        <v>5.7777955374556628E-2</v>
      </c>
      <c r="J159" s="7">
        <v>1687.65</v>
      </c>
      <c r="K159" s="23">
        <f t="shared" si="4"/>
        <v>6.9568600237340829E-3</v>
      </c>
      <c r="L159" s="7">
        <v>10937.35</v>
      </c>
      <c r="M159" s="9">
        <f t="shared" si="5"/>
        <v>8.0968014001506668E-3</v>
      </c>
      <c r="N159" s="7">
        <v>16938.900000000001</v>
      </c>
      <c r="O159" s="23">
        <f t="shared" si="6"/>
        <v>1.137083665669254E-3</v>
      </c>
      <c r="P159" s="7">
        <v>5916.05</v>
      </c>
      <c r="Q159" s="23">
        <f t="shared" si="7"/>
        <v>6.6480923907084244E-3</v>
      </c>
      <c r="R159" s="7">
        <v>1792.25</v>
      </c>
      <c r="S159" s="23">
        <f t="shared" si="8"/>
        <v>-1.8491661386483005E-2</v>
      </c>
      <c r="T159" s="7">
        <v>8731.35</v>
      </c>
      <c r="U159" s="23">
        <f t="shared" si="9"/>
        <v>1.7095716884040633E-2</v>
      </c>
      <c r="V159" s="7">
        <v>2821.4</v>
      </c>
      <c r="W159" s="23">
        <f t="shared" si="10"/>
        <v>1.487222005704345E-2</v>
      </c>
      <c r="X159" s="7">
        <v>2278.0500000000002</v>
      </c>
      <c r="Y159" s="23">
        <f t="shared" si="11"/>
        <v>1.2167400111401322E-2</v>
      </c>
      <c r="Z159" s="7">
        <v>4382.25</v>
      </c>
      <c r="AA159" s="23">
        <f t="shared" si="12"/>
        <v>-1.9490490718790554E-2</v>
      </c>
      <c r="AB159" s="10">
        <v>652.6</v>
      </c>
      <c r="AC159" s="23">
        <f t="shared" si="13"/>
        <v>-1.0896591224213143E-2</v>
      </c>
      <c r="AD159" s="11">
        <v>13055.75</v>
      </c>
      <c r="AE159" s="23">
        <f t="shared" si="14"/>
        <v>2.9833814682036611E-2</v>
      </c>
    </row>
    <row r="160" spans="1:31" ht="13.8">
      <c r="A160" s="13">
        <v>45674</v>
      </c>
      <c r="B160" s="7">
        <v>1815.45</v>
      </c>
      <c r="C160" s="49">
        <f t="shared" si="0"/>
        <v>-6.038320057327147E-2</v>
      </c>
      <c r="D160" s="8">
        <v>579.20000000000005</v>
      </c>
      <c r="E160" s="49">
        <f t="shared" si="1"/>
        <v>-4.3153670889336599E-4</v>
      </c>
      <c r="F160" s="7">
        <v>2600.4</v>
      </c>
      <c r="G160" s="49">
        <f t="shared" si="2"/>
        <v>2.1436402343008552E-2</v>
      </c>
      <c r="H160" s="7">
        <v>1276.25</v>
      </c>
      <c r="I160" s="23">
        <f t="shared" si="3"/>
        <v>6.0396929816621307E-2</v>
      </c>
      <c r="J160" s="7">
        <v>1660.3</v>
      </c>
      <c r="K160" s="23">
        <f t="shared" si="4"/>
        <v>-1.6338719771450062E-2</v>
      </c>
      <c r="L160" s="7">
        <v>10802.1</v>
      </c>
      <c r="M160" s="9">
        <f t="shared" si="5"/>
        <v>-1.2442977631229162E-2</v>
      </c>
      <c r="N160" s="7">
        <v>17224.45</v>
      </c>
      <c r="O160" s="23">
        <f t="shared" si="6"/>
        <v>1.6717134005520558E-2</v>
      </c>
      <c r="P160" s="7">
        <v>5916.05</v>
      </c>
      <c r="Q160" s="23">
        <f t="shared" si="7"/>
        <v>0</v>
      </c>
      <c r="R160" s="7">
        <v>1788.9</v>
      </c>
      <c r="S160" s="23">
        <f t="shared" si="8"/>
        <v>-1.87090793581162E-3</v>
      </c>
      <c r="T160" s="7">
        <v>8641.5499999999993</v>
      </c>
      <c r="U160" s="23">
        <f t="shared" si="9"/>
        <v>-1.0338032197175027E-2</v>
      </c>
      <c r="V160" s="7">
        <v>2817.2</v>
      </c>
      <c r="W160" s="23">
        <f t="shared" si="10"/>
        <v>-1.4897317691467311E-3</v>
      </c>
      <c r="X160" s="7">
        <v>2301.25</v>
      </c>
      <c r="Y160" s="23">
        <f t="shared" si="11"/>
        <v>1.0132639702898927E-2</v>
      </c>
      <c r="Z160" s="7">
        <v>4383.8</v>
      </c>
      <c r="AA160" s="23">
        <f t="shared" si="12"/>
        <v>3.5363704659542274E-4</v>
      </c>
      <c r="AB160" s="10">
        <v>664.4</v>
      </c>
      <c r="AC160" s="23">
        <f t="shared" si="13"/>
        <v>1.791999357991941E-2</v>
      </c>
      <c r="AD160" s="11">
        <v>12917.1</v>
      </c>
      <c r="AE160" s="23">
        <f t="shared" si="14"/>
        <v>-1.0676634798498204E-2</v>
      </c>
    </row>
    <row r="161" spans="1:31" ht="13.8">
      <c r="A161" s="13">
        <v>45677</v>
      </c>
      <c r="B161" s="7">
        <v>1813.3</v>
      </c>
      <c r="C161" s="49">
        <f t="shared" si="0"/>
        <v>-1.1849811927426514E-3</v>
      </c>
      <c r="D161" s="8">
        <v>597.75</v>
      </c>
      <c r="E161" s="49">
        <f t="shared" si="1"/>
        <v>3.1524765266927476E-2</v>
      </c>
      <c r="F161" s="7">
        <v>2704.7</v>
      </c>
      <c r="G161" s="49">
        <f t="shared" si="2"/>
        <v>3.9325721069643389E-2</v>
      </c>
      <c r="H161" s="7">
        <v>1329.25</v>
      </c>
      <c r="I161" s="23">
        <f t="shared" si="3"/>
        <v>4.0688782905572561E-2</v>
      </c>
      <c r="J161" s="7">
        <v>1674.6</v>
      </c>
      <c r="K161" s="23">
        <f t="shared" si="4"/>
        <v>8.5760218565907424E-3</v>
      </c>
      <c r="L161" s="7">
        <v>10861.8</v>
      </c>
      <c r="M161" s="9">
        <f t="shared" si="5"/>
        <v>5.5114869550682765E-3</v>
      </c>
      <c r="N161" s="7">
        <v>17559.45</v>
      </c>
      <c r="O161" s="23">
        <f t="shared" si="6"/>
        <v>1.9262380475820733E-2</v>
      </c>
      <c r="P161" s="7">
        <v>6000.6</v>
      </c>
      <c r="Q161" s="23">
        <f t="shared" si="7"/>
        <v>1.4190467759025374E-2</v>
      </c>
      <c r="R161" s="7">
        <v>1796.2</v>
      </c>
      <c r="S161" s="23">
        <f t="shared" si="8"/>
        <v>4.0724164396794237E-3</v>
      </c>
      <c r="T161" s="7">
        <v>8662.1</v>
      </c>
      <c r="U161" s="23">
        <f t="shared" si="9"/>
        <v>2.3752225295102362E-3</v>
      </c>
      <c r="V161" s="7">
        <v>2805.25</v>
      </c>
      <c r="W161" s="23">
        <f t="shared" si="10"/>
        <v>-4.2508223262795481E-3</v>
      </c>
      <c r="X161" s="7">
        <v>2292.9499999999998</v>
      </c>
      <c r="Y161" s="23">
        <f t="shared" si="11"/>
        <v>-3.6132554221112909E-3</v>
      </c>
      <c r="Z161" s="7">
        <v>4447.25</v>
      </c>
      <c r="AA161" s="23">
        <f t="shared" si="12"/>
        <v>1.4369999456127583E-2</v>
      </c>
      <c r="AB161" s="10">
        <v>657.45</v>
      </c>
      <c r="AC161" s="23">
        <f t="shared" si="13"/>
        <v>-1.0515662206211871E-2</v>
      </c>
      <c r="AD161" s="11">
        <v>12906.5</v>
      </c>
      <c r="AE161" s="23">
        <f t="shared" si="14"/>
        <v>-8.2095452185881456E-4</v>
      </c>
    </row>
    <row r="162" spans="1:31" ht="13.8">
      <c r="A162" s="13">
        <v>45678</v>
      </c>
      <c r="B162" s="7">
        <v>1800.7</v>
      </c>
      <c r="C162" s="49">
        <f t="shared" si="0"/>
        <v>-6.9729114845200699E-3</v>
      </c>
      <c r="D162" s="8">
        <v>589.29999999999995</v>
      </c>
      <c r="E162" s="49">
        <f t="shared" si="1"/>
        <v>-1.4237214494566518E-2</v>
      </c>
      <c r="F162" s="7">
        <v>2563.5500000000002</v>
      </c>
      <c r="G162" s="49">
        <f t="shared" si="2"/>
        <v>-5.3597983782836617E-2</v>
      </c>
      <c r="H162" s="7">
        <v>1280.4000000000001</v>
      </c>
      <c r="I162" s="23">
        <f t="shared" si="3"/>
        <v>-3.744234428873984E-2</v>
      </c>
      <c r="J162" s="7">
        <v>1640.5</v>
      </c>
      <c r="K162" s="23">
        <f t="shared" si="4"/>
        <v>-2.0573257369175112E-2</v>
      </c>
      <c r="L162" s="7">
        <v>10797</v>
      </c>
      <c r="M162" s="9">
        <f t="shared" si="5"/>
        <v>-5.9837288628126649E-3</v>
      </c>
      <c r="N162" s="7">
        <v>15144.35</v>
      </c>
      <c r="O162" s="23">
        <f t="shared" si="6"/>
        <v>-0.14796474142870011</v>
      </c>
      <c r="P162" s="7">
        <v>5818.9</v>
      </c>
      <c r="Q162" s="23">
        <f t="shared" si="7"/>
        <v>-3.0748223784868398E-2</v>
      </c>
      <c r="R162" s="7">
        <v>1802.4</v>
      </c>
      <c r="S162" s="23">
        <f t="shared" si="8"/>
        <v>3.4457878811853969E-3</v>
      </c>
      <c r="T162" s="7">
        <v>8261.1</v>
      </c>
      <c r="U162" s="23">
        <f t="shared" si="9"/>
        <v>-4.7399436824571546E-2</v>
      </c>
      <c r="V162" s="7">
        <v>2773.55</v>
      </c>
      <c r="W162" s="23">
        <f t="shared" si="10"/>
        <v>-1.1364573449429823E-2</v>
      </c>
      <c r="X162" s="7">
        <v>2291.9</v>
      </c>
      <c r="Y162" s="23">
        <f t="shared" si="11"/>
        <v>-4.5803025981504291E-4</v>
      </c>
      <c r="Z162" s="7">
        <v>4269.45</v>
      </c>
      <c r="AA162" s="23">
        <f t="shared" si="12"/>
        <v>-4.0800914299474196E-2</v>
      </c>
      <c r="AB162" s="10">
        <v>666.4</v>
      </c>
      <c r="AC162" s="23">
        <f t="shared" si="13"/>
        <v>1.3521375319704949E-2</v>
      </c>
      <c r="AD162" s="11">
        <v>12873.55</v>
      </c>
      <c r="AE162" s="23">
        <f t="shared" si="14"/>
        <v>-2.5562415854346225E-3</v>
      </c>
    </row>
    <row r="163" spans="1:31" ht="13.8">
      <c r="A163" s="13">
        <v>45679</v>
      </c>
      <c r="B163" s="7">
        <v>1856.45</v>
      </c>
      <c r="C163" s="49">
        <f t="shared" si="0"/>
        <v>3.0490583679314665E-2</v>
      </c>
      <c r="D163" s="8">
        <v>590.25</v>
      </c>
      <c r="E163" s="49">
        <f t="shared" si="1"/>
        <v>1.6107841217547088E-3</v>
      </c>
      <c r="F163" s="7">
        <v>2516.4</v>
      </c>
      <c r="G163" s="49">
        <f t="shared" si="2"/>
        <v>-1.8563707921245946E-2</v>
      </c>
      <c r="H163" s="7">
        <v>1217.0999999999999</v>
      </c>
      <c r="I163" s="23">
        <f t="shared" si="3"/>
        <v>-5.0701549215196852E-2</v>
      </c>
      <c r="J163" s="7">
        <v>1683.95</v>
      </c>
      <c r="K163" s="23">
        <f t="shared" si="4"/>
        <v>2.6141150748921566E-2</v>
      </c>
      <c r="L163" s="7">
        <v>11286.4</v>
      </c>
      <c r="M163" s="9">
        <f t="shared" si="5"/>
        <v>4.4330143294592443E-2</v>
      </c>
      <c r="N163" s="7">
        <v>14714.5</v>
      </c>
      <c r="O163" s="23">
        <f t="shared" si="6"/>
        <v>-2.8794122928164263E-2</v>
      </c>
      <c r="P163" s="7">
        <v>5812.5</v>
      </c>
      <c r="Q163" s="23">
        <f t="shared" si="7"/>
        <v>-1.1004695300451946E-3</v>
      </c>
      <c r="R163" s="7">
        <v>1827.7</v>
      </c>
      <c r="S163" s="23">
        <f t="shared" si="8"/>
        <v>1.3939235642361724E-2</v>
      </c>
      <c r="T163" s="7">
        <v>8228.2000000000007</v>
      </c>
      <c r="U163" s="23">
        <f t="shared" si="9"/>
        <v>-3.9904718402745702E-3</v>
      </c>
      <c r="V163" s="7">
        <v>2808.95</v>
      </c>
      <c r="W163" s="23">
        <f t="shared" si="10"/>
        <v>1.2682659921477032E-2</v>
      </c>
      <c r="X163" s="7">
        <v>2273.25</v>
      </c>
      <c r="Y163" s="23">
        <f t="shared" si="11"/>
        <v>-8.1706422593390941E-3</v>
      </c>
      <c r="Z163" s="7">
        <v>4234.3500000000004</v>
      </c>
      <c r="AA163" s="23">
        <f t="shared" si="12"/>
        <v>-8.2551798802083711E-3</v>
      </c>
      <c r="AB163" s="10">
        <v>665.35</v>
      </c>
      <c r="AC163" s="23">
        <f t="shared" si="13"/>
        <v>-1.5768728628813447E-3</v>
      </c>
      <c r="AD163" s="11">
        <v>12110.3</v>
      </c>
      <c r="AE163" s="23">
        <f t="shared" si="14"/>
        <v>-6.1118488675211517E-2</v>
      </c>
    </row>
    <row r="164" spans="1:31" ht="13.8">
      <c r="A164" s="13">
        <v>45680</v>
      </c>
      <c r="B164" s="7">
        <v>1865.45</v>
      </c>
      <c r="C164" s="49">
        <f t="shared" si="0"/>
        <v>4.8362489814189032E-3</v>
      </c>
      <c r="D164" s="8">
        <v>599.6</v>
      </c>
      <c r="E164" s="49">
        <f t="shared" si="1"/>
        <v>1.5716590262820334E-2</v>
      </c>
      <c r="F164" s="7">
        <v>2635.05</v>
      </c>
      <c r="G164" s="49">
        <f t="shared" si="2"/>
        <v>4.607284843162722E-2</v>
      </c>
      <c r="H164" s="7">
        <v>1290.7</v>
      </c>
      <c r="I164" s="23">
        <f t="shared" si="3"/>
        <v>5.8713726960630881E-2</v>
      </c>
      <c r="J164" s="7">
        <v>1713.4</v>
      </c>
      <c r="K164" s="23">
        <f t="shared" si="4"/>
        <v>1.7337476379865727E-2</v>
      </c>
      <c r="L164" s="7">
        <v>11198.3</v>
      </c>
      <c r="M164" s="9">
        <f t="shared" si="5"/>
        <v>-7.836479993449972E-3</v>
      </c>
      <c r="N164" s="7">
        <v>15463.6</v>
      </c>
      <c r="O164" s="23">
        <f t="shared" si="6"/>
        <v>4.9655472867695907E-2</v>
      </c>
      <c r="P164" s="7">
        <v>5850.95</v>
      </c>
      <c r="Q164" s="23">
        <f t="shared" si="7"/>
        <v>6.5932703083413256E-3</v>
      </c>
      <c r="R164" s="7">
        <v>1807</v>
      </c>
      <c r="S164" s="23">
        <f t="shared" si="8"/>
        <v>-1.1390334168168001E-2</v>
      </c>
      <c r="T164" s="7">
        <v>9196.4500000000007</v>
      </c>
      <c r="U164" s="23">
        <f t="shared" si="9"/>
        <v>0.11125026128410648</v>
      </c>
      <c r="V164" s="7">
        <v>2918.95</v>
      </c>
      <c r="W164" s="23">
        <f t="shared" si="10"/>
        <v>3.8413214536566619E-2</v>
      </c>
      <c r="X164" s="7">
        <v>2300.1</v>
      </c>
      <c r="Y164" s="23">
        <f t="shared" si="11"/>
        <v>1.1742074626936062E-2</v>
      </c>
      <c r="Z164" s="7">
        <v>4332.45</v>
      </c>
      <c r="AA164" s="23">
        <f t="shared" si="12"/>
        <v>2.290336841657024E-2</v>
      </c>
      <c r="AB164" s="10">
        <v>667.9</v>
      </c>
      <c r="AC164" s="23">
        <f t="shared" si="13"/>
        <v>3.8252437418387626E-3</v>
      </c>
      <c r="AD164" s="11">
        <v>11821.15</v>
      </c>
      <c r="AE164" s="23">
        <f t="shared" si="14"/>
        <v>-2.4166030203585313E-2</v>
      </c>
    </row>
    <row r="165" spans="1:31" ht="13.8">
      <c r="A165" s="13">
        <v>45681</v>
      </c>
      <c r="B165" s="7">
        <v>1875.45</v>
      </c>
      <c r="C165" s="49">
        <f t="shared" si="0"/>
        <v>5.3463197729251124E-3</v>
      </c>
      <c r="D165" s="8">
        <v>582</v>
      </c>
      <c r="E165" s="49">
        <f t="shared" si="1"/>
        <v>-2.979231849700488E-2</v>
      </c>
      <c r="F165" s="7">
        <v>2506.9</v>
      </c>
      <c r="G165" s="49">
        <f t="shared" si="2"/>
        <v>-4.9855227077492556E-2</v>
      </c>
      <c r="H165" s="7">
        <v>1241.2</v>
      </c>
      <c r="I165" s="23">
        <f t="shared" si="3"/>
        <v>-3.9106053266916872E-2</v>
      </c>
      <c r="J165" s="7">
        <v>1723.05</v>
      </c>
      <c r="K165" s="23">
        <f t="shared" si="4"/>
        <v>5.6162757295792074E-3</v>
      </c>
      <c r="L165" s="7">
        <v>11290.1</v>
      </c>
      <c r="M165" s="9">
        <f t="shared" si="5"/>
        <v>8.1642544521239816E-3</v>
      </c>
      <c r="N165" s="7">
        <v>15584.9</v>
      </c>
      <c r="O165" s="23">
        <f t="shared" si="6"/>
        <v>7.8136217298907934E-3</v>
      </c>
      <c r="P165" s="7">
        <v>5762.6</v>
      </c>
      <c r="Q165" s="23">
        <f t="shared" si="7"/>
        <v>-1.5215279470444992E-2</v>
      </c>
      <c r="R165" s="7">
        <v>1792.85</v>
      </c>
      <c r="S165" s="23">
        <f t="shared" si="8"/>
        <v>-7.8614791592932914E-3</v>
      </c>
      <c r="T165" s="7">
        <v>9234.6</v>
      </c>
      <c r="U165" s="23">
        <f t="shared" si="9"/>
        <v>4.1397592088666477E-3</v>
      </c>
      <c r="V165" s="7">
        <v>3009.3</v>
      </c>
      <c r="W165" s="23">
        <f t="shared" si="10"/>
        <v>3.0483531003959865E-2</v>
      </c>
      <c r="X165" s="7">
        <v>2270.6999999999998</v>
      </c>
      <c r="Y165" s="23">
        <f t="shared" si="11"/>
        <v>-1.2864446249727024E-2</v>
      </c>
      <c r="Z165" s="7">
        <v>4346.3500000000004</v>
      </c>
      <c r="AA165" s="23">
        <f t="shared" si="12"/>
        <v>3.2032105556401803E-3</v>
      </c>
      <c r="AB165" s="10">
        <v>666.2</v>
      </c>
      <c r="AC165" s="23">
        <f t="shared" si="13"/>
        <v>-2.548535972010854E-3</v>
      </c>
      <c r="AD165" s="11">
        <v>11410.9</v>
      </c>
      <c r="AE165" s="23">
        <f t="shared" si="14"/>
        <v>-3.5321261029216129E-2</v>
      </c>
    </row>
    <row r="166" spans="1:31" ht="13.8">
      <c r="A166" s="13">
        <v>45684</v>
      </c>
      <c r="B166" s="7">
        <v>1822</v>
      </c>
      <c r="C166" s="49">
        <f t="shared" si="0"/>
        <v>-2.8913831789214726E-2</v>
      </c>
      <c r="D166" s="8">
        <v>544.6</v>
      </c>
      <c r="E166" s="49">
        <f t="shared" si="1"/>
        <v>-6.6418867491778597E-2</v>
      </c>
      <c r="F166" s="7">
        <v>2453.9499999999998</v>
      </c>
      <c r="G166" s="49">
        <f t="shared" si="2"/>
        <v>-2.1347958884849041E-2</v>
      </c>
      <c r="H166" s="7">
        <v>1204.55</v>
      </c>
      <c r="I166" s="23">
        <f t="shared" si="3"/>
        <v>-2.9972600380441822E-2</v>
      </c>
      <c r="J166" s="7">
        <v>1653.9</v>
      </c>
      <c r="K166" s="23">
        <f t="shared" si="4"/>
        <v>-4.0959840995775189E-2</v>
      </c>
      <c r="L166" s="7">
        <v>11193.2</v>
      </c>
      <c r="M166" s="9">
        <f t="shared" si="5"/>
        <v>-8.6197844602243102E-3</v>
      </c>
      <c r="N166" s="7">
        <v>15432.8</v>
      </c>
      <c r="O166" s="23">
        <f t="shared" si="6"/>
        <v>-9.8073821811218848E-3</v>
      </c>
      <c r="P166" s="7">
        <v>5576.75</v>
      </c>
      <c r="Q166" s="23">
        <f t="shared" si="7"/>
        <v>-3.2782592316616892E-2</v>
      </c>
      <c r="R166" s="7">
        <v>1711.95</v>
      </c>
      <c r="S166" s="23">
        <f t="shared" si="8"/>
        <v>-4.6173460765216411E-2</v>
      </c>
      <c r="T166" s="7">
        <v>8801.7000000000007</v>
      </c>
      <c r="U166" s="23">
        <f t="shared" si="9"/>
        <v>-4.8012414586688285E-2</v>
      </c>
      <c r="V166" s="7">
        <v>2937.1</v>
      </c>
      <c r="W166" s="23">
        <f t="shared" si="10"/>
        <v>-2.4284793589905984E-2</v>
      </c>
      <c r="X166" s="7">
        <v>2231.4</v>
      </c>
      <c r="Y166" s="23">
        <f t="shared" si="11"/>
        <v>-1.7458962824151984E-2</v>
      </c>
      <c r="Z166" s="7">
        <v>4345.8</v>
      </c>
      <c r="AA166" s="23">
        <f t="shared" si="12"/>
        <v>-1.2655096857145257E-4</v>
      </c>
      <c r="AB166" s="10">
        <v>656.65</v>
      </c>
      <c r="AC166" s="23">
        <f t="shared" si="13"/>
        <v>-1.4438773728410516E-2</v>
      </c>
      <c r="AD166" s="11">
        <v>10931.75</v>
      </c>
      <c r="AE166" s="23">
        <f t="shared" si="14"/>
        <v>-4.289763977848926E-2</v>
      </c>
    </row>
    <row r="167" spans="1:31" ht="13.8">
      <c r="A167" s="13">
        <v>45685</v>
      </c>
      <c r="B167" s="7">
        <v>1829.75</v>
      </c>
      <c r="C167" s="49">
        <f t="shared" si="0"/>
        <v>4.2445466614328495E-3</v>
      </c>
      <c r="D167" s="8">
        <v>516.4</v>
      </c>
      <c r="E167" s="49">
        <f t="shared" si="1"/>
        <v>-5.3169921267171912E-2</v>
      </c>
      <c r="F167" s="7">
        <v>2456.6999999999998</v>
      </c>
      <c r="G167" s="49">
        <f t="shared" si="2"/>
        <v>1.1200147790919703E-3</v>
      </c>
      <c r="H167" s="7">
        <v>1212.05</v>
      </c>
      <c r="I167" s="23">
        <f t="shared" si="3"/>
        <v>6.2070877099609139E-3</v>
      </c>
      <c r="J167" s="7">
        <v>1648.35</v>
      </c>
      <c r="K167" s="23">
        <f t="shared" si="4"/>
        <v>-3.3613477027049942E-3</v>
      </c>
      <c r="L167" s="7">
        <v>11029.3</v>
      </c>
      <c r="M167" s="9">
        <f t="shared" si="5"/>
        <v>-1.4751083088471961E-2</v>
      </c>
      <c r="N167" s="7">
        <v>14586.95</v>
      </c>
      <c r="O167" s="23">
        <f t="shared" si="6"/>
        <v>-5.636782120294534E-2</v>
      </c>
      <c r="P167" s="7">
        <v>5410.2</v>
      </c>
      <c r="Q167" s="23">
        <f t="shared" si="7"/>
        <v>-3.0320108682975265E-2</v>
      </c>
      <c r="R167" s="7">
        <v>1693.25</v>
      </c>
      <c r="S167" s="23">
        <f t="shared" si="8"/>
        <v>-1.0983312572705742E-2</v>
      </c>
      <c r="T167" s="7">
        <v>8498.7999999999993</v>
      </c>
      <c r="U167" s="23">
        <f t="shared" si="9"/>
        <v>-3.5019907585791564E-2</v>
      </c>
      <c r="V167" s="7">
        <v>2883.75</v>
      </c>
      <c r="W167" s="23">
        <f t="shared" si="10"/>
        <v>-1.8331169479679842E-2</v>
      </c>
      <c r="X167" s="7">
        <v>2335.8000000000002</v>
      </c>
      <c r="Y167" s="23">
        <f t="shared" si="11"/>
        <v>4.5725253685385811E-2</v>
      </c>
      <c r="Z167" s="7">
        <v>4366.1499999999996</v>
      </c>
      <c r="AA167" s="23">
        <f t="shared" si="12"/>
        <v>4.6717524806750878E-3</v>
      </c>
      <c r="AB167" s="10">
        <v>663.95</v>
      </c>
      <c r="AC167" s="23">
        <f t="shared" si="13"/>
        <v>1.1055693405167606E-2</v>
      </c>
      <c r="AD167" s="11">
        <v>9621.75</v>
      </c>
      <c r="AE167" s="23">
        <f t="shared" si="14"/>
        <v>-0.1276452383463906</v>
      </c>
    </row>
    <row r="168" spans="1:31" ht="13.8">
      <c r="A168" s="13">
        <v>45686</v>
      </c>
      <c r="B168" s="7">
        <v>1881.25</v>
      </c>
      <c r="C168" s="49">
        <f t="shared" si="0"/>
        <v>2.7757104015849278E-2</v>
      </c>
      <c r="D168" s="8">
        <v>534.79999999999995</v>
      </c>
      <c r="E168" s="49">
        <f t="shared" si="1"/>
        <v>3.5011186255300739E-2</v>
      </c>
      <c r="F168" s="7">
        <v>2477.4499999999998</v>
      </c>
      <c r="G168" s="49">
        <f t="shared" si="2"/>
        <v>8.4108194215265653E-3</v>
      </c>
      <c r="H168" s="7">
        <v>1229.45</v>
      </c>
      <c r="I168" s="23">
        <f t="shared" si="3"/>
        <v>1.4253773987801178E-2</v>
      </c>
      <c r="J168" s="7">
        <v>1681.15</v>
      </c>
      <c r="K168" s="23">
        <f t="shared" si="4"/>
        <v>1.9703295466224513E-2</v>
      </c>
      <c r="L168" s="7">
        <v>11426.85</v>
      </c>
      <c r="M168" s="9">
        <f t="shared" si="5"/>
        <v>3.5410481303910252E-2</v>
      </c>
      <c r="N168" s="7">
        <v>14536.15</v>
      </c>
      <c r="O168" s="23">
        <f t="shared" si="6"/>
        <v>-3.4886431404849354E-3</v>
      </c>
      <c r="P168" s="7">
        <v>5620.15</v>
      </c>
      <c r="Q168" s="23">
        <f t="shared" si="7"/>
        <v>3.807229318909764E-2</v>
      </c>
      <c r="R168" s="7">
        <v>1719</v>
      </c>
      <c r="S168" s="23">
        <f t="shared" si="8"/>
        <v>1.5092967287836165E-2</v>
      </c>
      <c r="T168" s="7">
        <v>8746.5499999999993</v>
      </c>
      <c r="U168" s="23">
        <f t="shared" si="9"/>
        <v>2.8734359844840452E-2</v>
      </c>
      <c r="V168" s="7">
        <v>3009.25</v>
      </c>
      <c r="W168" s="23">
        <f t="shared" si="10"/>
        <v>4.259934777188068E-2</v>
      </c>
      <c r="X168" s="7">
        <v>2464.75</v>
      </c>
      <c r="Y168" s="23">
        <f t="shared" si="11"/>
        <v>5.3735937610685514E-2</v>
      </c>
      <c r="Z168" s="7">
        <v>4497.3500000000004</v>
      </c>
      <c r="AA168" s="23">
        <f t="shared" si="12"/>
        <v>2.9606720496346394E-2</v>
      </c>
      <c r="AB168" s="10">
        <v>671.85</v>
      </c>
      <c r="AC168" s="23">
        <f t="shared" si="13"/>
        <v>1.1828255885082292E-2</v>
      </c>
      <c r="AD168" s="11">
        <v>10231.25</v>
      </c>
      <c r="AE168" s="23">
        <f t="shared" si="14"/>
        <v>6.1420601321885683E-2</v>
      </c>
    </row>
    <row r="169" spans="1:31" ht="13.8">
      <c r="A169" s="13">
        <v>45687</v>
      </c>
      <c r="B169" s="7">
        <v>1859.95</v>
      </c>
      <c r="C169" s="49">
        <f t="shared" si="0"/>
        <v>-1.1386843871688987E-2</v>
      </c>
      <c r="D169" s="8">
        <v>564.45000000000005</v>
      </c>
      <c r="E169" s="49">
        <f t="shared" si="1"/>
        <v>5.395896047976808E-2</v>
      </c>
      <c r="F169" s="7">
        <v>2485.4</v>
      </c>
      <c r="G169" s="49">
        <f t="shared" si="2"/>
        <v>3.2038070061155104E-3</v>
      </c>
      <c r="H169" s="7">
        <v>1267.3499999999999</v>
      </c>
      <c r="I169" s="23">
        <f t="shared" si="3"/>
        <v>3.0361191375418001E-2</v>
      </c>
      <c r="J169" s="7">
        <v>1670.1</v>
      </c>
      <c r="K169" s="23">
        <f t="shared" si="4"/>
        <v>-6.5945781696954663E-3</v>
      </c>
      <c r="L169" s="7">
        <v>11206.05</v>
      </c>
      <c r="M169" s="9">
        <f t="shared" si="5"/>
        <v>-1.9512038244932126E-2</v>
      </c>
      <c r="N169" s="7">
        <v>14659.85</v>
      </c>
      <c r="O169" s="23">
        <f t="shared" si="6"/>
        <v>8.4738142344451522E-3</v>
      </c>
      <c r="P169" s="7">
        <v>5735.9</v>
      </c>
      <c r="Q169" s="23">
        <f t="shared" si="7"/>
        <v>2.0386315452729582E-2</v>
      </c>
      <c r="R169" s="7">
        <v>1713.1</v>
      </c>
      <c r="S169" s="23">
        <f t="shared" si="8"/>
        <v>-3.4381316464364327E-3</v>
      </c>
      <c r="T169" s="7">
        <v>8327.35</v>
      </c>
      <c r="U169" s="23">
        <f t="shared" si="9"/>
        <v>-4.9114058589544402E-2</v>
      </c>
      <c r="V169" s="7">
        <v>2867.6</v>
      </c>
      <c r="W169" s="23">
        <f t="shared" si="10"/>
        <v>-4.8215435281127074E-2</v>
      </c>
      <c r="X169" s="7">
        <v>2455.25</v>
      </c>
      <c r="Y169" s="23">
        <f t="shared" si="11"/>
        <v>-3.8617934172670604E-3</v>
      </c>
      <c r="Z169" s="7">
        <v>4494.8</v>
      </c>
      <c r="AA169" s="23">
        <f t="shared" si="12"/>
        <v>-5.6716137260959623E-4</v>
      </c>
      <c r="AB169" s="10">
        <v>672.15</v>
      </c>
      <c r="AC169" s="23">
        <f t="shared" si="13"/>
        <v>4.4642857884294435E-4</v>
      </c>
      <c r="AD169" s="11">
        <v>12277.5</v>
      </c>
      <c r="AE169" s="23">
        <f t="shared" si="14"/>
        <v>0.18232155679395459</v>
      </c>
    </row>
    <row r="170" spans="1:31" ht="13.8">
      <c r="A170" s="13">
        <v>45688</v>
      </c>
      <c r="B170" s="7">
        <v>1879.8</v>
      </c>
      <c r="C170" s="49">
        <f t="shared" si="0"/>
        <v>1.0615782560704085E-2</v>
      </c>
      <c r="D170" s="8">
        <v>556.35</v>
      </c>
      <c r="E170" s="49">
        <f t="shared" si="1"/>
        <v>-1.4454213103846496E-2</v>
      </c>
      <c r="F170" s="7">
        <v>2435.4</v>
      </c>
      <c r="G170" s="49">
        <f t="shared" si="2"/>
        <v>-2.0322598298987186E-2</v>
      </c>
      <c r="H170" s="7">
        <v>1305</v>
      </c>
      <c r="I170" s="23">
        <f t="shared" si="3"/>
        <v>2.9274934489830397E-2</v>
      </c>
      <c r="J170" s="7">
        <v>1674.45</v>
      </c>
      <c r="K170" s="23">
        <f t="shared" si="4"/>
        <v>2.6012482712791814E-3</v>
      </c>
      <c r="L170" s="7">
        <v>11559.7</v>
      </c>
      <c r="M170" s="9">
        <f t="shared" si="5"/>
        <v>3.1071100321838952E-2</v>
      </c>
      <c r="N170" s="7">
        <v>14985.95</v>
      </c>
      <c r="O170" s="23">
        <f t="shared" si="6"/>
        <v>2.2000631006644886E-2</v>
      </c>
      <c r="P170" s="7">
        <v>5577.7</v>
      </c>
      <c r="Q170" s="23">
        <f t="shared" si="7"/>
        <v>-2.7968164352471275E-2</v>
      </c>
      <c r="R170" s="7">
        <v>1725.45</v>
      </c>
      <c r="S170" s="23">
        <f t="shared" si="8"/>
        <v>7.183291273716249E-3</v>
      </c>
      <c r="T170" s="7">
        <v>8263.85</v>
      </c>
      <c r="U170" s="23">
        <f t="shared" si="9"/>
        <v>-7.6546976784937128E-3</v>
      </c>
      <c r="V170" s="7">
        <v>2867.95</v>
      </c>
      <c r="W170" s="23">
        <f t="shared" si="10"/>
        <v>1.220458370808866E-4</v>
      </c>
      <c r="X170" s="7">
        <v>2457.9</v>
      </c>
      <c r="Y170" s="23">
        <f t="shared" si="11"/>
        <v>1.0787377779950846E-3</v>
      </c>
      <c r="Z170" s="7">
        <v>4517.3999999999996</v>
      </c>
      <c r="AA170" s="23">
        <f t="shared" si="12"/>
        <v>5.0154340503842888E-3</v>
      </c>
      <c r="AB170" s="10">
        <v>670.65</v>
      </c>
      <c r="AC170" s="23">
        <f t="shared" si="13"/>
        <v>-2.2341385521623602E-3</v>
      </c>
      <c r="AD170" s="11">
        <v>12863.55</v>
      </c>
      <c r="AE170" s="23">
        <f t="shared" si="14"/>
        <v>4.6629411550202803E-2</v>
      </c>
    </row>
    <row r="171" spans="1:31" ht="13.8">
      <c r="A171" s="12">
        <v>45689</v>
      </c>
      <c r="B171" s="7">
        <v>1851.35</v>
      </c>
      <c r="C171" s="49">
        <f t="shared" si="0"/>
        <v>-1.525028550738259E-2</v>
      </c>
      <c r="D171" s="8">
        <v>565.1</v>
      </c>
      <c r="E171" s="49">
        <f t="shared" si="1"/>
        <v>1.5605114032088049E-2</v>
      </c>
      <c r="F171" s="7">
        <v>2481.6</v>
      </c>
      <c r="G171" s="49">
        <f t="shared" si="2"/>
        <v>1.879249934936732E-2</v>
      </c>
      <c r="H171" s="7">
        <v>1253.3499999999999</v>
      </c>
      <c r="I171" s="23">
        <f t="shared" si="3"/>
        <v>-4.0383074257038881E-2</v>
      </c>
      <c r="J171" s="7">
        <v>1646.4</v>
      </c>
      <c r="K171" s="23">
        <f t="shared" si="4"/>
        <v>-1.6893667049065683E-2</v>
      </c>
      <c r="L171" s="7">
        <v>11754</v>
      </c>
      <c r="M171" s="9">
        <f t="shared" si="5"/>
        <v>1.6668696840068057E-2</v>
      </c>
      <c r="N171" s="7">
        <v>14714.35</v>
      </c>
      <c r="O171" s="23">
        <f t="shared" si="6"/>
        <v>-1.8289887392384685E-2</v>
      </c>
      <c r="P171" s="7">
        <v>5618.55</v>
      </c>
      <c r="Q171" s="23">
        <f t="shared" si="7"/>
        <v>7.2971184574646773E-3</v>
      </c>
      <c r="R171" s="7">
        <v>1694</v>
      </c>
      <c r="S171" s="23">
        <f t="shared" si="8"/>
        <v>-1.8395289798129266E-2</v>
      </c>
      <c r="T171" s="7">
        <v>8076.35</v>
      </c>
      <c r="U171" s="23">
        <f t="shared" si="9"/>
        <v>-2.2950542838353842E-2</v>
      </c>
      <c r="V171" s="7">
        <v>2798.5</v>
      </c>
      <c r="W171" s="23">
        <f t="shared" si="10"/>
        <v>-2.4513929484383631E-2</v>
      </c>
      <c r="X171" s="7">
        <v>2555.1</v>
      </c>
      <c r="Y171" s="23">
        <f t="shared" si="11"/>
        <v>3.8784034999266172E-2</v>
      </c>
      <c r="Z171" s="7">
        <v>4984.6000000000004</v>
      </c>
      <c r="AA171" s="23">
        <f t="shared" si="12"/>
        <v>9.8416552370181792E-2</v>
      </c>
      <c r="AB171" s="10">
        <v>694.2</v>
      </c>
      <c r="AC171" s="23">
        <f t="shared" si="13"/>
        <v>3.4512712079586672E-2</v>
      </c>
      <c r="AD171" s="11">
        <v>12206.3</v>
      </c>
      <c r="AE171" s="23">
        <f t="shared" si="14"/>
        <v>-5.2445518584842414E-2</v>
      </c>
    </row>
    <row r="172" spans="1:31" ht="13.8">
      <c r="A172" s="12">
        <v>45691</v>
      </c>
      <c r="B172" s="7">
        <v>1863.3</v>
      </c>
      <c r="C172" s="49">
        <f t="shared" si="0"/>
        <v>6.4340065545484852E-3</v>
      </c>
      <c r="D172" s="8">
        <v>556.45000000000005</v>
      </c>
      <c r="E172" s="49">
        <f t="shared" si="1"/>
        <v>-1.5425387216363436E-2</v>
      </c>
      <c r="F172" s="7">
        <v>2581.8000000000002</v>
      </c>
      <c r="G172" s="49">
        <f t="shared" si="2"/>
        <v>3.9583316650334766E-2</v>
      </c>
      <c r="H172" s="7">
        <v>1178.05</v>
      </c>
      <c r="I172" s="23">
        <f t="shared" si="3"/>
        <v>-6.195943736724719E-2</v>
      </c>
      <c r="J172" s="7">
        <v>1654.7</v>
      </c>
      <c r="K172" s="23">
        <f t="shared" si="4"/>
        <v>5.0286374180134527E-3</v>
      </c>
      <c r="L172" s="7">
        <v>12205</v>
      </c>
      <c r="M172" s="9">
        <f t="shared" si="5"/>
        <v>3.7652095654464764E-2</v>
      </c>
      <c r="N172" s="7">
        <v>14486.15</v>
      </c>
      <c r="O172" s="23">
        <f t="shared" si="6"/>
        <v>-1.5630187551945531E-2</v>
      </c>
      <c r="P172" s="7">
        <v>5884.1</v>
      </c>
      <c r="Q172" s="23">
        <f t="shared" si="7"/>
        <v>4.6180174337506409E-2</v>
      </c>
      <c r="R172" s="7">
        <v>1692</v>
      </c>
      <c r="S172" s="23">
        <f t="shared" si="8"/>
        <v>-1.1813350458310943E-3</v>
      </c>
      <c r="T172" s="7">
        <v>8344.1</v>
      </c>
      <c r="U172" s="23">
        <f t="shared" si="9"/>
        <v>3.2614664488496516E-2</v>
      </c>
      <c r="V172" s="7">
        <v>2817.75</v>
      </c>
      <c r="W172" s="23">
        <f t="shared" si="10"/>
        <v>6.8551347907738073E-3</v>
      </c>
      <c r="X172" s="7">
        <v>2653.75</v>
      </c>
      <c r="Y172" s="23">
        <f t="shared" si="11"/>
        <v>3.7882372202320908E-2</v>
      </c>
      <c r="Z172" s="7">
        <v>4830.8</v>
      </c>
      <c r="AA172" s="23">
        <f t="shared" si="12"/>
        <v>-3.1341074053093082E-2</v>
      </c>
      <c r="AB172" s="10">
        <v>673.35</v>
      </c>
      <c r="AC172" s="23">
        <f t="shared" si="13"/>
        <v>-3.0494849531635084E-2</v>
      </c>
      <c r="AD172" s="11">
        <v>11748.1</v>
      </c>
      <c r="AE172" s="23">
        <f t="shared" si="14"/>
        <v>-3.8260686509313246E-2</v>
      </c>
    </row>
    <row r="173" spans="1:31" ht="13.8">
      <c r="A173" s="12">
        <v>45692</v>
      </c>
      <c r="B173" s="7">
        <v>1898.8</v>
      </c>
      <c r="C173" s="49">
        <f t="shared" si="0"/>
        <v>1.8872998443796026E-2</v>
      </c>
      <c r="D173" s="8">
        <v>570.9</v>
      </c>
      <c r="E173" s="49">
        <f t="shared" si="1"/>
        <v>2.5636743550779263E-2</v>
      </c>
      <c r="F173" s="7">
        <v>2555.1</v>
      </c>
      <c r="G173" s="49">
        <f t="shared" si="2"/>
        <v>-1.0395468257464218E-2</v>
      </c>
      <c r="H173" s="7">
        <v>1191.45</v>
      </c>
      <c r="I173" s="23">
        <f t="shared" si="3"/>
        <v>1.1310523614743035E-2</v>
      </c>
      <c r="J173" s="7">
        <v>1659.05</v>
      </c>
      <c r="K173" s="23">
        <f t="shared" si="4"/>
        <v>2.6254258762198456E-3</v>
      </c>
      <c r="L173" s="7">
        <v>11735.85</v>
      </c>
      <c r="M173" s="9">
        <f t="shared" si="5"/>
        <v>-3.9197444272016851E-2</v>
      </c>
      <c r="N173" s="7">
        <v>14933.65</v>
      </c>
      <c r="O173" s="23">
        <f t="shared" si="6"/>
        <v>3.0424035340270189E-2</v>
      </c>
      <c r="P173" s="7">
        <v>6096.25</v>
      </c>
      <c r="Q173" s="23">
        <f t="shared" si="7"/>
        <v>3.5420030206019144E-2</v>
      </c>
      <c r="R173" s="7">
        <v>1732.55</v>
      </c>
      <c r="S173" s="23">
        <f t="shared" si="8"/>
        <v>2.3683050510307117E-2</v>
      </c>
      <c r="T173" s="7">
        <v>8459.0499999999993</v>
      </c>
      <c r="U173" s="23">
        <f t="shared" si="9"/>
        <v>1.3682171882284955E-2</v>
      </c>
      <c r="V173" s="7">
        <v>2805.45</v>
      </c>
      <c r="W173" s="23">
        <f t="shared" si="10"/>
        <v>-4.374740225069256E-3</v>
      </c>
      <c r="X173" s="7">
        <v>2644.4</v>
      </c>
      <c r="Y173" s="23">
        <f t="shared" si="11"/>
        <v>-3.5295375580427792E-3</v>
      </c>
      <c r="Z173" s="7">
        <v>4724.3500000000004</v>
      </c>
      <c r="AA173" s="23">
        <f t="shared" si="12"/>
        <v>-2.2282100074032134E-2</v>
      </c>
      <c r="AB173" s="10">
        <v>677.05</v>
      </c>
      <c r="AC173" s="23">
        <f t="shared" si="13"/>
        <v>5.479871532782136E-3</v>
      </c>
      <c r="AD173" s="11">
        <v>12029.35</v>
      </c>
      <c r="AE173" s="23">
        <f t="shared" si="14"/>
        <v>2.3657971551821432E-2</v>
      </c>
    </row>
    <row r="174" spans="1:31" ht="13.8">
      <c r="A174" s="12">
        <v>45693</v>
      </c>
      <c r="B174" s="7">
        <v>1897.05</v>
      </c>
      <c r="C174" s="49">
        <f t="shared" si="0"/>
        <v>-9.2205968306791563E-4</v>
      </c>
      <c r="D174" s="8">
        <v>582.70000000000005</v>
      </c>
      <c r="E174" s="49">
        <f t="shared" si="1"/>
        <v>2.0458411178815115E-2</v>
      </c>
      <c r="F174" s="7">
        <v>2483</v>
      </c>
      <c r="G174" s="49">
        <f t="shared" si="2"/>
        <v>-2.8623855306978259E-2</v>
      </c>
      <c r="H174" s="7">
        <v>1215.1500000000001</v>
      </c>
      <c r="I174" s="23">
        <f t="shared" si="3"/>
        <v>1.9696473197359142E-2</v>
      </c>
      <c r="J174" s="7">
        <v>1661</v>
      </c>
      <c r="K174" s="23">
        <f t="shared" si="4"/>
        <v>1.1746812392763974E-3</v>
      </c>
      <c r="L174" s="7">
        <v>11381.9</v>
      </c>
      <c r="M174" s="9">
        <f t="shared" si="5"/>
        <v>-3.0623885232713526E-2</v>
      </c>
      <c r="N174" s="7">
        <v>15102.05</v>
      </c>
      <c r="O174" s="23">
        <f t="shared" si="6"/>
        <v>1.1213440310369679E-2</v>
      </c>
      <c r="P174" s="7">
        <v>6123.5</v>
      </c>
      <c r="Q174" s="23">
        <f t="shared" si="7"/>
        <v>4.4600004370796247E-3</v>
      </c>
      <c r="R174" s="7">
        <v>1712.85</v>
      </c>
      <c r="S174" s="23">
        <f t="shared" si="8"/>
        <v>-1.1435661860709006E-2</v>
      </c>
      <c r="T174" s="7">
        <v>8502.15</v>
      </c>
      <c r="U174" s="23">
        <f t="shared" si="9"/>
        <v>5.0821985199387036E-3</v>
      </c>
      <c r="V174" s="7">
        <v>2841.9</v>
      </c>
      <c r="W174" s="23">
        <f t="shared" si="10"/>
        <v>1.2908888652479819E-2</v>
      </c>
      <c r="X174" s="7">
        <v>2617.0500000000002</v>
      </c>
      <c r="Y174" s="23">
        <f t="shared" si="11"/>
        <v>-1.0396467265402555E-2</v>
      </c>
      <c r="Z174" s="7">
        <v>4660.75</v>
      </c>
      <c r="AA174" s="23">
        <f t="shared" si="12"/>
        <v>-1.3553605951617229E-2</v>
      </c>
      <c r="AB174" s="10">
        <v>668.75</v>
      </c>
      <c r="AC174" s="23">
        <f t="shared" si="13"/>
        <v>-1.2334827218616702E-2</v>
      </c>
      <c r="AD174" s="11">
        <v>11925.35</v>
      </c>
      <c r="AE174" s="23">
        <f t="shared" si="14"/>
        <v>-8.6831104906104333E-3</v>
      </c>
    </row>
    <row r="175" spans="1:31" ht="13.8">
      <c r="A175" s="12">
        <v>45694</v>
      </c>
      <c r="B175" s="7">
        <v>1915.65</v>
      </c>
      <c r="C175" s="49">
        <f t="shared" si="0"/>
        <v>9.7569426162856538E-3</v>
      </c>
      <c r="D175" s="8">
        <v>578.9</v>
      </c>
      <c r="E175" s="49">
        <f t="shared" si="1"/>
        <v>-6.5427230640696891E-3</v>
      </c>
      <c r="F175" s="7">
        <v>2480.1</v>
      </c>
      <c r="G175" s="49">
        <f t="shared" si="2"/>
        <v>-1.1686245814270624E-3</v>
      </c>
      <c r="H175" s="7">
        <v>1212.45</v>
      </c>
      <c r="I175" s="23">
        <f t="shared" si="3"/>
        <v>-2.2244200966468801E-3</v>
      </c>
      <c r="J175" s="7">
        <v>1669.6</v>
      </c>
      <c r="K175" s="23">
        <f t="shared" si="4"/>
        <v>5.1642461496959778E-3</v>
      </c>
      <c r="L175" s="7">
        <v>11424.4</v>
      </c>
      <c r="M175" s="9">
        <f t="shared" si="5"/>
        <v>3.7270446496617217E-3</v>
      </c>
      <c r="N175" s="7">
        <v>14657.85</v>
      </c>
      <c r="O175" s="23">
        <f t="shared" si="6"/>
        <v>-2.9854468063903218E-2</v>
      </c>
      <c r="P175" s="7">
        <v>6119.7</v>
      </c>
      <c r="Q175" s="23">
        <f t="shared" si="7"/>
        <v>-6.2075276431368181E-4</v>
      </c>
      <c r="R175" s="7">
        <v>1723.5</v>
      </c>
      <c r="S175" s="23">
        <f t="shared" si="8"/>
        <v>6.1984571411533435E-3</v>
      </c>
      <c r="T175" s="7">
        <v>8521.35</v>
      </c>
      <c r="U175" s="23">
        <f t="shared" si="9"/>
        <v>2.2557063049475547E-3</v>
      </c>
      <c r="V175" s="7">
        <v>2825.65</v>
      </c>
      <c r="W175" s="23">
        <f t="shared" si="10"/>
        <v>-5.7344159397802472E-3</v>
      </c>
      <c r="X175" s="7">
        <v>2591.35</v>
      </c>
      <c r="Y175" s="23">
        <f t="shared" si="11"/>
        <v>-9.8687537752501393E-3</v>
      </c>
      <c r="Z175" s="7">
        <v>4599.45</v>
      </c>
      <c r="AA175" s="23">
        <f t="shared" si="12"/>
        <v>-1.3239648264266284E-2</v>
      </c>
      <c r="AB175" s="10">
        <v>661.55</v>
      </c>
      <c r="AC175" s="23">
        <f t="shared" si="13"/>
        <v>-1.0824731721796365E-2</v>
      </c>
      <c r="AD175" s="11">
        <v>12283.95</v>
      </c>
      <c r="AE175" s="23">
        <f t="shared" si="14"/>
        <v>2.9627145786375705E-2</v>
      </c>
    </row>
    <row r="176" spans="1:31" ht="13.8">
      <c r="A176" s="12">
        <v>45695</v>
      </c>
      <c r="B176" s="7">
        <v>1903.65</v>
      </c>
      <c r="C176" s="49">
        <f t="shared" si="0"/>
        <v>-6.2838946860977081E-3</v>
      </c>
      <c r="D176" s="8">
        <v>582.9</v>
      </c>
      <c r="E176" s="49">
        <f t="shared" si="1"/>
        <v>6.8858939665451526E-3</v>
      </c>
      <c r="F176" s="7">
        <v>2518.6</v>
      </c>
      <c r="G176" s="49">
        <f t="shared" si="2"/>
        <v>1.5404309645006406E-2</v>
      </c>
      <c r="H176" s="7">
        <v>1200.4000000000001</v>
      </c>
      <c r="I176" s="23">
        <f t="shared" si="3"/>
        <v>-9.9882712817510079E-3</v>
      </c>
      <c r="J176" s="7">
        <v>1692.1</v>
      </c>
      <c r="K176" s="23">
        <f t="shared" si="4"/>
        <v>1.3386284311589901E-2</v>
      </c>
      <c r="L176" s="7">
        <v>11271.15</v>
      </c>
      <c r="M176" s="9">
        <f t="shared" si="5"/>
        <v>-1.3505055327653349E-2</v>
      </c>
      <c r="N176" s="7">
        <v>15154.65</v>
      </c>
      <c r="O176" s="23">
        <f t="shared" si="6"/>
        <v>3.3331387423249537E-2</v>
      </c>
      <c r="P176" s="7">
        <v>6140.55</v>
      </c>
      <c r="Q176" s="23">
        <f t="shared" si="7"/>
        <v>3.4012389796517339E-3</v>
      </c>
      <c r="R176" s="7">
        <v>1725.65</v>
      </c>
      <c r="S176" s="23">
        <f t="shared" si="8"/>
        <v>1.2466841270833869E-3</v>
      </c>
      <c r="T176" s="7">
        <v>8535.85</v>
      </c>
      <c r="U176" s="23">
        <f t="shared" si="9"/>
        <v>1.70016221803701E-3</v>
      </c>
      <c r="V176" s="7">
        <v>2868.5</v>
      </c>
      <c r="W176" s="23">
        <f t="shared" si="10"/>
        <v>1.5050818432107513E-2</v>
      </c>
      <c r="X176" s="7">
        <v>2605.65</v>
      </c>
      <c r="Y176" s="23">
        <f t="shared" si="11"/>
        <v>5.5031887972716836E-3</v>
      </c>
      <c r="Z176" s="7">
        <v>5470.45</v>
      </c>
      <c r="AA176" s="23">
        <f t="shared" si="12"/>
        <v>0.17342414883140608</v>
      </c>
      <c r="AB176" s="10">
        <v>649.25</v>
      </c>
      <c r="AC176" s="23">
        <f t="shared" si="13"/>
        <v>-1.8767715945562074E-2</v>
      </c>
      <c r="AD176" s="11">
        <v>12274</v>
      </c>
      <c r="AE176" s="23">
        <f t="shared" si="14"/>
        <v>-8.1032826799121225E-4</v>
      </c>
    </row>
    <row r="177" spans="1:31" ht="13.8">
      <c r="A177" s="13">
        <v>45698</v>
      </c>
      <c r="B177" s="7">
        <v>1880.3</v>
      </c>
      <c r="C177" s="49">
        <f t="shared" si="0"/>
        <v>-1.2341757362854224E-2</v>
      </c>
      <c r="D177" s="8">
        <v>569.04999999999995</v>
      </c>
      <c r="E177" s="49">
        <f t="shared" si="1"/>
        <v>-2.4047341323605323E-2</v>
      </c>
      <c r="F177" s="7">
        <v>2502.0500000000002</v>
      </c>
      <c r="G177" s="49">
        <f t="shared" si="2"/>
        <v>-6.5927957317774366E-3</v>
      </c>
      <c r="H177" s="7">
        <v>1199.4000000000001</v>
      </c>
      <c r="I177" s="23">
        <f t="shared" si="3"/>
        <v>-8.3340283180268393E-4</v>
      </c>
      <c r="J177" s="7">
        <v>1699.05</v>
      </c>
      <c r="K177" s="23">
        <f t="shared" si="4"/>
        <v>4.0989102402513179E-3</v>
      </c>
      <c r="L177" s="7">
        <v>11523.2</v>
      </c>
      <c r="M177" s="9">
        <f t="shared" si="5"/>
        <v>2.2116030810217614E-2</v>
      </c>
      <c r="N177" s="7">
        <v>14795.2</v>
      </c>
      <c r="O177" s="23">
        <f t="shared" si="6"/>
        <v>-2.400461171362115E-2</v>
      </c>
      <c r="P177" s="7">
        <v>5938.8</v>
      </c>
      <c r="Q177" s="23">
        <f t="shared" si="7"/>
        <v>-3.340722193083942E-2</v>
      </c>
      <c r="R177" s="7">
        <v>1733.85</v>
      </c>
      <c r="S177" s="23">
        <f t="shared" si="8"/>
        <v>4.7405783243825821E-3</v>
      </c>
      <c r="T177" s="7">
        <v>8414.4500000000007</v>
      </c>
      <c r="U177" s="23">
        <f t="shared" si="9"/>
        <v>-1.4324475181878165E-2</v>
      </c>
      <c r="V177" s="7">
        <v>2786.95</v>
      </c>
      <c r="W177" s="23">
        <f t="shared" si="10"/>
        <v>-2.8841437158655836E-2</v>
      </c>
      <c r="X177" s="7">
        <v>2558.4</v>
      </c>
      <c r="Y177" s="23">
        <f t="shared" si="11"/>
        <v>-1.8300101136352255E-2</v>
      </c>
      <c r="Z177" s="7">
        <v>5580.95</v>
      </c>
      <c r="AA177" s="23">
        <f t="shared" si="12"/>
        <v>1.9998132837664225E-2</v>
      </c>
      <c r="AB177" s="10">
        <v>644.1</v>
      </c>
      <c r="AC177" s="23">
        <f t="shared" si="13"/>
        <v>-7.963856990012794E-3</v>
      </c>
      <c r="AD177" s="11">
        <v>12226.9</v>
      </c>
      <c r="AE177" s="23">
        <f t="shared" si="14"/>
        <v>-3.8447614593818229E-3</v>
      </c>
    </row>
    <row r="178" spans="1:31" ht="13.8">
      <c r="A178" s="13">
        <v>45699</v>
      </c>
      <c r="B178" s="7">
        <v>1875.65</v>
      </c>
      <c r="C178" s="49">
        <f t="shared" si="0"/>
        <v>-2.4760725652562127E-3</v>
      </c>
      <c r="D178" s="8">
        <v>552.20000000000005</v>
      </c>
      <c r="E178" s="49">
        <f t="shared" si="1"/>
        <v>-3.005800423184456E-2</v>
      </c>
      <c r="F178" s="7">
        <v>2450.3000000000002</v>
      </c>
      <c r="G178" s="49">
        <f t="shared" si="2"/>
        <v>-2.0899929817868368E-2</v>
      </c>
      <c r="H178" s="7">
        <v>1137.0999999999999</v>
      </c>
      <c r="I178" s="23">
        <f t="shared" si="3"/>
        <v>-5.3340270103732421E-2</v>
      </c>
      <c r="J178" s="7">
        <v>1669.1</v>
      </c>
      <c r="K178" s="23">
        <f t="shared" si="4"/>
        <v>-1.7784712330460459E-2</v>
      </c>
      <c r="L178" s="7">
        <v>11513.6</v>
      </c>
      <c r="M178" s="9">
        <f t="shared" si="5"/>
        <v>-8.3344913839680931E-4</v>
      </c>
      <c r="N178" s="7">
        <v>14666.3</v>
      </c>
      <c r="O178" s="23">
        <f t="shared" si="6"/>
        <v>-8.7504589035909998E-3</v>
      </c>
      <c r="P178" s="7">
        <v>5946.75</v>
      </c>
      <c r="Q178" s="23">
        <f t="shared" si="7"/>
        <v>1.3377590747773523E-3</v>
      </c>
      <c r="R178" s="7">
        <v>1723.2</v>
      </c>
      <c r="S178" s="23">
        <f t="shared" si="8"/>
        <v>-6.1613420062617422E-3</v>
      </c>
      <c r="T178" s="7">
        <v>8096.75</v>
      </c>
      <c r="U178" s="23">
        <f t="shared" si="9"/>
        <v>-3.8487719435256904E-2</v>
      </c>
      <c r="V178" s="7">
        <v>2713.6</v>
      </c>
      <c r="W178" s="23">
        <f t="shared" si="10"/>
        <v>-2.6671641285685978E-2</v>
      </c>
      <c r="X178" s="7">
        <v>2485</v>
      </c>
      <c r="Y178" s="23">
        <f t="shared" si="11"/>
        <v>-2.9109403548960706E-2</v>
      </c>
      <c r="Z178" s="7">
        <v>5125.95</v>
      </c>
      <c r="AA178" s="23">
        <f t="shared" si="12"/>
        <v>-8.5043139098234424E-2</v>
      </c>
      <c r="AB178" s="10">
        <v>634.70000000000005</v>
      </c>
      <c r="AC178" s="23">
        <f t="shared" si="13"/>
        <v>-1.4701547240420628E-2</v>
      </c>
      <c r="AD178" s="11">
        <v>11738.8</v>
      </c>
      <c r="AE178" s="23">
        <f t="shared" si="14"/>
        <v>-4.0738847982613083E-2</v>
      </c>
    </row>
    <row r="179" spans="1:31" ht="13.8">
      <c r="A179" s="13">
        <v>45700</v>
      </c>
      <c r="B179" s="7">
        <v>1863.15</v>
      </c>
      <c r="C179" s="49">
        <f t="shared" si="0"/>
        <v>-6.6866623378601586E-3</v>
      </c>
      <c r="D179" s="8">
        <v>538.1</v>
      </c>
      <c r="E179" s="49">
        <f t="shared" si="1"/>
        <v>-2.5865883000680184E-2</v>
      </c>
      <c r="F179" s="7">
        <v>2422.6</v>
      </c>
      <c r="G179" s="49">
        <f t="shared" si="2"/>
        <v>-1.1369122439398483E-2</v>
      </c>
      <c r="H179" s="7">
        <v>1136.5999999999999</v>
      </c>
      <c r="I179" s="23">
        <f t="shared" si="3"/>
        <v>-4.3981176765605842E-4</v>
      </c>
      <c r="J179" s="7">
        <v>1680.2</v>
      </c>
      <c r="K179" s="23">
        <f t="shared" si="4"/>
        <v>6.6282749463750807E-3</v>
      </c>
      <c r="L179" s="7">
        <v>11877.1</v>
      </c>
      <c r="M179" s="9">
        <f t="shared" si="5"/>
        <v>3.1083231057223912E-2</v>
      </c>
      <c r="N179" s="7">
        <v>14766</v>
      </c>
      <c r="O179" s="23">
        <f t="shared" si="6"/>
        <v>6.7748956993276613E-3</v>
      </c>
      <c r="P179" s="7">
        <v>5969.85</v>
      </c>
      <c r="Q179" s="23">
        <f t="shared" si="7"/>
        <v>3.8769496222352717E-3</v>
      </c>
      <c r="R179" s="7">
        <v>1717.3</v>
      </c>
      <c r="S179" s="23">
        <f t="shared" si="8"/>
        <v>-3.4297374123078254E-3</v>
      </c>
      <c r="T179" s="7">
        <v>8004.4</v>
      </c>
      <c r="U179" s="23">
        <f t="shared" si="9"/>
        <v>-1.1471356109093257E-2</v>
      </c>
      <c r="V179" s="7">
        <v>2666.6</v>
      </c>
      <c r="W179" s="23">
        <f t="shared" si="10"/>
        <v>-1.7471913916225879E-2</v>
      </c>
      <c r="X179" s="7">
        <v>2493.4499999999998</v>
      </c>
      <c r="Y179" s="23">
        <f t="shared" si="11"/>
        <v>3.3946341188489334E-3</v>
      </c>
      <c r="Z179" s="7">
        <v>5463</v>
      </c>
      <c r="AA179" s="23">
        <f t="shared" si="12"/>
        <v>6.3682215713577364E-2</v>
      </c>
      <c r="AB179" s="10">
        <v>632.15</v>
      </c>
      <c r="AC179" s="23">
        <f t="shared" si="13"/>
        <v>-4.0257385545178805E-3</v>
      </c>
      <c r="AD179" s="11">
        <v>11716.75</v>
      </c>
      <c r="AE179" s="23">
        <f t="shared" si="14"/>
        <v>-1.8801525861054278E-3</v>
      </c>
    </row>
    <row r="180" spans="1:31" ht="13.8">
      <c r="A180" s="13">
        <v>45701</v>
      </c>
      <c r="B180" s="7">
        <v>1843.25</v>
      </c>
      <c r="C180" s="49">
        <f t="shared" si="0"/>
        <v>-1.073828578855248E-2</v>
      </c>
      <c r="D180" s="8">
        <v>542.25</v>
      </c>
      <c r="E180" s="49">
        <f t="shared" si="1"/>
        <v>7.6827332116097937E-3</v>
      </c>
      <c r="F180" s="7">
        <v>2501.15</v>
      </c>
      <c r="G180" s="49">
        <f t="shared" si="2"/>
        <v>3.1909282506024456E-2</v>
      </c>
      <c r="H180" s="7">
        <v>1166.7</v>
      </c>
      <c r="I180" s="23">
        <f t="shared" si="3"/>
        <v>2.6137900966790206E-2</v>
      </c>
      <c r="J180" s="7">
        <v>1675.3</v>
      </c>
      <c r="K180" s="23">
        <f t="shared" si="4"/>
        <v>-2.9205802312601294E-3</v>
      </c>
      <c r="L180" s="7">
        <v>12142.65</v>
      </c>
      <c r="M180" s="9">
        <f t="shared" si="5"/>
        <v>2.2111872074724124E-2</v>
      </c>
      <c r="N180" s="7">
        <v>14710.8</v>
      </c>
      <c r="O180" s="23">
        <f t="shared" si="6"/>
        <v>-3.7453227301620529E-3</v>
      </c>
      <c r="P180" s="7">
        <v>6010.5</v>
      </c>
      <c r="Q180" s="23">
        <f t="shared" si="7"/>
        <v>6.7861383014556301E-3</v>
      </c>
      <c r="R180" s="7">
        <v>1703.1</v>
      </c>
      <c r="S180" s="23">
        <f t="shared" si="8"/>
        <v>-8.3031701450262119E-3</v>
      </c>
      <c r="T180" s="7">
        <v>7875.45</v>
      </c>
      <c r="U180" s="23">
        <f t="shared" si="9"/>
        <v>-1.6241064549022605E-2</v>
      </c>
      <c r="V180" s="7">
        <v>2601.9499999999998</v>
      </c>
      <c r="W180" s="23">
        <f t="shared" si="10"/>
        <v>-2.4543088781238741E-2</v>
      </c>
      <c r="X180" s="7">
        <v>2475.4</v>
      </c>
      <c r="Y180" s="23">
        <f t="shared" si="11"/>
        <v>-7.2652945436559643E-3</v>
      </c>
      <c r="Z180" s="7">
        <v>4999.6000000000004</v>
      </c>
      <c r="AA180" s="23">
        <f t="shared" si="12"/>
        <v>-8.8640180179650849E-2</v>
      </c>
      <c r="AB180" s="10">
        <v>634.5</v>
      </c>
      <c r="AC180" s="23">
        <f t="shared" si="13"/>
        <v>3.7105793965357746E-3</v>
      </c>
      <c r="AD180" s="11">
        <v>11755.2</v>
      </c>
      <c r="AE180" s="23">
        <f t="shared" si="14"/>
        <v>3.2762539450711301E-3</v>
      </c>
    </row>
    <row r="181" spans="1:31" ht="13.8">
      <c r="A181" s="13">
        <v>45702</v>
      </c>
      <c r="B181" s="7">
        <v>1856.4</v>
      </c>
      <c r="C181" s="49">
        <f t="shared" si="0"/>
        <v>7.1088104972608498E-3</v>
      </c>
      <c r="D181" s="8">
        <v>512.85</v>
      </c>
      <c r="E181" s="49">
        <f t="shared" si="1"/>
        <v>-5.5743744953563691E-2</v>
      </c>
      <c r="F181" s="7">
        <v>2394.35</v>
      </c>
      <c r="G181" s="49">
        <f t="shared" si="2"/>
        <v>-4.3638830826406065E-2</v>
      </c>
      <c r="H181" s="7">
        <v>1102.55</v>
      </c>
      <c r="I181" s="23">
        <f t="shared" si="3"/>
        <v>-5.6553572063234393E-2</v>
      </c>
      <c r="J181" s="7">
        <v>1659.1</v>
      </c>
      <c r="K181" s="23">
        <f t="shared" si="4"/>
        <v>-9.7169670501770257E-3</v>
      </c>
      <c r="L181" s="7">
        <v>12075.2</v>
      </c>
      <c r="M181" s="9">
        <f t="shared" si="5"/>
        <v>-5.5702859175033037E-3</v>
      </c>
      <c r="N181" s="7">
        <v>14010.7</v>
      </c>
      <c r="O181" s="23">
        <f t="shared" si="6"/>
        <v>-4.8760594494864397E-2</v>
      </c>
      <c r="P181" s="7">
        <v>5843.75</v>
      </c>
      <c r="Q181" s="23">
        <f t="shared" si="7"/>
        <v>-2.8135225707311799E-2</v>
      </c>
      <c r="R181" s="7">
        <v>1711.25</v>
      </c>
      <c r="S181" s="23">
        <f t="shared" si="8"/>
        <v>4.7739777578684204E-3</v>
      </c>
      <c r="T181" s="7">
        <v>7793.35</v>
      </c>
      <c r="U181" s="23">
        <f t="shared" si="9"/>
        <v>-1.047951998273987E-2</v>
      </c>
      <c r="V181" s="7">
        <v>2554.25</v>
      </c>
      <c r="W181" s="23">
        <f t="shared" si="10"/>
        <v>-1.8502525428586294E-2</v>
      </c>
      <c r="X181" s="7">
        <v>2401.4</v>
      </c>
      <c r="Y181" s="23">
        <f t="shared" si="11"/>
        <v>-3.0350098509304268E-2</v>
      </c>
      <c r="Z181" s="7">
        <v>5999.5</v>
      </c>
      <c r="AA181" s="23">
        <f t="shared" si="12"/>
        <v>0.18231822318837673</v>
      </c>
      <c r="AB181" s="10">
        <v>633.75</v>
      </c>
      <c r="AC181" s="23">
        <f t="shared" si="13"/>
        <v>-1.1827322490493785E-3</v>
      </c>
      <c r="AD181" s="11">
        <v>11289.35</v>
      </c>
      <c r="AE181" s="23">
        <f t="shared" si="14"/>
        <v>-4.0435892453214661E-2</v>
      </c>
    </row>
    <row r="182" spans="1:31" ht="13.8">
      <c r="A182" s="13">
        <v>45705</v>
      </c>
      <c r="B182" s="7">
        <v>1842.3</v>
      </c>
      <c r="C182" s="49">
        <f t="shared" si="0"/>
        <v>-7.6243373635576043E-3</v>
      </c>
      <c r="D182" s="8">
        <v>522.25</v>
      </c>
      <c r="E182" s="49">
        <f t="shared" si="1"/>
        <v>1.8162995683255089E-2</v>
      </c>
      <c r="F182" s="7">
        <v>2345.9</v>
      </c>
      <c r="G182" s="49">
        <f t="shared" si="2"/>
        <v>-2.0442671703352934E-2</v>
      </c>
      <c r="H182" s="7">
        <v>1071.9000000000001</v>
      </c>
      <c r="I182" s="23">
        <f t="shared" si="3"/>
        <v>-2.8192904069103065E-2</v>
      </c>
      <c r="J182" s="7">
        <v>1664.95</v>
      </c>
      <c r="K182" s="23">
        <f t="shared" si="4"/>
        <v>3.5198062842941905E-3</v>
      </c>
      <c r="L182" s="7">
        <v>12013.65</v>
      </c>
      <c r="M182" s="9">
        <f t="shared" si="5"/>
        <v>-5.1102592234037797E-3</v>
      </c>
      <c r="N182" s="7">
        <v>14199.5</v>
      </c>
      <c r="O182" s="23">
        <f t="shared" si="6"/>
        <v>1.3385429307730769E-2</v>
      </c>
      <c r="P182" s="7">
        <v>5923.75</v>
      </c>
      <c r="Q182" s="23">
        <f t="shared" si="7"/>
        <v>1.3596980244800909E-2</v>
      </c>
      <c r="R182" s="7">
        <v>1709.9</v>
      </c>
      <c r="S182" s="23">
        <f t="shared" si="8"/>
        <v>-7.892083481113451E-4</v>
      </c>
      <c r="T182" s="7">
        <v>7683.95</v>
      </c>
      <c r="U182" s="23">
        <f t="shared" si="9"/>
        <v>-1.4137068095959214E-2</v>
      </c>
      <c r="V182" s="7">
        <v>2591.35</v>
      </c>
      <c r="W182" s="23">
        <f t="shared" si="10"/>
        <v>1.4420336947237268E-2</v>
      </c>
      <c r="X182" s="7">
        <v>2365.6999999999998</v>
      </c>
      <c r="Y182" s="23">
        <f t="shared" si="11"/>
        <v>-1.4977939378256044E-2</v>
      </c>
      <c r="Z182" s="7">
        <v>7038</v>
      </c>
      <c r="AA182" s="23">
        <f t="shared" si="12"/>
        <v>0.15964790647708696</v>
      </c>
      <c r="AB182" s="10">
        <v>624.75</v>
      </c>
      <c r="AC182" s="23">
        <f t="shared" si="13"/>
        <v>-1.430298519033114E-2</v>
      </c>
      <c r="AD182" s="11">
        <v>10865.35</v>
      </c>
      <c r="AE182" s="23">
        <f t="shared" si="14"/>
        <v>-3.8280976711430451E-2</v>
      </c>
    </row>
    <row r="183" spans="1:31" ht="13.8">
      <c r="A183" s="13">
        <v>45706</v>
      </c>
      <c r="B183" s="7">
        <v>1851.95</v>
      </c>
      <c r="C183" s="49">
        <f t="shared" si="0"/>
        <v>5.2243469980404302E-3</v>
      </c>
      <c r="D183" s="8">
        <v>518.75</v>
      </c>
      <c r="E183" s="49">
        <f t="shared" si="1"/>
        <v>-6.7243288917671062E-3</v>
      </c>
      <c r="F183" s="7">
        <v>2385</v>
      </c>
      <c r="G183" s="49">
        <f t="shared" si="2"/>
        <v>1.6530000763474304E-2</v>
      </c>
      <c r="H183" s="7">
        <v>1009.85</v>
      </c>
      <c r="I183" s="23">
        <f t="shared" si="3"/>
        <v>-5.9630969743076426E-2</v>
      </c>
      <c r="J183" s="7">
        <v>1705</v>
      </c>
      <c r="K183" s="23">
        <f t="shared" si="4"/>
        <v>2.377001778401339E-2</v>
      </c>
      <c r="L183" s="7">
        <v>11994.15</v>
      </c>
      <c r="M183" s="9">
        <f t="shared" si="5"/>
        <v>-1.6244724038212588E-3</v>
      </c>
      <c r="N183" s="7">
        <v>14006.7</v>
      </c>
      <c r="O183" s="23">
        <f t="shared" si="6"/>
        <v>-1.3670966154631443E-2</v>
      </c>
      <c r="P183" s="7">
        <v>5839.7</v>
      </c>
      <c r="Q183" s="23">
        <f t="shared" si="7"/>
        <v>-1.4290268642015611E-2</v>
      </c>
      <c r="R183" s="7">
        <v>1725.5</v>
      </c>
      <c r="S183" s="23">
        <f t="shared" si="8"/>
        <v>9.0819742835108151E-3</v>
      </c>
      <c r="T183" s="7">
        <v>7692.25</v>
      </c>
      <c r="U183" s="23">
        <f t="shared" si="9"/>
        <v>1.0795906408799861E-3</v>
      </c>
      <c r="V183" s="7">
        <v>2578.9499999999998</v>
      </c>
      <c r="W183" s="23">
        <f t="shared" si="10"/>
        <v>-4.7966360848045947E-3</v>
      </c>
      <c r="X183" s="7">
        <v>2353.65</v>
      </c>
      <c r="Y183" s="23">
        <f t="shared" si="11"/>
        <v>-5.1066465451746236E-3</v>
      </c>
      <c r="Z183" s="7">
        <v>6842.8</v>
      </c>
      <c r="AA183" s="23">
        <f t="shared" si="12"/>
        <v>-2.8127034303393614E-2</v>
      </c>
      <c r="AB183" s="10">
        <v>626.15</v>
      </c>
      <c r="AC183" s="23">
        <f t="shared" si="13"/>
        <v>2.2383892949797007E-3</v>
      </c>
      <c r="AD183" s="11">
        <v>10494.1</v>
      </c>
      <c r="AE183" s="23">
        <f t="shared" si="14"/>
        <v>-3.4765632245301624E-2</v>
      </c>
    </row>
    <row r="184" spans="1:31" ht="13.8">
      <c r="A184" s="13">
        <v>45707</v>
      </c>
      <c r="B184" s="7">
        <v>1810.8</v>
      </c>
      <c r="C184" s="49">
        <f t="shared" si="0"/>
        <v>-2.2470401439700208E-2</v>
      </c>
      <c r="D184" s="8">
        <v>531.45000000000005</v>
      </c>
      <c r="E184" s="49">
        <f t="shared" si="1"/>
        <v>2.418704843468272E-2</v>
      </c>
      <c r="F184" s="7">
        <v>2364.5500000000002</v>
      </c>
      <c r="G184" s="49">
        <f t="shared" si="2"/>
        <v>-8.6113953424000102E-3</v>
      </c>
      <c r="H184" s="7">
        <v>1048.3</v>
      </c>
      <c r="I184" s="23">
        <f t="shared" si="3"/>
        <v>3.7367999504129563E-2</v>
      </c>
      <c r="J184" s="7">
        <v>1685.8</v>
      </c>
      <c r="K184" s="23">
        <f t="shared" si="4"/>
        <v>-1.1324882154235348E-2</v>
      </c>
      <c r="L184" s="7">
        <v>11732.1</v>
      </c>
      <c r="M184" s="9">
        <f t="shared" si="5"/>
        <v>-2.2090356146489368E-2</v>
      </c>
      <c r="N184" s="7">
        <v>14088.3</v>
      </c>
      <c r="O184" s="23">
        <f t="shared" si="6"/>
        <v>5.8088791210386924E-3</v>
      </c>
      <c r="P184" s="7">
        <v>5934.9</v>
      </c>
      <c r="Q184" s="23">
        <f t="shared" si="7"/>
        <v>1.6170753062373547E-2</v>
      </c>
      <c r="R184" s="7">
        <v>1712.3</v>
      </c>
      <c r="S184" s="23">
        <f t="shared" si="8"/>
        <v>-7.6793675431326286E-3</v>
      </c>
      <c r="T184" s="7">
        <v>7774.65</v>
      </c>
      <c r="U184" s="23">
        <f t="shared" si="9"/>
        <v>1.0655112476443806E-2</v>
      </c>
      <c r="V184" s="7">
        <v>2611.25</v>
      </c>
      <c r="W184" s="23">
        <f t="shared" si="10"/>
        <v>1.2446694536809829E-2</v>
      </c>
      <c r="X184" s="7">
        <v>2381.9</v>
      </c>
      <c r="Y184" s="23">
        <f t="shared" si="11"/>
        <v>1.1931173832681738E-2</v>
      </c>
      <c r="Z184" s="7">
        <v>6559.25</v>
      </c>
      <c r="AA184" s="23">
        <f t="shared" si="12"/>
        <v>-4.2320737444383749E-2</v>
      </c>
      <c r="AB184" s="10">
        <v>634.95000000000005</v>
      </c>
      <c r="AC184" s="23">
        <f t="shared" si="13"/>
        <v>1.3956296625001075E-2</v>
      </c>
      <c r="AD184" s="11">
        <v>10602.95</v>
      </c>
      <c r="AE184" s="23">
        <f t="shared" si="14"/>
        <v>1.0319069812098071E-2</v>
      </c>
    </row>
    <row r="185" spans="1:31" ht="13.8">
      <c r="A185" s="13">
        <v>45708</v>
      </c>
      <c r="B185" s="7">
        <v>1825.15</v>
      </c>
      <c r="C185" s="49">
        <f t="shared" si="0"/>
        <v>7.8934388580509107E-3</v>
      </c>
      <c r="D185" s="8">
        <v>527.04999999999995</v>
      </c>
      <c r="E185" s="49">
        <f t="shared" si="1"/>
        <v>-8.3136992783926205E-3</v>
      </c>
      <c r="F185" s="7">
        <v>2348.4499999999998</v>
      </c>
      <c r="G185" s="49">
        <f t="shared" si="2"/>
        <v>-6.8321929248556261E-3</v>
      </c>
      <c r="H185" s="7">
        <v>1033.4000000000001</v>
      </c>
      <c r="I185" s="23">
        <f t="shared" si="3"/>
        <v>-1.4315467605442609E-2</v>
      </c>
      <c r="J185" s="7">
        <v>1657.85</v>
      </c>
      <c r="K185" s="23">
        <f t="shared" si="4"/>
        <v>-1.6718646407160045E-2</v>
      </c>
      <c r="L185" s="7">
        <v>12454.3</v>
      </c>
      <c r="M185" s="9">
        <f t="shared" si="5"/>
        <v>5.9737270031598719E-2</v>
      </c>
      <c r="N185" s="7">
        <v>14219.75</v>
      </c>
      <c r="O185" s="23">
        <f t="shared" si="6"/>
        <v>9.2871776624529456E-3</v>
      </c>
      <c r="P185" s="7">
        <v>5978.3</v>
      </c>
      <c r="Q185" s="23">
        <f t="shared" si="7"/>
        <v>7.2860678905814396E-3</v>
      </c>
      <c r="R185" s="7">
        <v>1687.55</v>
      </c>
      <c r="S185" s="23">
        <f t="shared" si="8"/>
        <v>-1.4559723057559796E-2</v>
      </c>
      <c r="T185" s="7">
        <v>7793.35</v>
      </c>
      <c r="U185" s="23">
        <f t="shared" si="9"/>
        <v>2.4023649786353829E-3</v>
      </c>
      <c r="V185" s="7">
        <v>2637.25</v>
      </c>
      <c r="W185" s="23">
        <f t="shared" si="10"/>
        <v>9.907673691142543E-3</v>
      </c>
      <c r="X185" s="7">
        <v>2419.25</v>
      </c>
      <c r="Y185" s="23">
        <f t="shared" si="11"/>
        <v>1.5559086255183069E-2</v>
      </c>
      <c r="Z185" s="7">
        <v>5966.6</v>
      </c>
      <c r="AA185" s="23">
        <f t="shared" si="12"/>
        <v>-9.4699016219794319E-2</v>
      </c>
      <c r="AB185" s="10">
        <v>641.6</v>
      </c>
      <c r="AC185" s="23">
        <f t="shared" si="13"/>
        <v>1.0418800917262321E-2</v>
      </c>
      <c r="AD185" s="11">
        <v>11297.65</v>
      </c>
      <c r="AE185" s="23">
        <f t="shared" si="14"/>
        <v>6.3462475202861093E-2</v>
      </c>
    </row>
    <row r="186" spans="1:31" ht="13.8">
      <c r="A186" s="13">
        <v>45709</v>
      </c>
      <c r="B186" s="7">
        <v>1815</v>
      </c>
      <c r="C186" s="49">
        <f t="shared" si="0"/>
        <v>-5.5767077209033294E-3</v>
      </c>
      <c r="D186" s="8">
        <v>508.55</v>
      </c>
      <c r="E186" s="49">
        <f t="shared" si="1"/>
        <v>-3.5731881629592836E-2</v>
      </c>
      <c r="F186" s="7">
        <v>2327.75</v>
      </c>
      <c r="G186" s="49">
        <f t="shared" si="2"/>
        <v>-8.8534002865466987E-3</v>
      </c>
      <c r="H186" s="7">
        <v>1009.6</v>
      </c>
      <c r="I186" s="23">
        <f t="shared" si="3"/>
        <v>-2.3300124066135575E-2</v>
      </c>
      <c r="J186" s="7">
        <v>1649.5</v>
      </c>
      <c r="K186" s="23">
        <f t="shared" si="4"/>
        <v>-5.0493704875856195E-3</v>
      </c>
      <c r="L186" s="7">
        <v>12207.85</v>
      </c>
      <c r="M186" s="9">
        <f t="shared" si="5"/>
        <v>-1.9986757364638012E-2</v>
      </c>
      <c r="N186" s="7">
        <v>13971.9</v>
      </c>
      <c r="O186" s="23">
        <f t="shared" si="6"/>
        <v>-1.7583673601051168E-2</v>
      </c>
      <c r="P186" s="7">
        <v>5757.05</v>
      </c>
      <c r="Q186" s="23">
        <f t="shared" si="7"/>
        <v>-3.7711055875608669E-2</v>
      </c>
      <c r="R186" s="7">
        <v>1700.7</v>
      </c>
      <c r="S186" s="23">
        <f t="shared" si="8"/>
        <v>7.762158061002028E-3</v>
      </c>
      <c r="T186" s="7">
        <v>7496.2</v>
      </c>
      <c r="U186" s="23">
        <f t="shared" si="9"/>
        <v>-3.8874580476838456E-2</v>
      </c>
      <c r="V186" s="7">
        <v>2567.5500000000002</v>
      </c>
      <c r="W186" s="23">
        <f t="shared" si="10"/>
        <v>-2.6784570752135094E-2</v>
      </c>
      <c r="X186" s="7">
        <v>2324.9499999999998</v>
      </c>
      <c r="Y186" s="23">
        <f t="shared" si="11"/>
        <v>-3.9759041347183346E-2</v>
      </c>
      <c r="Z186" s="7">
        <v>5786.35</v>
      </c>
      <c r="AA186" s="23">
        <f t="shared" si="12"/>
        <v>-3.0675555367416833E-2</v>
      </c>
      <c r="AB186" s="10">
        <v>624.79999999999995</v>
      </c>
      <c r="AC186" s="23">
        <f t="shared" si="13"/>
        <v>-2.6533458026828622E-2</v>
      </c>
      <c r="AD186" s="11">
        <v>11567.1</v>
      </c>
      <c r="AE186" s="23">
        <f t="shared" si="14"/>
        <v>2.3570122071003338E-2</v>
      </c>
    </row>
    <row r="187" spans="1:31" ht="13.8">
      <c r="A187" s="13">
        <v>45712</v>
      </c>
      <c r="B187" s="7">
        <v>1764.1</v>
      </c>
      <c r="C187" s="49">
        <f t="shared" si="0"/>
        <v>-2.844482239659098E-2</v>
      </c>
      <c r="D187" s="8">
        <v>516.4</v>
      </c>
      <c r="E187" s="49">
        <f t="shared" si="1"/>
        <v>1.5318119900882072E-2</v>
      </c>
      <c r="F187" s="7">
        <v>2298.8000000000002</v>
      </c>
      <c r="G187" s="49">
        <f t="shared" si="2"/>
        <v>-1.2514888135052631E-2</v>
      </c>
      <c r="H187" s="7">
        <v>1011.55</v>
      </c>
      <c r="I187" s="23">
        <f t="shared" si="3"/>
        <v>1.9295951364740203E-3</v>
      </c>
      <c r="J187" s="7">
        <v>1613.7</v>
      </c>
      <c r="K187" s="23">
        <f t="shared" si="4"/>
        <v>-2.1942532721329462E-2</v>
      </c>
      <c r="L187" s="7">
        <v>12001.85</v>
      </c>
      <c r="M187" s="9">
        <f t="shared" si="5"/>
        <v>-1.7018382869505737E-2</v>
      </c>
      <c r="N187" s="7">
        <v>14043.35</v>
      </c>
      <c r="O187" s="23">
        <f t="shared" si="6"/>
        <v>5.1008043773776999E-3</v>
      </c>
      <c r="P187" s="7">
        <v>5702.55</v>
      </c>
      <c r="Q187" s="23">
        <f t="shared" si="7"/>
        <v>-9.5117475128515001E-3</v>
      </c>
      <c r="R187" s="7">
        <v>1644.05</v>
      </c>
      <c r="S187" s="23">
        <f t="shared" si="8"/>
        <v>-3.3877221219423354E-2</v>
      </c>
      <c r="T187" s="7">
        <v>7628.4</v>
      </c>
      <c r="U187" s="23">
        <f t="shared" si="9"/>
        <v>1.7481899271555947E-2</v>
      </c>
      <c r="V187" s="7">
        <v>2487.9</v>
      </c>
      <c r="W187" s="23">
        <f t="shared" si="10"/>
        <v>-3.1513155684515272E-2</v>
      </c>
      <c r="X187" s="7">
        <v>2362.4499999999998</v>
      </c>
      <c r="Y187" s="23">
        <f t="shared" si="11"/>
        <v>1.600068270890399E-2</v>
      </c>
      <c r="Z187" s="7">
        <v>5586.1</v>
      </c>
      <c r="AA187" s="23">
        <f t="shared" si="12"/>
        <v>-3.5220326304055638E-2</v>
      </c>
      <c r="AB187" s="10">
        <v>621.25</v>
      </c>
      <c r="AC187" s="23">
        <f t="shared" si="13"/>
        <v>-5.6980211146376667E-3</v>
      </c>
      <c r="AD187" s="11">
        <v>11607.65</v>
      </c>
      <c r="AE187" s="23">
        <f t="shared" si="14"/>
        <v>3.4995019478530334E-3</v>
      </c>
    </row>
    <row r="188" spans="1:31" ht="13.8">
      <c r="A188" s="13">
        <v>45713</v>
      </c>
      <c r="B188" s="7">
        <v>1767.7</v>
      </c>
      <c r="C188" s="49">
        <f t="shared" si="0"/>
        <v>2.0386212394773906E-3</v>
      </c>
      <c r="D188" s="8">
        <v>514.75</v>
      </c>
      <c r="E188" s="49">
        <f t="shared" si="1"/>
        <v>-3.2003130645885509E-3</v>
      </c>
      <c r="F188" s="7">
        <v>2342.1</v>
      </c>
      <c r="G188" s="49">
        <f t="shared" si="2"/>
        <v>1.8660715160768355E-2</v>
      </c>
      <c r="H188" s="7">
        <v>1023.7</v>
      </c>
      <c r="I188" s="23">
        <f t="shared" si="3"/>
        <v>1.1939707002302413E-2</v>
      </c>
      <c r="J188" s="7">
        <v>1593.95</v>
      </c>
      <c r="K188" s="23">
        <f t="shared" si="4"/>
        <v>-1.2314466717727833E-2</v>
      </c>
      <c r="L188" s="7">
        <v>11642.05</v>
      </c>
      <c r="M188" s="9">
        <f t="shared" si="5"/>
        <v>-3.0437260937177794E-2</v>
      </c>
      <c r="N188" s="7">
        <v>14151.6</v>
      </c>
      <c r="O188" s="23">
        <f t="shared" si="6"/>
        <v>7.6787177769230578E-3</v>
      </c>
      <c r="P188" s="7">
        <v>5726.4</v>
      </c>
      <c r="Q188" s="23">
        <f t="shared" si="7"/>
        <v>4.1736178074838872E-3</v>
      </c>
      <c r="R188" s="7">
        <v>1636.1</v>
      </c>
      <c r="S188" s="23">
        <f t="shared" si="8"/>
        <v>-4.84734878991355E-3</v>
      </c>
      <c r="T188" s="7">
        <v>7633.75</v>
      </c>
      <c r="U188" s="23">
        <f t="shared" si="9"/>
        <v>7.0108080698117403E-4</v>
      </c>
      <c r="V188" s="7">
        <v>2452.9</v>
      </c>
      <c r="W188" s="23">
        <f t="shared" si="10"/>
        <v>-1.4167983106230466E-2</v>
      </c>
      <c r="X188" s="7">
        <v>2360.65</v>
      </c>
      <c r="Y188" s="23">
        <f t="shared" si="11"/>
        <v>-7.6221129645551904E-4</v>
      </c>
      <c r="Z188" s="7">
        <v>5652.2</v>
      </c>
      <c r="AA188" s="23">
        <f t="shared" si="12"/>
        <v>1.1763480640048013E-2</v>
      </c>
      <c r="AB188" s="10">
        <v>621.79999999999995</v>
      </c>
      <c r="AC188" s="23">
        <f t="shared" si="13"/>
        <v>8.8492021381490272E-4</v>
      </c>
      <c r="AD188" s="11">
        <v>11797.9</v>
      </c>
      <c r="AE188" s="23">
        <f t="shared" si="14"/>
        <v>1.6257186024333535E-2</v>
      </c>
    </row>
    <row r="189" spans="1:31" ht="13.8">
      <c r="A189" s="13">
        <v>45715</v>
      </c>
      <c r="B189" s="7">
        <v>1764.3</v>
      </c>
      <c r="C189" s="49">
        <f t="shared" si="0"/>
        <v>-1.9252554078175112E-3</v>
      </c>
      <c r="D189" s="8">
        <v>506.95</v>
      </c>
      <c r="E189" s="49">
        <f t="shared" si="1"/>
        <v>-1.5268966509310065E-2</v>
      </c>
      <c r="F189" s="7">
        <v>2294.1999999999998</v>
      </c>
      <c r="G189" s="49">
        <f t="shared" si="2"/>
        <v>-2.0663763947187708E-2</v>
      </c>
      <c r="H189" s="7">
        <v>1017.4</v>
      </c>
      <c r="I189" s="23">
        <f t="shared" si="3"/>
        <v>-6.1731615370604793E-3</v>
      </c>
      <c r="J189" s="7">
        <v>1588.25</v>
      </c>
      <c r="K189" s="23">
        <f t="shared" si="4"/>
        <v>-3.5824310829360899E-3</v>
      </c>
      <c r="L189" s="7">
        <v>12068.65</v>
      </c>
      <c r="M189" s="9">
        <f t="shared" si="5"/>
        <v>3.5987637663082196E-2</v>
      </c>
      <c r="N189" s="7">
        <v>13824.3</v>
      </c>
      <c r="O189" s="23">
        <f t="shared" si="6"/>
        <v>-2.3399778686670751E-2</v>
      </c>
      <c r="P189" s="7">
        <v>5615.8</v>
      </c>
      <c r="Q189" s="23">
        <f t="shared" si="7"/>
        <v>-1.9503007475868167E-2</v>
      </c>
      <c r="R189" s="7">
        <v>1629.2</v>
      </c>
      <c r="S189" s="23">
        <f t="shared" si="8"/>
        <v>-4.2262642147732682E-3</v>
      </c>
      <c r="T189" s="7">
        <v>7489</v>
      </c>
      <c r="U189" s="23">
        <f t="shared" si="9"/>
        <v>-1.9143928287977455E-2</v>
      </c>
      <c r="V189" s="7">
        <v>2376.4</v>
      </c>
      <c r="W189" s="23">
        <f t="shared" si="10"/>
        <v>-3.1684260537450895E-2</v>
      </c>
      <c r="X189" s="7">
        <v>2338.9499999999998</v>
      </c>
      <c r="Y189" s="23">
        <f t="shared" si="11"/>
        <v>-9.2348941273130043E-3</v>
      </c>
      <c r="Z189" s="7">
        <v>5369.7</v>
      </c>
      <c r="AA189" s="23">
        <f t="shared" si="12"/>
        <v>-5.127280886197038E-2</v>
      </c>
      <c r="AB189" s="10">
        <v>623.29999999999995</v>
      </c>
      <c r="AC189" s="23">
        <f t="shared" si="13"/>
        <v>2.4094461901514388E-3</v>
      </c>
      <c r="AD189" s="11">
        <v>11565.25</v>
      </c>
      <c r="AE189" s="23">
        <f t="shared" si="14"/>
        <v>-1.9916637134631768E-2</v>
      </c>
    </row>
    <row r="190" spans="1:31" ht="13.8">
      <c r="A190" s="13">
        <v>45716</v>
      </c>
      <c r="B190" s="7">
        <v>1687.7</v>
      </c>
      <c r="C190" s="49">
        <f t="shared" si="0"/>
        <v>-4.4387355891581264E-2</v>
      </c>
      <c r="D190" s="8">
        <v>461.8</v>
      </c>
      <c r="E190" s="49">
        <f t="shared" si="1"/>
        <v>-9.328048247819376E-2</v>
      </c>
      <c r="F190" s="7">
        <v>2290.6</v>
      </c>
      <c r="G190" s="49">
        <f t="shared" si="2"/>
        <v>-1.5704068835514383E-3</v>
      </c>
      <c r="H190" s="7">
        <v>975.4</v>
      </c>
      <c r="I190" s="23">
        <f t="shared" si="3"/>
        <v>-4.2157989112712381E-2</v>
      </c>
      <c r="J190" s="7">
        <v>1487.85</v>
      </c>
      <c r="K190" s="23">
        <f t="shared" si="4"/>
        <v>-6.5300656286530201E-2</v>
      </c>
      <c r="L190" s="7">
        <v>11574.35</v>
      </c>
      <c r="M190" s="9">
        <f t="shared" si="5"/>
        <v>-4.1819738410153171E-2</v>
      </c>
      <c r="N190" s="7">
        <v>13935.85</v>
      </c>
      <c r="O190" s="23">
        <f t="shared" si="6"/>
        <v>8.0367433468621612E-3</v>
      </c>
      <c r="P190" s="7">
        <v>5480.25</v>
      </c>
      <c r="Q190" s="23">
        <f t="shared" si="7"/>
        <v>-2.4433333196456245E-2</v>
      </c>
      <c r="R190" s="7">
        <v>1575.05</v>
      </c>
      <c r="S190" s="23">
        <f t="shared" si="8"/>
        <v>-3.3802078986672653E-2</v>
      </c>
      <c r="T190" s="7">
        <v>7362.15</v>
      </c>
      <c r="U190" s="23">
        <f t="shared" si="9"/>
        <v>-1.7083267619840622E-2</v>
      </c>
      <c r="V190" s="7">
        <v>2247.25</v>
      </c>
      <c r="W190" s="23">
        <f t="shared" si="10"/>
        <v>-5.5879491028077773E-2</v>
      </c>
      <c r="X190" s="7">
        <v>2225.5</v>
      </c>
      <c r="Y190" s="23">
        <f t="shared" si="11"/>
        <v>-4.9720501243095037E-2</v>
      </c>
      <c r="Z190" s="7">
        <v>5189.3999999999996</v>
      </c>
      <c r="AA190" s="23">
        <f t="shared" si="12"/>
        <v>-3.4153957480042761E-2</v>
      </c>
      <c r="AB190" s="10">
        <v>600.6</v>
      </c>
      <c r="AC190" s="23">
        <f t="shared" si="13"/>
        <v>-3.7098788265574931E-2</v>
      </c>
      <c r="AD190" s="11">
        <v>11284.35</v>
      </c>
      <c r="AE190" s="23">
        <f t="shared" si="14"/>
        <v>-2.4588102368998326E-2</v>
      </c>
    </row>
    <row r="191" spans="1:31" ht="13.8">
      <c r="A191" s="12">
        <v>45719</v>
      </c>
      <c r="B191" s="7">
        <v>1708.6</v>
      </c>
      <c r="C191" s="49">
        <f t="shared" si="0"/>
        <v>1.2307666475079488E-2</v>
      </c>
      <c r="D191" s="8">
        <v>472.85</v>
      </c>
      <c r="E191" s="49">
        <f t="shared" si="1"/>
        <v>2.364631654112612E-2</v>
      </c>
      <c r="F191" s="7">
        <v>2328.6999999999998</v>
      </c>
      <c r="G191" s="49">
        <f t="shared" si="2"/>
        <v>1.649637997557421E-2</v>
      </c>
      <c r="H191" s="7">
        <v>979.75</v>
      </c>
      <c r="I191" s="23">
        <f t="shared" si="3"/>
        <v>4.449793803788675E-3</v>
      </c>
      <c r="J191" s="7">
        <v>1493.05</v>
      </c>
      <c r="K191" s="23">
        <f t="shared" si="4"/>
        <v>3.4888827365315437E-3</v>
      </c>
      <c r="L191" s="7">
        <v>11346.75</v>
      </c>
      <c r="M191" s="9">
        <f t="shared" si="5"/>
        <v>-1.9860083577041863E-2</v>
      </c>
      <c r="N191" s="7">
        <v>14051.75</v>
      </c>
      <c r="O191" s="23">
        <f t="shared" si="6"/>
        <v>8.2822866215681353E-3</v>
      </c>
      <c r="P191" s="7">
        <v>5540.25</v>
      </c>
      <c r="Q191" s="23">
        <f t="shared" si="7"/>
        <v>1.0888905737519845E-2</v>
      </c>
      <c r="R191" s="7">
        <v>1572.4</v>
      </c>
      <c r="S191" s="23">
        <f t="shared" si="8"/>
        <v>-1.6839032398794816E-3</v>
      </c>
      <c r="T191" s="7">
        <v>7357.05</v>
      </c>
      <c r="U191" s="23">
        <f t="shared" si="9"/>
        <v>-6.9297247188555215E-4</v>
      </c>
      <c r="V191" s="7">
        <v>2265.4</v>
      </c>
      <c r="W191" s="23">
        <f t="shared" si="10"/>
        <v>8.0440973131046169E-3</v>
      </c>
      <c r="X191" s="7">
        <v>2323.85</v>
      </c>
      <c r="Y191" s="23">
        <f t="shared" si="11"/>
        <v>4.3243683543001177E-2</v>
      </c>
      <c r="Z191" s="7">
        <v>5099.8500000000004</v>
      </c>
      <c r="AA191" s="23">
        <f t="shared" si="12"/>
        <v>-1.7406956025344224E-2</v>
      </c>
      <c r="AB191" s="10">
        <v>594.15</v>
      </c>
      <c r="AC191" s="23">
        <f t="shared" si="13"/>
        <v>-1.0797342813194612E-2</v>
      </c>
      <c r="AD191" s="11">
        <v>11754.75</v>
      </c>
      <c r="AE191" s="23">
        <f t="shared" si="14"/>
        <v>4.0840604191701817E-2</v>
      </c>
    </row>
    <row r="192" spans="1:31" ht="13.8">
      <c r="A192" s="12">
        <v>45720</v>
      </c>
      <c r="B192" s="7">
        <v>1688.3</v>
      </c>
      <c r="C192" s="49">
        <f t="shared" si="0"/>
        <v>-1.1952216234370299E-2</v>
      </c>
      <c r="D192" s="8">
        <v>471.6</v>
      </c>
      <c r="E192" s="49">
        <f t="shared" si="1"/>
        <v>-2.6470447983053618E-3</v>
      </c>
      <c r="F192" s="7">
        <v>2284.1</v>
      </c>
      <c r="G192" s="49">
        <f t="shared" si="2"/>
        <v>-1.9338098284601712E-2</v>
      </c>
      <c r="H192" s="7">
        <v>1049.3</v>
      </c>
      <c r="I192" s="23">
        <f t="shared" si="3"/>
        <v>6.8581117084124399E-2</v>
      </c>
      <c r="J192" s="7">
        <v>1488.25</v>
      </c>
      <c r="K192" s="23">
        <f t="shared" si="4"/>
        <v>-3.220074563144507E-3</v>
      </c>
      <c r="L192" s="7">
        <v>11209.15</v>
      </c>
      <c r="M192" s="9">
        <f t="shared" si="5"/>
        <v>-1.2200950257831557E-2</v>
      </c>
      <c r="N192" s="7">
        <v>14190.35</v>
      </c>
      <c r="O192" s="23">
        <f t="shared" si="6"/>
        <v>9.8152129414449604E-3</v>
      </c>
      <c r="P192" s="7">
        <v>5517.7</v>
      </c>
      <c r="Q192" s="23">
        <f t="shared" si="7"/>
        <v>-4.0785193021583349E-3</v>
      </c>
      <c r="R192" s="7">
        <v>1535.5</v>
      </c>
      <c r="S192" s="23">
        <f t="shared" si="8"/>
        <v>-2.3747053666828274E-2</v>
      </c>
      <c r="T192" s="7">
        <v>7212.4</v>
      </c>
      <c r="U192" s="23">
        <f t="shared" si="9"/>
        <v>-1.9857270255427707E-2</v>
      </c>
      <c r="V192" s="7">
        <v>2246.6</v>
      </c>
      <c r="W192" s="23">
        <f t="shared" si="10"/>
        <v>-8.3333815591444104E-3</v>
      </c>
      <c r="X192" s="7">
        <v>2293.9</v>
      </c>
      <c r="Y192" s="23">
        <f t="shared" si="11"/>
        <v>-1.2971867238827933E-2</v>
      </c>
      <c r="Z192" s="7">
        <v>5126</v>
      </c>
      <c r="AA192" s="23">
        <f t="shared" si="12"/>
        <v>5.1145004088395214E-3</v>
      </c>
      <c r="AB192" s="10">
        <v>587.75</v>
      </c>
      <c r="AC192" s="23">
        <f t="shared" si="13"/>
        <v>-1.0830125315856412E-2</v>
      </c>
      <c r="AD192" s="11">
        <v>12187.35</v>
      </c>
      <c r="AE192" s="23">
        <f t="shared" si="14"/>
        <v>3.6141114335767451E-2</v>
      </c>
    </row>
    <row r="193" spans="1:31" ht="13.8">
      <c r="A193" s="12">
        <v>45721</v>
      </c>
      <c r="B193" s="7">
        <v>1711.5</v>
      </c>
      <c r="C193" s="49">
        <f t="shared" si="0"/>
        <v>1.3648073487092028E-2</v>
      </c>
      <c r="D193" s="8">
        <v>483.7</v>
      </c>
      <c r="E193" s="49">
        <f t="shared" si="1"/>
        <v>2.5333711165721515E-2</v>
      </c>
      <c r="F193" s="7">
        <v>2288.15</v>
      </c>
      <c r="G193" s="49">
        <f t="shared" si="2"/>
        <v>1.7715571367334846E-3</v>
      </c>
      <c r="H193" s="7">
        <v>1063.5</v>
      </c>
      <c r="I193" s="23">
        <f t="shared" si="3"/>
        <v>1.3442080476426567E-2</v>
      </c>
      <c r="J193" s="7">
        <v>1538.1</v>
      </c>
      <c r="K193" s="23">
        <f t="shared" si="4"/>
        <v>3.2946955424265088E-2</v>
      </c>
      <c r="L193" s="7">
        <v>11560</v>
      </c>
      <c r="M193" s="9">
        <f t="shared" si="5"/>
        <v>3.0820454191145954E-2</v>
      </c>
      <c r="N193" s="7">
        <v>14497.45</v>
      </c>
      <c r="O193" s="23">
        <f t="shared" si="6"/>
        <v>2.1410615767024035E-2</v>
      </c>
      <c r="P193" s="7">
        <v>5516.55</v>
      </c>
      <c r="Q193" s="23">
        <f t="shared" si="7"/>
        <v>-2.084418975758451E-4</v>
      </c>
      <c r="R193" s="7">
        <v>1572.95</v>
      </c>
      <c r="S193" s="23">
        <f t="shared" si="8"/>
        <v>2.4096776276779811E-2</v>
      </c>
      <c r="T193" s="7">
        <v>7814.2</v>
      </c>
      <c r="U193" s="23">
        <f t="shared" si="9"/>
        <v>8.014082447099749E-2</v>
      </c>
      <c r="V193" s="7">
        <v>2307.85</v>
      </c>
      <c r="W193" s="23">
        <f t="shared" si="10"/>
        <v>2.6898392974004197E-2</v>
      </c>
      <c r="X193" s="7">
        <v>2330.6999999999998</v>
      </c>
      <c r="Y193" s="23">
        <f t="shared" si="11"/>
        <v>1.5915225864402381E-2</v>
      </c>
      <c r="Z193" s="7">
        <v>5160.6000000000004</v>
      </c>
      <c r="AA193" s="23">
        <f t="shared" si="12"/>
        <v>6.7272238614725262E-3</v>
      </c>
      <c r="AB193" s="10">
        <v>589.15</v>
      </c>
      <c r="AC193" s="23">
        <f t="shared" si="13"/>
        <v>2.3791327391707215E-3</v>
      </c>
      <c r="AD193" s="11">
        <v>13191.1</v>
      </c>
      <c r="AE193" s="23">
        <f t="shared" si="14"/>
        <v>7.9143831208519269E-2</v>
      </c>
    </row>
    <row r="194" spans="1:31" ht="13.8">
      <c r="A194" s="12">
        <v>45722</v>
      </c>
      <c r="B194" s="7">
        <v>1715.85</v>
      </c>
      <c r="C194" s="49">
        <f t="shared" si="0"/>
        <v>2.5384056695519999E-3</v>
      </c>
      <c r="D194" s="8">
        <v>494</v>
      </c>
      <c r="E194" s="49">
        <f t="shared" si="1"/>
        <v>2.1070637358984973E-2</v>
      </c>
      <c r="F194" s="7">
        <v>2274.3000000000002</v>
      </c>
      <c r="G194" s="49">
        <f t="shared" si="2"/>
        <v>-6.0713180609538297E-3</v>
      </c>
      <c r="H194" s="7">
        <v>1065.6500000000001</v>
      </c>
      <c r="I194" s="23">
        <f t="shared" si="3"/>
        <v>2.0195859669557615E-3</v>
      </c>
      <c r="J194" s="7">
        <v>1503.45</v>
      </c>
      <c r="K194" s="23">
        <f t="shared" si="4"/>
        <v>-2.2785421318779562E-2</v>
      </c>
      <c r="L194" s="7">
        <v>11361.95</v>
      </c>
      <c r="M194" s="9">
        <f t="shared" si="5"/>
        <v>-1.7280809752670295E-2</v>
      </c>
      <c r="N194" s="7">
        <v>14256.25</v>
      </c>
      <c r="O194" s="23">
        <f t="shared" si="6"/>
        <v>-1.677736484145529E-2</v>
      </c>
      <c r="P194" s="7">
        <v>5568.7</v>
      </c>
      <c r="Q194" s="23">
        <f t="shared" si="7"/>
        <v>9.4089686259428429E-3</v>
      </c>
      <c r="R194" s="7">
        <v>1585.45</v>
      </c>
      <c r="S194" s="23">
        <f t="shared" si="8"/>
        <v>7.9154415303563427E-3</v>
      </c>
      <c r="T194" s="7">
        <v>7625.15</v>
      </c>
      <c r="U194" s="23">
        <f t="shared" si="9"/>
        <v>-2.4490596959944749E-2</v>
      </c>
      <c r="V194" s="7">
        <v>2343</v>
      </c>
      <c r="W194" s="23">
        <f t="shared" si="10"/>
        <v>1.5115804326322506E-2</v>
      </c>
      <c r="X194" s="7">
        <v>2319.5</v>
      </c>
      <c r="Y194" s="23">
        <f t="shared" si="11"/>
        <v>-4.8170064326863273E-3</v>
      </c>
      <c r="Z194" s="7">
        <v>5418.6</v>
      </c>
      <c r="AA194" s="23">
        <f t="shared" si="12"/>
        <v>4.8784627699319134E-2</v>
      </c>
      <c r="AB194" s="10">
        <v>607.70000000000005</v>
      </c>
      <c r="AC194" s="23">
        <f t="shared" si="13"/>
        <v>3.1000518981960001E-2</v>
      </c>
      <c r="AD194" s="11">
        <v>13613</v>
      </c>
      <c r="AE194" s="23">
        <f t="shared" si="14"/>
        <v>3.1482858765899201E-2</v>
      </c>
    </row>
    <row r="195" spans="1:31" ht="13.8">
      <c r="A195" s="12">
        <v>45723</v>
      </c>
      <c r="B195" s="7">
        <v>1686</v>
      </c>
      <c r="C195" s="49">
        <f t="shared" si="0"/>
        <v>-1.7549725077991345E-2</v>
      </c>
      <c r="D195" s="8">
        <v>493.15</v>
      </c>
      <c r="E195" s="49">
        <f t="shared" si="1"/>
        <v>-1.7221297879200293E-3</v>
      </c>
      <c r="F195" s="7">
        <v>2316.0500000000002</v>
      </c>
      <c r="G195" s="49">
        <f t="shared" si="2"/>
        <v>1.8190835675939307E-2</v>
      </c>
      <c r="H195" s="7">
        <v>1135.2</v>
      </c>
      <c r="I195" s="23">
        <f t="shared" si="3"/>
        <v>6.322390523858519E-2</v>
      </c>
      <c r="J195" s="7">
        <v>1492.35</v>
      </c>
      <c r="K195" s="23">
        <f t="shared" si="4"/>
        <v>-7.4104084355065963E-3</v>
      </c>
      <c r="L195" s="7">
        <v>11774.95</v>
      </c>
      <c r="M195" s="9">
        <f t="shared" si="5"/>
        <v>3.5704340117403845E-2</v>
      </c>
      <c r="N195" s="7">
        <v>13911.25</v>
      </c>
      <c r="O195" s="23">
        <f t="shared" si="6"/>
        <v>-2.4497541745063325E-2</v>
      </c>
      <c r="P195" s="7">
        <v>5578.75</v>
      </c>
      <c r="Q195" s="23">
        <f t="shared" si="7"/>
        <v>1.8031034403140388E-3</v>
      </c>
      <c r="R195" s="7">
        <v>1557.95</v>
      </c>
      <c r="S195" s="23">
        <f t="shared" si="8"/>
        <v>-1.7497424198479977E-2</v>
      </c>
      <c r="T195" s="7">
        <v>7707.25</v>
      </c>
      <c r="U195" s="23">
        <f t="shared" si="9"/>
        <v>1.0709449881962489E-2</v>
      </c>
      <c r="V195" s="7">
        <v>2302.25</v>
      </c>
      <c r="W195" s="23">
        <f t="shared" si="10"/>
        <v>-1.7545253906319207E-2</v>
      </c>
      <c r="X195" s="7">
        <v>2332.9</v>
      </c>
      <c r="Y195" s="23">
        <f t="shared" si="11"/>
        <v>5.7604836447946797E-3</v>
      </c>
      <c r="Z195" s="7">
        <v>5326.35</v>
      </c>
      <c r="AA195" s="23">
        <f t="shared" si="12"/>
        <v>-1.7171278911472028E-2</v>
      </c>
      <c r="AB195" s="10">
        <v>609.65</v>
      </c>
      <c r="AC195" s="23">
        <f t="shared" si="13"/>
        <v>3.203682864964049E-3</v>
      </c>
      <c r="AD195" s="11">
        <v>13049.35</v>
      </c>
      <c r="AE195" s="23">
        <f t="shared" si="14"/>
        <v>-4.2286894431233318E-2</v>
      </c>
    </row>
    <row r="196" spans="1:31" ht="13.8">
      <c r="A196" s="13">
        <v>45726</v>
      </c>
      <c r="B196" s="7">
        <v>1701.45</v>
      </c>
      <c r="C196" s="49">
        <f t="shared" si="0"/>
        <v>9.1219691113605898E-3</v>
      </c>
      <c r="D196" s="8">
        <v>478.65</v>
      </c>
      <c r="E196" s="49">
        <f t="shared" si="1"/>
        <v>-2.9843746007640271E-2</v>
      </c>
      <c r="F196" s="7">
        <v>2259.3000000000002</v>
      </c>
      <c r="G196" s="49">
        <f t="shared" si="2"/>
        <v>-2.4808117630891541E-2</v>
      </c>
      <c r="H196" s="7">
        <v>1143.4000000000001</v>
      </c>
      <c r="I196" s="23">
        <f t="shared" si="3"/>
        <v>7.1974329840379615E-3</v>
      </c>
      <c r="J196" s="7">
        <v>1486.85</v>
      </c>
      <c r="K196" s="23">
        <f t="shared" si="4"/>
        <v>-3.6922705749151429E-3</v>
      </c>
      <c r="L196" s="7">
        <v>11637.2</v>
      </c>
      <c r="M196" s="9">
        <f t="shared" si="5"/>
        <v>-1.1767530070602328E-2</v>
      </c>
      <c r="N196" s="7">
        <v>13131.15</v>
      </c>
      <c r="O196" s="23">
        <f t="shared" si="6"/>
        <v>-5.7710595144549848E-2</v>
      </c>
      <c r="P196" s="7">
        <v>5514.25</v>
      </c>
      <c r="Q196" s="23">
        <f t="shared" si="7"/>
        <v>-1.1629086250782412E-2</v>
      </c>
      <c r="R196" s="7">
        <v>1549.3</v>
      </c>
      <c r="S196" s="23">
        <f t="shared" si="8"/>
        <v>-5.5676384872871965E-3</v>
      </c>
      <c r="T196" s="7">
        <v>7534.55</v>
      </c>
      <c r="U196" s="23">
        <f t="shared" si="9"/>
        <v>-2.2662335318617791E-2</v>
      </c>
      <c r="V196" s="7">
        <v>2265</v>
      </c>
      <c r="W196" s="23">
        <f t="shared" si="10"/>
        <v>-1.6312146684341975E-2</v>
      </c>
      <c r="X196" s="7">
        <v>2257.25</v>
      </c>
      <c r="Y196" s="23">
        <f t="shared" si="11"/>
        <v>-3.2964870649004469E-2</v>
      </c>
      <c r="Z196" s="7">
        <v>5109.1000000000004</v>
      </c>
      <c r="AA196" s="23">
        <f t="shared" si="12"/>
        <v>-4.1642937132076591E-2</v>
      </c>
      <c r="AB196" s="10">
        <v>607.29999999999995</v>
      </c>
      <c r="AC196" s="23">
        <f t="shared" si="13"/>
        <v>-3.8621191027441576E-3</v>
      </c>
      <c r="AD196" s="11">
        <v>12714.8</v>
      </c>
      <c r="AE196" s="23">
        <f t="shared" si="14"/>
        <v>-2.5971654802130425E-2</v>
      </c>
    </row>
    <row r="197" spans="1:31" ht="13.8">
      <c r="A197" s="13">
        <v>45727</v>
      </c>
      <c r="B197" s="7">
        <v>1661.6</v>
      </c>
      <c r="C197" s="49">
        <f t="shared" si="0"/>
        <v>-2.3699835111258786E-2</v>
      </c>
      <c r="D197" s="8">
        <v>478.7</v>
      </c>
      <c r="E197" s="49">
        <f t="shared" si="1"/>
        <v>1.04455006101202E-4</v>
      </c>
      <c r="F197" s="7">
        <v>2210.1999999999998</v>
      </c>
      <c r="G197" s="49">
        <f t="shared" si="2"/>
        <v>-2.1972021620734E-2</v>
      </c>
      <c r="H197" s="7">
        <v>1116.5999999999999</v>
      </c>
      <c r="I197" s="23">
        <f t="shared" si="3"/>
        <v>-2.3717925953611021E-2</v>
      </c>
      <c r="J197" s="7">
        <v>1479.2</v>
      </c>
      <c r="K197" s="23">
        <f t="shared" si="4"/>
        <v>-5.1583870556480126E-3</v>
      </c>
      <c r="L197" s="7">
        <v>11384.55</v>
      </c>
      <c r="M197" s="9">
        <f t="shared" si="5"/>
        <v>-2.194969049552007E-2</v>
      </c>
      <c r="N197" s="7">
        <v>13298.9</v>
      </c>
      <c r="O197" s="23">
        <f t="shared" si="6"/>
        <v>1.2694054879449418E-2</v>
      </c>
      <c r="P197" s="7">
        <v>5546.25</v>
      </c>
      <c r="Q197" s="23">
        <f t="shared" si="7"/>
        <v>5.7863730004219177E-3</v>
      </c>
      <c r="R197" s="7">
        <v>1567.85</v>
      </c>
      <c r="S197" s="23">
        <f t="shared" si="8"/>
        <v>1.1902038066778866E-2</v>
      </c>
      <c r="T197" s="7">
        <v>7632.1</v>
      </c>
      <c r="U197" s="23">
        <f t="shared" si="9"/>
        <v>1.2863927791038739E-2</v>
      </c>
      <c r="V197" s="7">
        <v>2277.85</v>
      </c>
      <c r="W197" s="23">
        <f t="shared" si="10"/>
        <v>5.6572566875525915E-3</v>
      </c>
      <c r="X197" s="7">
        <v>2288.85</v>
      </c>
      <c r="Y197" s="23">
        <f t="shared" si="11"/>
        <v>1.3902249818265598E-2</v>
      </c>
      <c r="Z197" s="7">
        <v>5226.3999999999996</v>
      </c>
      <c r="AA197" s="23">
        <f t="shared" si="12"/>
        <v>2.2699441085280919E-2</v>
      </c>
      <c r="AB197" s="10">
        <v>602.9</v>
      </c>
      <c r="AC197" s="23">
        <f t="shared" si="13"/>
        <v>-7.2715574081696852E-3</v>
      </c>
      <c r="AD197" s="11">
        <v>12169.6</v>
      </c>
      <c r="AE197" s="23">
        <f t="shared" si="14"/>
        <v>-4.3825630545168776E-2</v>
      </c>
    </row>
    <row r="198" spans="1:31" ht="13.8">
      <c r="A198" s="13">
        <v>45728</v>
      </c>
      <c r="B198" s="7">
        <v>1590.85</v>
      </c>
      <c r="C198" s="49">
        <f t="shared" si="0"/>
        <v>-4.3512528995623578E-2</v>
      </c>
      <c r="D198" s="8">
        <v>476</v>
      </c>
      <c r="E198" s="49">
        <f t="shared" si="1"/>
        <v>-5.6562421670433008E-3</v>
      </c>
      <c r="F198" s="7">
        <v>2166.4499999999998</v>
      </c>
      <c r="G198" s="49">
        <f t="shared" si="2"/>
        <v>-1.999312593939644E-2</v>
      </c>
      <c r="H198" s="7">
        <v>1093.7</v>
      </c>
      <c r="I198" s="23">
        <f t="shared" si="3"/>
        <v>-2.0721910535079817E-2</v>
      </c>
      <c r="J198" s="7">
        <v>1438.3</v>
      </c>
      <c r="K198" s="23">
        <f t="shared" si="4"/>
        <v>-2.8039540463071649E-2</v>
      </c>
      <c r="L198" s="7">
        <v>11458.3</v>
      </c>
      <c r="M198" s="9">
        <f t="shared" si="5"/>
        <v>6.4571851806425251E-3</v>
      </c>
      <c r="N198" s="7">
        <v>13078.95</v>
      </c>
      <c r="O198" s="23">
        <f t="shared" si="6"/>
        <v>-1.6677257462931312E-2</v>
      </c>
      <c r="P198" s="7">
        <v>5667.15</v>
      </c>
      <c r="Q198" s="23">
        <f t="shared" si="7"/>
        <v>2.1564322157434833E-2</v>
      </c>
      <c r="R198" s="7">
        <v>1540.6</v>
      </c>
      <c r="S198" s="23">
        <f t="shared" si="8"/>
        <v>-1.7533303150159552E-2</v>
      </c>
      <c r="T198" s="7">
        <v>7400.3</v>
      </c>
      <c r="U198" s="23">
        <f t="shared" si="9"/>
        <v>-3.0842496856593227E-2</v>
      </c>
      <c r="V198" s="7">
        <v>2225.0500000000002</v>
      </c>
      <c r="W198" s="23">
        <f t="shared" si="10"/>
        <v>-2.3452628346723507E-2</v>
      </c>
      <c r="X198" s="7">
        <v>2259</v>
      </c>
      <c r="Y198" s="23">
        <f t="shared" si="11"/>
        <v>-1.3127270537850963E-2</v>
      </c>
      <c r="Z198" s="7">
        <v>5436.45</v>
      </c>
      <c r="AA198" s="23">
        <f t="shared" si="12"/>
        <v>3.9403569775251723E-2</v>
      </c>
      <c r="AB198" s="10">
        <v>600.35</v>
      </c>
      <c r="AC198" s="23">
        <f t="shared" si="13"/>
        <v>-4.2385270186327964E-3</v>
      </c>
      <c r="AD198" s="11">
        <v>12170.55</v>
      </c>
      <c r="AE198" s="23">
        <f t="shared" si="14"/>
        <v>7.8060324236509028E-5</v>
      </c>
    </row>
    <row r="199" spans="1:31" ht="13.8">
      <c r="A199" s="13">
        <v>45729</v>
      </c>
      <c r="B199" s="7">
        <v>1579.85</v>
      </c>
      <c r="C199" s="49">
        <f t="shared" si="0"/>
        <v>-6.9385587609018346E-3</v>
      </c>
      <c r="D199" s="8">
        <v>470.65</v>
      </c>
      <c r="E199" s="49">
        <f t="shared" si="1"/>
        <v>-1.1303136238190839E-2</v>
      </c>
      <c r="F199" s="7">
        <v>2201.15</v>
      </c>
      <c r="G199" s="49">
        <f t="shared" si="2"/>
        <v>1.5890067829540271E-2</v>
      </c>
      <c r="H199" s="7">
        <v>1108.25</v>
      </c>
      <c r="I199" s="23">
        <f t="shared" si="3"/>
        <v>1.3215751283982809E-2</v>
      </c>
      <c r="J199" s="7">
        <v>1440.65</v>
      </c>
      <c r="K199" s="23">
        <f t="shared" si="4"/>
        <v>1.6325400037738981E-3</v>
      </c>
      <c r="L199" s="7">
        <v>11320.2</v>
      </c>
      <c r="M199" s="9">
        <f t="shared" si="5"/>
        <v>-1.2125617759999719E-2</v>
      </c>
      <c r="N199" s="7">
        <v>13324.05</v>
      </c>
      <c r="O199" s="23">
        <f t="shared" si="6"/>
        <v>1.8566605373764592E-2</v>
      </c>
      <c r="P199" s="7">
        <v>5620.45</v>
      </c>
      <c r="Q199" s="23">
        <f t="shared" si="7"/>
        <v>-8.2746139939654136E-3</v>
      </c>
      <c r="R199" s="7">
        <v>1534.75</v>
      </c>
      <c r="S199" s="23">
        <f t="shared" si="8"/>
        <v>-3.8044496112596957E-3</v>
      </c>
      <c r="T199" s="7">
        <v>7292.25</v>
      </c>
      <c r="U199" s="23">
        <f t="shared" si="9"/>
        <v>-1.4708399553179987E-2</v>
      </c>
      <c r="V199" s="7">
        <v>2205.15</v>
      </c>
      <c r="W199" s="23">
        <f t="shared" si="10"/>
        <v>-8.9838534798784252E-3</v>
      </c>
      <c r="X199" s="7">
        <v>2250.9</v>
      </c>
      <c r="Y199" s="23">
        <f t="shared" si="11"/>
        <v>-3.5921012482104477E-3</v>
      </c>
      <c r="Z199" s="7">
        <v>5708.25</v>
      </c>
      <c r="AA199" s="23">
        <f t="shared" si="12"/>
        <v>4.8786222513818367E-2</v>
      </c>
      <c r="AB199" s="10">
        <v>606.29999999999995</v>
      </c>
      <c r="AC199" s="23">
        <f t="shared" si="13"/>
        <v>9.8620946009578617E-3</v>
      </c>
      <c r="AD199" s="11">
        <v>12033.5</v>
      </c>
      <c r="AE199" s="23">
        <f t="shared" si="14"/>
        <v>-1.1324672085718041E-2</v>
      </c>
    </row>
    <row r="200" spans="1:31" ht="13.8">
      <c r="A200" s="13">
        <v>45733</v>
      </c>
      <c r="B200" s="7">
        <v>1590.05</v>
      </c>
      <c r="C200" s="49">
        <f t="shared" si="0"/>
        <v>6.4355564553485924E-3</v>
      </c>
      <c r="D200" s="8">
        <v>488.6</v>
      </c>
      <c r="E200" s="49">
        <f t="shared" si="1"/>
        <v>3.7429440830410901E-2</v>
      </c>
      <c r="F200" s="7">
        <v>2170.9499999999998</v>
      </c>
      <c r="G200" s="49">
        <f t="shared" si="2"/>
        <v>-1.3815091293102525E-2</v>
      </c>
      <c r="H200" s="7">
        <v>1107.1500000000001</v>
      </c>
      <c r="I200" s="23">
        <f t="shared" si="3"/>
        <v>-9.9304874099181506E-4</v>
      </c>
      <c r="J200" s="7">
        <v>1440.1</v>
      </c>
      <c r="K200" s="23">
        <f t="shared" si="4"/>
        <v>-3.8184501028057599E-4</v>
      </c>
      <c r="L200" s="7">
        <v>11566.6</v>
      </c>
      <c r="M200" s="9">
        <f t="shared" si="5"/>
        <v>2.153289411584753E-2</v>
      </c>
      <c r="N200" s="7">
        <v>13098.2</v>
      </c>
      <c r="O200" s="23">
        <f t="shared" si="6"/>
        <v>-1.709585676515181E-2</v>
      </c>
      <c r="P200" s="7">
        <v>5670.85</v>
      </c>
      <c r="Q200" s="23">
        <f t="shared" si="7"/>
        <v>8.927286446134209E-3</v>
      </c>
      <c r="R200" s="7">
        <v>1545.15</v>
      </c>
      <c r="S200" s="23">
        <f t="shared" si="8"/>
        <v>6.7534916902064028E-3</v>
      </c>
      <c r="T200" s="7">
        <v>7365.05</v>
      </c>
      <c r="U200" s="23">
        <f t="shared" si="9"/>
        <v>9.933698382069622E-3</v>
      </c>
      <c r="V200" s="7">
        <v>2200.1999999999998</v>
      </c>
      <c r="W200" s="23">
        <f t="shared" si="10"/>
        <v>-2.2472684727497644E-3</v>
      </c>
      <c r="X200" s="7">
        <v>2266.8000000000002</v>
      </c>
      <c r="Y200" s="23">
        <f t="shared" si="11"/>
        <v>7.0390090756714775E-3</v>
      </c>
      <c r="Z200" s="7">
        <v>5949.25</v>
      </c>
      <c r="AA200" s="23">
        <f t="shared" si="12"/>
        <v>4.1352664358874976E-2</v>
      </c>
      <c r="AB200" s="10">
        <v>607.54999999999995</v>
      </c>
      <c r="AC200" s="23">
        <f t="shared" si="13"/>
        <v>2.0595632769356614E-3</v>
      </c>
      <c r="AD200" s="11">
        <v>12663.35</v>
      </c>
      <c r="AE200" s="23">
        <f t="shared" si="14"/>
        <v>5.1017567676061831E-2</v>
      </c>
    </row>
    <row r="201" spans="1:31" ht="13.8">
      <c r="A201" s="13">
        <v>45734</v>
      </c>
      <c r="B201" s="7">
        <v>1609.35</v>
      </c>
      <c r="C201" s="49">
        <f t="shared" si="0"/>
        <v>1.2064908490139265E-2</v>
      </c>
      <c r="D201" s="8">
        <v>495.5</v>
      </c>
      <c r="E201" s="49">
        <f t="shared" si="1"/>
        <v>1.4023194946402449E-2</v>
      </c>
      <c r="F201" s="7">
        <v>2145.8000000000002</v>
      </c>
      <c r="G201" s="49">
        <f t="shared" si="2"/>
        <v>-1.1652416549077267E-2</v>
      </c>
      <c r="H201" s="7">
        <v>1126.8</v>
      </c>
      <c r="I201" s="23">
        <f t="shared" si="3"/>
        <v>1.7592611118046452E-2</v>
      </c>
      <c r="J201" s="7">
        <v>1430.65</v>
      </c>
      <c r="K201" s="23">
        <f t="shared" si="4"/>
        <v>-6.5836691693294024E-3</v>
      </c>
      <c r="L201" s="7">
        <v>11619.4</v>
      </c>
      <c r="M201" s="9">
        <f t="shared" si="5"/>
        <v>4.5544803994177581E-3</v>
      </c>
      <c r="N201" s="7">
        <v>13470.15</v>
      </c>
      <c r="O201" s="23">
        <f t="shared" si="6"/>
        <v>2.8001310031651211E-2</v>
      </c>
      <c r="P201" s="7">
        <v>5772.95</v>
      </c>
      <c r="Q201" s="23">
        <f t="shared" si="7"/>
        <v>1.784419671256271E-2</v>
      </c>
      <c r="R201" s="7">
        <v>1558.2</v>
      </c>
      <c r="S201" s="23">
        <f t="shared" si="8"/>
        <v>8.4103158989456781E-3</v>
      </c>
      <c r="T201" s="7">
        <v>7566</v>
      </c>
      <c r="U201" s="23">
        <f t="shared" si="9"/>
        <v>2.6918687453028754E-2</v>
      </c>
      <c r="V201" s="7">
        <v>2293.4</v>
      </c>
      <c r="W201" s="23">
        <f t="shared" si="10"/>
        <v>4.1487167298868706E-2</v>
      </c>
      <c r="X201" s="7">
        <v>2311.75</v>
      </c>
      <c r="Y201" s="23">
        <f t="shared" si="11"/>
        <v>1.963566816228364E-2</v>
      </c>
      <c r="Z201" s="7">
        <v>6201.1</v>
      </c>
      <c r="AA201" s="23">
        <f t="shared" si="12"/>
        <v>4.1461534476583753E-2</v>
      </c>
      <c r="AB201" s="10">
        <v>621.35</v>
      </c>
      <c r="AC201" s="23">
        <f t="shared" si="13"/>
        <v>2.2460053897382884E-2</v>
      </c>
      <c r="AD201" s="11">
        <v>11954</v>
      </c>
      <c r="AE201" s="23">
        <f t="shared" si="14"/>
        <v>-5.7646044264321232E-2</v>
      </c>
    </row>
    <row r="202" spans="1:31" ht="13.8">
      <c r="A202" s="13">
        <v>45735</v>
      </c>
      <c r="B202" s="7">
        <v>1586.55</v>
      </c>
      <c r="C202" s="49">
        <f t="shared" si="0"/>
        <v>-1.42685233086933E-2</v>
      </c>
      <c r="D202" s="8">
        <v>496.25</v>
      </c>
      <c r="E202" s="49">
        <f t="shared" si="1"/>
        <v>1.5124782313575191E-3</v>
      </c>
      <c r="F202" s="7">
        <v>2161.6999999999998</v>
      </c>
      <c r="G202" s="49">
        <f t="shared" si="2"/>
        <v>7.3825059613610708E-3</v>
      </c>
      <c r="H202" s="7">
        <v>1198</v>
      </c>
      <c r="I202" s="23">
        <f t="shared" si="3"/>
        <v>6.1271742673177108E-2</v>
      </c>
      <c r="J202" s="7">
        <v>1396.15</v>
      </c>
      <c r="K202" s="23">
        <f t="shared" si="4"/>
        <v>-2.4410438027278478E-2</v>
      </c>
      <c r="L202" s="7">
        <v>11870.05</v>
      </c>
      <c r="M202" s="9">
        <f t="shared" si="5"/>
        <v>2.1342305933869828E-2</v>
      </c>
      <c r="N202" s="7">
        <v>13875.6</v>
      </c>
      <c r="O202" s="23">
        <f t="shared" si="6"/>
        <v>2.9655775723048911E-2</v>
      </c>
      <c r="P202" s="7">
        <v>5818.1</v>
      </c>
      <c r="Q202" s="23">
        <f t="shared" si="7"/>
        <v>7.7905329292751145E-3</v>
      </c>
      <c r="R202" s="7">
        <v>1544.45</v>
      </c>
      <c r="S202" s="23">
        <f t="shared" si="8"/>
        <v>-8.863448998361504E-3</v>
      </c>
      <c r="T202" s="7">
        <v>7550.45</v>
      </c>
      <c r="U202" s="23">
        <f t="shared" si="9"/>
        <v>-2.0573620770648502E-3</v>
      </c>
      <c r="V202" s="7">
        <v>2285.85</v>
      </c>
      <c r="W202" s="23">
        <f t="shared" si="10"/>
        <v>-3.2974862002246876E-3</v>
      </c>
      <c r="X202" s="7">
        <v>2319.75</v>
      </c>
      <c r="Y202" s="23">
        <f t="shared" si="11"/>
        <v>3.4546077755406566E-3</v>
      </c>
      <c r="Z202" s="7">
        <v>6088.55</v>
      </c>
      <c r="AA202" s="23">
        <f t="shared" si="12"/>
        <v>-1.8316737534392929E-2</v>
      </c>
      <c r="AB202" s="10">
        <v>619.1</v>
      </c>
      <c r="AC202" s="23">
        <f t="shared" si="13"/>
        <v>-3.6277197268171019E-3</v>
      </c>
      <c r="AD202" s="11">
        <v>11800.25</v>
      </c>
      <c r="AE202" s="23">
        <f t="shared" si="14"/>
        <v>-1.2945232714194821E-2</v>
      </c>
    </row>
    <row r="203" spans="1:31" ht="13.8">
      <c r="A203" s="13">
        <v>45736</v>
      </c>
      <c r="B203" s="7">
        <v>1615.55</v>
      </c>
      <c r="C203" s="49">
        <f t="shared" si="0"/>
        <v>1.8113608513660645E-2</v>
      </c>
      <c r="D203" s="8">
        <v>500.35</v>
      </c>
      <c r="E203" s="49">
        <f t="shared" si="1"/>
        <v>8.2280215350649787E-3</v>
      </c>
      <c r="F203" s="7">
        <v>2244.85</v>
      </c>
      <c r="G203" s="49">
        <f t="shared" si="2"/>
        <v>3.774375463535027E-2</v>
      </c>
      <c r="H203" s="7">
        <v>1247</v>
      </c>
      <c r="I203" s="23">
        <f t="shared" si="3"/>
        <v>4.0087167004641849E-2</v>
      </c>
      <c r="J203" s="7">
        <v>1410.55</v>
      </c>
      <c r="K203" s="23">
        <f t="shared" si="4"/>
        <v>1.0261250829586767E-2</v>
      </c>
      <c r="L203" s="7">
        <v>11998.7</v>
      </c>
      <c r="M203" s="9">
        <f t="shared" si="5"/>
        <v>1.0779889673567035E-2</v>
      </c>
      <c r="N203" s="7">
        <v>13905.7</v>
      </c>
      <c r="O203" s="23">
        <f t="shared" si="6"/>
        <v>2.1669260817925354E-3</v>
      </c>
      <c r="P203" s="7">
        <v>5822.1</v>
      </c>
      <c r="Q203" s="23">
        <f t="shared" si="7"/>
        <v>6.8727344159864813E-4</v>
      </c>
      <c r="R203" s="7">
        <v>1562</v>
      </c>
      <c r="S203" s="23">
        <f t="shared" si="8"/>
        <v>1.1299191501234878E-2</v>
      </c>
      <c r="T203" s="7">
        <v>7578.3</v>
      </c>
      <c r="U203" s="23">
        <f t="shared" si="9"/>
        <v>3.6817359609095778E-3</v>
      </c>
      <c r="V203" s="7">
        <v>2305.85</v>
      </c>
      <c r="W203" s="23">
        <f t="shared" si="10"/>
        <v>8.7114256076835303E-3</v>
      </c>
      <c r="X203" s="7">
        <v>2346.8000000000002</v>
      </c>
      <c r="Y203" s="23">
        <f t="shared" si="11"/>
        <v>1.1593276818416244E-2</v>
      </c>
      <c r="Z203" s="7">
        <v>6135.6</v>
      </c>
      <c r="AA203" s="23">
        <f t="shared" si="12"/>
        <v>7.6979147572776609E-3</v>
      </c>
      <c r="AB203" s="10">
        <v>632.35</v>
      </c>
      <c r="AC203" s="23">
        <f t="shared" si="13"/>
        <v>2.1176227800798968E-2</v>
      </c>
      <c r="AD203" s="11">
        <v>11887.15</v>
      </c>
      <c r="AE203" s="23">
        <f t="shared" si="14"/>
        <v>7.3372670582933022E-3</v>
      </c>
    </row>
    <row r="204" spans="1:31" ht="13.8">
      <c r="A204" s="13">
        <v>45737</v>
      </c>
      <c r="B204" s="7">
        <v>1592.55</v>
      </c>
      <c r="C204" s="49">
        <f t="shared" si="0"/>
        <v>-1.4338950828140478E-2</v>
      </c>
      <c r="D204" s="8">
        <v>507.45</v>
      </c>
      <c r="E204" s="49">
        <f t="shared" si="1"/>
        <v>1.4090330358362024E-2</v>
      </c>
      <c r="F204" s="7">
        <v>2415.0500000000002</v>
      </c>
      <c r="G204" s="49">
        <f t="shared" si="2"/>
        <v>7.3081287006739756E-2</v>
      </c>
      <c r="H204" s="7">
        <v>1293.0999999999999</v>
      </c>
      <c r="I204" s="23">
        <f t="shared" si="3"/>
        <v>3.6301769621769418E-2</v>
      </c>
      <c r="J204" s="7">
        <v>1409.25</v>
      </c>
      <c r="K204" s="23">
        <f t="shared" si="4"/>
        <v>-9.2205127463129797E-4</v>
      </c>
      <c r="L204" s="7">
        <v>12273.55</v>
      </c>
      <c r="M204" s="9">
        <f t="shared" si="5"/>
        <v>2.2648229844026563E-2</v>
      </c>
      <c r="N204" s="7">
        <v>14056.8</v>
      </c>
      <c r="O204" s="23">
        <f t="shared" si="6"/>
        <v>1.0807436438973228E-2</v>
      </c>
      <c r="P204" s="7">
        <v>5797.35</v>
      </c>
      <c r="Q204" s="23">
        <f t="shared" si="7"/>
        <v>-4.2601048124060554E-3</v>
      </c>
      <c r="R204" s="7">
        <v>1566.7</v>
      </c>
      <c r="S204" s="23">
        <f t="shared" si="8"/>
        <v>3.0044449998101229E-3</v>
      </c>
      <c r="T204" s="7">
        <v>7746.8</v>
      </c>
      <c r="U204" s="23">
        <f t="shared" si="9"/>
        <v>2.199095477675763E-2</v>
      </c>
      <c r="V204" s="7">
        <v>2429.9499999999998</v>
      </c>
      <c r="W204" s="23">
        <f t="shared" si="10"/>
        <v>5.2421308979552321E-2</v>
      </c>
      <c r="X204" s="7">
        <v>2413.85</v>
      </c>
      <c r="Y204" s="23">
        <f t="shared" si="11"/>
        <v>2.8170285144086642E-2</v>
      </c>
      <c r="Z204" s="7">
        <v>6258.9</v>
      </c>
      <c r="AA204" s="23">
        <f t="shared" si="12"/>
        <v>1.989657792998397E-2</v>
      </c>
      <c r="AB204" s="10">
        <v>630.79999999999995</v>
      </c>
      <c r="AC204" s="23">
        <f t="shared" si="13"/>
        <v>-2.4541832371021786E-3</v>
      </c>
      <c r="AD204" s="11">
        <v>12059.7</v>
      </c>
      <c r="AE204" s="23">
        <f t="shared" si="14"/>
        <v>1.4411330621584598E-2</v>
      </c>
    </row>
    <row r="205" spans="1:31" ht="13.8">
      <c r="A205" s="13">
        <v>45740</v>
      </c>
      <c r="B205" s="7">
        <v>1592.75</v>
      </c>
      <c r="C205" s="49">
        <f t="shared" si="0"/>
        <v>1.2557686890586026E-4</v>
      </c>
      <c r="D205" s="8">
        <v>511.45</v>
      </c>
      <c r="E205" s="49">
        <f t="shared" si="1"/>
        <v>7.8516450081892834E-3</v>
      </c>
      <c r="F205" s="7">
        <v>2372.15</v>
      </c>
      <c r="G205" s="49">
        <f t="shared" si="2"/>
        <v>-1.7923273913874379E-2</v>
      </c>
      <c r="H205" s="7">
        <v>1359.65</v>
      </c>
      <c r="I205" s="23">
        <f t="shared" si="3"/>
        <v>5.0184877366164567E-2</v>
      </c>
      <c r="J205" s="7">
        <v>1458.65</v>
      </c>
      <c r="K205" s="23">
        <f t="shared" si="4"/>
        <v>3.4453702446965613E-2</v>
      </c>
      <c r="L205" s="7">
        <v>12435.5</v>
      </c>
      <c r="M205" s="9">
        <f t="shared" si="5"/>
        <v>1.3108745104043945E-2</v>
      </c>
      <c r="N205" s="7">
        <v>14608.35</v>
      </c>
      <c r="O205" s="23">
        <f t="shared" si="6"/>
        <v>3.8487018578304569E-2</v>
      </c>
      <c r="P205" s="7">
        <v>5910.7</v>
      </c>
      <c r="Q205" s="23">
        <f t="shared" si="7"/>
        <v>1.9363351128947773E-2</v>
      </c>
      <c r="R205" s="7">
        <v>1604.15</v>
      </c>
      <c r="S205" s="23">
        <f t="shared" si="8"/>
        <v>2.362252486412662E-2</v>
      </c>
      <c r="T205" s="7">
        <v>7769.55</v>
      </c>
      <c r="U205" s="23">
        <f t="shared" si="9"/>
        <v>2.9323927730594869E-3</v>
      </c>
      <c r="V205" s="7">
        <v>2482.9499999999998</v>
      </c>
      <c r="W205" s="23">
        <f t="shared" si="10"/>
        <v>2.1576688383068889E-2</v>
      </c>
      <c r="X205" s="7">
        <v>2444.6999999999998</v>
      </c>
      <c r="Y205" s="23">
        <f t="shared" si="11"/>
        <v>1.2699432798492028E-2</v>
      </c>
      <c r="Z205" s="7">
        <v>6314.05</v>
      </c>
      <c r="AA205" s="23">
        <f t="shared" si="12"/>
        <v>8.7728581930025945E-3</v>
      </c>
      <c r="AB205" s="10">
        <v>632.9</v>
      </c>
      <c r="AC205" s="23">
        <f t="shared" si="13"/>
        <v>3.3235766923763606E-3</v>
      </c>
      <c r="AD205" s="11">
        <v>12255.15</v>
      </c>
      <c r="AE205" s="23">
        <f t="shared" si="14"/>
        <v>1.6076941439504142E-2</v>
      </c>
    </row>
    <row r="206" spans="1:31" ht="13.8">
      <c r="A206" s="13">
        <v>45741</v>
      </c>
      <c r="B206" s="7">
        <v>1628.45</v>
      </c>
      <c r="C206" s="49">
        <f t="shared" si="0"/>
        <v>2.2166560147327478E-2</v>
      </c>
      <c r="D206" s="8">
        <v>505.1</v>
      </c>
      <c r="E206" s="49">
        <f t="shared" si="1"/>
        <v>-1.2493399429009389E-2</v>
      </c>
      <c r="F206" s="7">
        <v>2398.0500000000002</v>
      </c>
      <c r="G206" s="49">
        <f t="shared" si="2"/>
        <v>1.0859190186788076E-2</v>
      </c>
      <c r="H206" s="7">
        <v>1315.6</v>
      </c>
      <c r="I206" s="23">
        <f t="shared" si="3"/>
        <v>-3.2934478353068647E-2</v>
      </c>
      <c r="J206" s="7">
        <v>1455.5</v>
      </c>
      <c r="K206" s="23">
        <f t="shared" si="4"/>
        <v>-2.1618662229721938E-3</v>
      </c>
      <c r="L206" s="7">
        <v>12521.5</v>
      </c>
      <c r="M206" s="9">
        <f t="shared" si="5"/>
        <v>6.8918812679618011E-3</v>
      </c>
      <c r="N206" s="7">
        <v>13624.5</v>
      </c>
      <c r="O206" s="23">
        <f t="shared" si="6"/>
        <v>-6.9723640411608903E-2</v>
      </c>
      <c r="P206" s="7">
        <v>5840.65</v>
      </c>
      <c r="Q206" s="23">
        <f t="shared" si="7"/>
        <v>-1.192217570410318E-2</v>
      </c>
      <c r="R206" s="7">
        <v>1624.9</v>
      </c>
      <c r="S206" s="23">
        <f t="shared" si="8"/>
        <v>1.285225414516271E-2</v>
      </c>
      <c r="T206" s="7">
        <v>7958.2</v>
      </c>
      <c r="U206" s="23">
        <f t="shared" si="9"/>
        <v>2.399059598713478E-2</v>
      </c>
      <c r="V206" s="7">
        <v>2534.4</v>
      </c>
      <c r="W206" s="23">
        <f t="shared" si="10"/>
        <v>2.0509553245822609E-2</v>
      </c>
      <c r="X206" s="7">
        <v>2421.5</v>
      </c>
      <c r="Y206" s="23">
        <f t="shared" si="11"/>
        <v>-9.535233150999944E-3</v>
      </c>
      <c r="Z206" s="7">
        <v>6230.6</v>
      </c>
      <c r="AA206" s="23">
        <f t="shared" si="12"/>
        <v>-1.3304672666581434E-2</v>
      </c>
      <c r="AB206" s="10">
        <v>624.79999999999995</v>
      </c>
      <c r="AC206" s="23">
        <f t="shared" si="13"/>
        <v>-1.2880833255783482E-2</v>
      </c>
      <c r="AD206" s="11">
        <v>12141.6</v>
      </c>
      <c r="AE206" s="23">
        <f t="shared" si="14"/>
        <v>-9.3086841435506117E-3</v>
      </c>
    </row>
    <row r="207" spans="1:31" ht="13.8">
      <c r="A207" s="13">
        <v>45742</v>
      </c>
      <c r="B207" s="7">
        <v>1599.45</v>
      </c>
      <c r="C207" s="49">
        <f t="shared" si="0"/>
        <v>-1.7968822011626924E-2</v>
      </c>
      <c r="D207" s="8">
        <v>492.45</v>
      </c>
      <c r="E207" s="49">
        <f t="shared" si="1"/>
        <v>-2.5363496858295555E-2</v>
      </c>
      <c r="F207" s="7">
        <v>2403.6999999999998</v>
      </c>
      <c r="G207" s="49">
        <f t="shared" si="2"/>
        <v>2.353309775605091E-3</v>
      </c>
      <c r="H207" s="7">
        <v>1326.75</v>
      </c>
      <c r="I207" s="23">
        <f t="shared" si="3"/>
        <v>8.4395073931024748E-3</v>
      </c>
      <c r="J207" s="7">
        <v>1416.3</v>
      </c>
      <c r="K207" s="23">
        <f t="shared" si="4"/>
        <v>-2.7301646965327168E-2</v>
      </c>
      <c r="L207" s="7">
        <v>12599.05</v>
      </c>
      <c r="M207" s="9">
        <f t="shared" si="5"/>
        <v>6.1742474873321173E-3</v>
      </c>
      <c r="N207" s="7">
        <v>13260.4</v>
      </c>
      <c r="O207" s="23">
        <f t="shared" si="6"/>
        <v>-2.70874924129876E-2</v>
      </c>
      <c r="P207" s="7">
        <v>5839.2</v>
      </c>
      <c r="Q207" s="23">
        <f t="shared" si="7"/>
        <v>-2.4829086117527266E-4</v>
      </c>
      <c r="R207" s="7">
        <v>1633.4</v>
      </c>
      <c r="S207" s="23">
        <f t="shared" si="8"/>
        <v>5.2174565154448141E-3</v>
      </c>
      <c r="T207" s="7">
        <v>8027.2</v>
      </c>
      <c r="U207" s="23">
        <f t="shared" si="9"/>
        <v>8.6329311162174367E-3</v>
      </c>
      <c r="V207" s="7">
        <v>2515.15</v>
      </c>
      <c r="W207" s="23">
        <f t="shared" si="10"/>
        <v>-7.6244787176720308E-3</v>
      </c>
      <c r="X207" s="7">
        <v>2429.1999999999998</v>
      </c>
      <c r="Y207" s="23">
        <f t="shared" si="11"/>
        <v>3.1748021801363919E-3</v>
      </c>
      <c r="Z207" s="7">
        <v>6157.15</v>
      </c>
      <c r="AA207" s="23">
        <f t="shared" si="12"/>
        <v>-1.1858628201698772E-2</v>
      </c>
      <c r="AB207" s="10">
        <v>639.75</v>
      </c>
      <c r="AC207" s="23">
        <f t="shared" si="13"/>
        <v>2.3645876514421967E-2</v>
      </c>
      <c r="AD207" s="11">
        <v>12172.85</v>
      </c>
      <c r="AE207" s="23">
        <f t="shared" si="14"/>
        <v>2.57048933509172E-3</v>
      </c>
    </row>
    <row r="208" spans="1:31" ht="13.8">
      <c r="A208" s="13">
        <v>45743</v>
      </c>
      <c r="B208" s="7">
        <v>1603.55</v>
      </c>
      <c r="C208" s="49">
        <f t="shared" si="0"/>
        <v>2.5601013046041804E-3</v>
      </c>
      <c r="D208" s="8">
        <v>490.4</v>
      </c>
      <c r="E208" s="49">
        <f t="shared" si="1"/>
        <v>-4.1715479937097875E-3</v>
      </c>
      <c r="F208" s="7">
        <v>2452.15</v>
      </c>
      <c r="G208" s="49">
        <f t="shared" si="2"/>
        <v>1.9955973881786337E-2</v>
      </c>
      <c r="H208" s="7">
        <v>1281.6500000000001</v>
      </c>
      <c r="I208" s="23">
        <f t="shared" si="3"/>
        <v>-3.4584032422091439E-2</v>
      </c>
      <c r="J208" s="7">
        <v>1423.9</v>
      </c>
      <c r="K208" s="23">
        <f t="shared" si="4"/>
        <v>5.3517485665983151E-3</v>
      </c>
      <c r="L208" s="7">
        <v>12462.55</v>
      </c>
      <c r="M208" s="9">
        <f t="shared" si="5"/>
        <v>-1.08932669735351E-2</v>
      </c>
      <c r="N208" s="7">
        <v>13510.8</v>
      </c>
      <c r="O208" s="23">
        <f t="shared" si="6"/>
        <v>1.8707215399694839E-2</v>
      </c>
      <c r="P208" s="7">
        <v>5872.65</v>
      </c>
      <c r="Q208" s="23">
        <f t="shared" si="7"/>
        <v>5.712178853597415E-3</v>
      </c>
      <c r="R208" s="7">
        <v>1630.15</v>
      </c>
      <c r="S208" s="23">
        <f t="shared" si="8"/>
        <v>-1.9916968174882115E-3</v>
      </c>
      <c r="T208" s="7">
        <v>8107.6</v>
      </c>
      <c r="U208" s="23">
        <f t="shared" si="9"/>
        <v>9.9661186338210143E-3</v>
      </c>
      <c r="V208" s="7">
        <v>2528.1999999999998</v>
      </c>
      <c r="W208" s="23">
        <f t="shared" si="10"/>
        <v>5.1751431590224143E-3</v>
      </c>
      <c r="X208" s="7">
        <v>2455.65</v>
      </c>
      <c r="Y208" s="23">
        <f t="shared" si="11"/>
        <v>1.0829506945040273E-2</v>
      </c>
      <c r="Z208" s="7">
        <v>6465</v>
      </c>
      <c r="AA208" s="23">
        <f t="shared" si="12"/>
        <v>4.8789004077297513E-2</v>
      </c>
      <c r="AB208" s="10">
        <v>649.04999999999995</v>
      </c>
      <c r="AC208" s="23">
        <f t="shared" si="13"/>
        <v>1.4432280299105186E-2</v>
      </c>
      <c r="AD208" s="11">
        <v>12947.95</v>
      </c>
      <c r="AE208" s="23">
        <f t="shared" si="14"/>
        <v>6.1729412457504178E-2</v>
      </c>
    </row>
    <row r="209" spans="1:31" ht="13.8">
      <c r="A209" s="13">
        <v>45744</v>
      </c>
      <c r="B209" s="7">
        <v>1570.65</v>
      </c>
      <c r="C209" s="49">
        <f t="shared" si="0"/>
        <v>-2.073037503532163E-2</v>
      </c>
      <c r="D209" s="8">
        <v>486.35</v>
      </c>
      <c r="E209" s="49">
        <f t="shared" si="1"/>
        <v>-8.2928553065522558E-3</v>
      </c>
      <c r="F209" s="7">
        <v>2424.75</v>
      </c>
      <c r="G209" s="49">
        <f t="shared" si="2"/>
        <v>-1.1236764462749942E-2</v>
      </c>
      <c r="H209" s="7">
        <v>1281.4000000000001</v>
      </c>
      <c r="I209" s="23">
        <f t="shared" si="3"/>
        <v>-1.9508008099165965E-4</v>
      </c>
      <c r="J209" s="7">
        <v>1418.25</v>
      </c>
      <c r="K209" s="23">
        <f t="shared" si="4"/>
        <v>-3.97586858027242E-3</v>
      </c>
      <c r="L209" s="7">
        <v>12473.05</v>
      </c>
      <c r="M209" s="9">
        <f t="shared" si="5"/>
        <v>8.4216947822338237E-4</v>
      </c>
      <c r="N209" s="7">
        <v>13179.5</v>
      </c>
      <c r="O209" s="23">
        <f t="shared" si="6"/>
        <v>-2.482677352725661E-2</v>
      </c>
      <c r="P209" s="7">
        <v>5775.45</v>
      </c>
      <c r="Q209" s="23">
        <f t="shared" si="7"/>
        <v>-1.6689804558870969E-2</v>
      </c>
      <c r="R209" s="7">
        <v>1592.5</v>
      </c>
      <c r="S209" s="23">
        <f t="shared" si="8"/>
        <v>-2.3366926660368725E-2</v>
      </c>
      <c r="T209" s="7">
        <v>8109.2</v>
      </c>
      <c r="U209" s="23">
        <f t="shared" si="9"/>
        <v>1.9732623022938563E-4</v>
      </c>
      <c r="V209" s="7">
        <v>2500.1999999999998</v>
      </c>
      <c r="W209" s="23">
        <f t="shared" si="10"/>
        <v>-1.1136858404994508E-2</v>
      </c>
      <c r="X209" s="7">
        <v>2419.85</v>
      </c>
      <c r="Y209" s="23">
        <f t="shared" si="11"/>
        <v>-1.4685937209857485E-2</v>
      </c>
      <c r="Z209" s="7">
        <v>6769.2</v>
      </c>
      <c r="AA209" s="23">
        <f t="shared" si="12"/>
        <v>4.5979899327972869E-2</v>
      </c>
      <c r="AB209" s="10">
        <v>651.65</v>
      </c>
      <c r="AC209" s="23">
        <f t="shared" si="13"/>
        <v>3.997852637725347E-3</v>
      </c>
      <c r="AD209" s="11">
        <v>12653.65</v>
      </c>
      <c r="AE209" s="23">
        <f t="shared" si="14"/>
        <v>-2.2991763352311706E-2</v>
      </c>
    </row>
    <row r="210" spans="1:31" ht="13.8">
      <c r="A210" s="12">
        <v>45748</v>
      </c>
      <c r="B210" s="7">
        <v>1526.5</v>
      </c>
      <c r="C210" s="49">
        <f t="shared" si="0"/>
        <v>-2.8512013226648262E-2</v>
      </c>
      <c r="D210" s="8">
        <v>482.75</v>
      </c>
      <c r="E210" s="49">
        <f t="shared" si="1"/>
        <v>-7.4296080068256007E-3</v>
      </c>
      <c r="F210" s="7">
        <v>2458.1</v>
      </c>
      <c r="G210" s="49">
        <f t="shared" si="2"/>
        <v>1.3660267507283603E-2</v>
      </c>
      <c r="H210" s="7">
        <v>1245.1500000000001</v>
      </c>
      <c r="I210" s="23">
        <f t="shared" si="3"/>
        <v>-2.8697225635766901E-2</v>
      </c>
      <c r="J210" s="7">
        <v>1395.15</v>
      </c>
      <c r="K210" s="23">
        <f t="shared" si="4"/>
        <v>-1.6421780850090797E-2</v>
      </c>
      <c r="L210" s="7">
        <v>11911.45</v>
      </c>
      <c r="M210" s="9">
        <f t="shared" si="5"/>
        <v>-4.6070194405956527E-2</v>
      </c>
      <c r="N210" s="7">
        <v>12923.9</v>
      </c>
      <c r="O210" s="23">
        <f t="shared" si="6"/>
        <v>-1.9584281697931052E-2</v>
      </c>
      <c r="P210" s="7">
        <v>5549.7</v>
      </c>
      <c r="Q210" s="23">
        <f t="shared" si="7"/>
        <v>-3.9872303206695867E-2</v>
      </c>
      <c r="R210" s="7">
        <v>1530.35</v>
      </c>
      <c r="S210" s="23">
        <f t="shared" si="8"/>
        <v>-3.9808641051063194E-2</v>
      </c>
      <c r="T210" s="7">
        <v>7780.8</v>
      </c>
      <c r="U210" s="23">
        <f t="shared" si="9"/>
        <v>-4.1340058944517352E-2</v>
      </c>
      <c r="V210" s="7">
        <v>2446.75</v>
      </c>
      <c r="W210" s="23">
        <f t="shared" si="10"/>
        <v>-2.161011535053382E-2</v>
      </c>
      <c r="X210" s="7">
        <v>2440.85</v>
      </c>
      <c r="Y210" s="23">
        <f t="shared" si="11"/>
        <v>8.6407845208970983E-3</v>
      </c>
      <c r="Z210" s="7">
        <v>7107.65</v>
      </c>
      <c r="AA210" s="23">
        <f t="shared" si="12"/>
        <v>4.8788757235640093E-2</v>
      </c>
      <c r="AB210" s="10">
        <v>647.54999999999995</v>
      </c>
      <c r="AC210" s="23">
        <f t="shared" si="13"/>
        <v>-6.3115973071326444E-3</v>
      </c>
      <c r="AD210" s="11">
        <v>12280.55</v>
      </c>
      <c r="AE210" s="23">
        <f t="shared" si="14"/>
        <v>-2.9929001114336003E-2</v>
      </c>
    </row>
    <row r="211" spans="1:31" ht="13.8">
      <c r="A211" s="12">
        <v>45749</v>
      </c>
      <c r="B211" s="7">
        <v>1550.15</v>
      </c>
      <c r="C211" s="49">
        <f t="shared" si="0"/>
        <v>1.537416724958795E-2</v>
      </c>
      <c r="D211" s="8">
        <v>483.15</v>
      </c>
      <c r="E211" s="49">
        <f t="shared" si="1"/>
        <v>8.2824313669358971E-4</v>
      </c>
      <c r="F211" s="7">
        <v>2421.9</v>
      </c>
      <c r="G211" s="49">
        <f t="shared" si="2"/>
        <v>-1.4836337711856206E-2</v>
      </c>
      <c r="H211" s="7">
        <v>1293.55</v>
      </c>
      <c r="I211" s="23">
        <f t="shared" si="3"/>
        <v>3.813437212237554E-2</v>
      </c>
      <c r="J211" s="7">
        <v>1423.05</v>
      </c>
      <c r="K211" s="23">
        <f t="shared" si="4"/>
        <v>1.9800519150409847E-2</v>
      </c>
      <c r="L211" s="7">
        <v>11515.1</v>
      </c>
      <c r="M211" s="9">
        <f t="shared" si="5"/>
        <v>-3.3840904828549762E-2</v>
      </c>
      <c r="N211" s="7">
        <v>13450.7</v>
      </c>
      <c r="O211" s="23">
        <f t="shared" si="6"/>
        <v>3.9952838913479539E-2</v>
      </c>
      <c r="P211" s="7">
        <v>5666</v>
      </c>
      <c r="Q211" s="23">
        <f t="shared" si="7"/>
        <v>2.0739529165008791E-2</v>
      </c>
      <c r="R211" s="7">
        <v>1527.55</v>
      </c>
      <c r="S211" s="23">
        <f t="shared" si="8"/>
        <v>-1.8313226610026047E-3</v>
      </c>
      <c r="T211" s="7">
        <v>7761.55</v>
      </c>
      <c r="U211" s="23">
        <f t="shared" si="9"/>
        <v>-2.4771041500465732E-3</v>
      </c>
      <c r="V211" s="7">
        <v>2474.4</v>
      </c>
      <c r="W211" s="23">
        <f t="shared" si="10"/>
        <v>1.1237329064931077E-2</v>
      </c>
      <c r="X211" s="7">
        <v>2496.1</v>
      </c>
      <c r="Y211" s="23">
        <f t="shared" si="11"/>
        <v>2.2383174509837449E-2</v>
      </c>
      <c r="Z211" s="7">
        <v>7173.5</v>
      </c>
      <c r="AA211" s="23">
        <f t="shared" si="12"/>
        <v>9.2220117688736995E-3</v>
      </c>
      <c r="AB211" s="10">
        <v>656.45</v>
      </c>
      <c r="AC211" s="23">
        <f t="shared" si="13"/>
        <v>1.3650518710523269E-2</v>
      </c>
      <c r="AD211" s="11">
        <v>12433.7</v>
      </c>
      <c r="AE211" s="23">
        <f t="shared" si="14"/>
        <v>1.239381817379525E-2</v>
      </c>
    </row>
    <row r="212" spans="1:31" ht="13.8">
      <c r="A212" s="12">
        <v>45750</v>
      </c>
      <c r="B212" s="7">
        <v>1496.5</v>
      </c>
      <c r="C212" s="49">
        <f t="shared" si="0"/>
        <v>-3.5222652131766993E-2</v>
      </c>
      <c r="D212" s="8">
        <v>491.2</v>
      </c>
      <c r="E212" s="49">
        <f t="shared" si="1"/>
        <v>1.6524212387615252E-2</v>
      </c>
      <c r="F212" s="7">
        <v>2427.6999999999998</v>
      </c>
      <c r="G212" s="49">
        <f t="shared" si="2"/>
        <v>2.391950991981728E-3</v>
      </c>
      <c r="H212" s="7">
        <v>1343.5</v>
      </c>
      <c r="I212" s="23">
        <f t="shared" si="3"/>
        <v>3.7887772364016019E-2</v>
      </c>
      <c r="J212" s="7">
        <v>1369.35</v>
      </c>
      <c r="K212" s="23">
        <f t="shared" si="4"/>
        <v>-3.8466280827796052E-2</v>
      </c>
      <c r="L212" s="7">
        <v>11499.85</v>
      </c>
      <c r="M212" s="9">
        <f t="shared" si="5"/>
        <v>-1.325225753857149E-3</v>
      </c>
      <c r="N212" s="7">
        <v>13487.95</v>
      </c>
      <c r="O212" s="23">
        <f t="shared" si="6"/>
        <v>2.7655449505751524E-3</v>
      </c>
      <c r="P212" s="7">
        <v>5763</v>
      </c>
      <c r="Q212" s="23">
        <f t="shared" si="7"/>
        <v>1.6974771046204411E-2</v>
      </c>
      <c r="R212" s="7">
        <v>1470.1</v>
      </c>
      <c r="S212" s="23">
        <f t="shared" si="8"/>
        <v>-3.8334719064332175E-2</v>
      </c>
      <c r="T212" s="7">
        <v>7157.4</v>
      </c>
      <c r="U212" s="23">
        <f t="shared" si="9"/>
        <v>-8.1035269983519773E-2</v>
      </c>
      <c r="V212" s="7">
        <v>2374.0500000000002</v>
      </c>
      <c r="W212" s="23">
        <f t="shared" si="10"/>
        <v>-4.1400584923457946E-2</v>
      </c>
      <c r="X212" s="7">
        <v>2476.0500000000002</v>
      </c>
      <c r="Y212" s="23">
        <f t="shared" si="11"/>
        <v>-8.064965327677873E-3</v>
      </c>
      <c r="Z212" s="7">
        <v>7030.95</v>
      </c>
      <c r="AA212" s="23">
        <f t="shared" si="12"/>
        <v>-2.0071848728528852E-2</v>
      </c>
      <c r="AB212" s="10">
        <v>660.95</v>
      </c>
      <c r="AC212" s="23">
        <f t="shared" si="13"/>
        <v>6.8316646452892893E-3</v>
      </c>
      <c r="AD212" s="11">
        <v>12406</v>
      </c>
      <c r="AE212" s="23">
        <f t="shared" si="14"/>
        <v>-2.2303016125167583E-3</v>
      </c>
    </row>
    <row r="213" spans="1:31" ht="13.8">
      <c r="A213" s="12">
        <v>45751</v>
      </c>
      <c r="B213" s="7">
        <v>1451.65</v>
      </c>
      <c r="C213" s="49">
        <f t="shared" si="0"/>
        <v>-3.0428207796425147E-2</v>
      </c>
      <c r="D213" s="8">
        <v>456.75</v>
      </c>
      <c r="E213" s="49">
        <f t="shared" si="1"/>
        <v>-7.2715181574816601E-2</v>
      </c>
      <c r="F213" s="7">
        <v>2451.1999999999998</v>
      </c>
      <c r="G213" s="49">
        <f t="shared" si="2"/>
        <v>9.6333934852109188E-3</v>
      </c>
      <c r="H213" s="7">
        <v>1337.85</v>
      </c>
      <c r="I213" s="23">
        <f t="shared" si="3"/>
        <v>-4.2143012752198783E-3</v>
      </c>
      <c r="J213" s="7">
        <v>1320.95</v>
      </c>
      <c r="K213" s="23">
        <f t="shared" si="4"/>
        <v>-3.5984999986757991E-2</v>
      </c>
      <c r="L213" s="7">
        <v>11506.9</v>
      </c>
      <c r="M213" s="9">
        <f t="shared" si="5"/>
        <v>6.1286363529528378E-4</v>
      </c>
      <c r="N213" s="7">
        <v>13137.55</v>
      </c>
      <c r="O213" s="23">
        <f t="shared" si="6"/>
        <v>-2.6322152158844276E-2</v>
      </c>
      <c r="P213" s="7">
        <v>5482.85</v>
      </c>
      <c r="Q213" s="23">
        <f t="shared" si="7"/>
        <v>-4.9833133692992401E-2</v>
      </c>
      <c r="R213" s="7">
        <v>1422.1</v>
      </c>
      <c r="S213" s="23">
        <f t="shared" si="8"/>
        <v>-3.3195773291269909E-2</v>
      </c>
      <c r="T213" s="7">
        <v>6607.9</v>
      </c>
      <c r="U213" s="23">
        <f t="shared" si="9"/>
        <v>-7.9880883601561564E-2</v>
      </c>
      <c r="V213" s="7">
        <v>2229.1999999999998</v>
      </c>
      <c r="W213" s="23">
        <f t="shared" si="10"/>
        <v>-6.2954580752020747E-2</v>
      </c>
      <c r="X213" s="7">
        <v>2464.9499999999998</v>
      </c>
      <c r="Y213" s="23">
        <f t="shared" si="11"/>
        <v>-4.4930251662511564E-3</v>
      </c>
      <c r="Z213" s="7">
        <v>6679.4</v>
      </c>
      <c r="AA213" s="23">
        <f t="shared" si="12"/>
        <v>-5.1293668672595917E-2</v>
      </c>
      <c r="AB213" s="10">
        <v>677.3</v>
      </c>
      <c r="AC213" s="23">
        <f t="shared" si="13"/>
        <v>2.4436112195449063E-2</v>
      </c>
      <c r="AD213" s="11">
        <v>12120.05</v>
      </c>
      <c r="AE213" s="23">
        <f t="shared" si="14"/>
        <v>-2.3319120505725672E-2</v>
      </c>
    </row>
    <row r="214" spans="1:31" ht="13.8">
      <c r="A214" s="12">
        <v>45754</v>
      </c>
      <c r="B214" s="7">
        <v>1396.75</v>
      </c>
      <c r="C214" s="49">
        <f t="shared" si="0"/>
        <v>-3.8552731157070398E-2</v>
      </c>
      <c r="D214" s="8">
        <v>436.9</v>
      </c>
      <c r="E214" s="49">
        <f t="shared" si="1"/>
        <v>-4.44318593007259E-2</v>
      </c>
      <c r="F214" s="7">
        <v>2383.4499999999998</v>
      </c>
      <c r="G214" s="49">
        <f t="shared" si="2"/>
        <v>-2.8028682675440921E-2</v>
      </c>
      <c r="H214" s="7">
        <v>1255.45</v>
      </c>
      <c r="I214" s="23">
        <f t="shared" si="3"/>
        <v>-6.3569773746721112E-2</v>
      </c>
      <c r="J214" s="7">
        <v>1288</v>
      </c>
      <c r="K214" s="23">
        <f t="shared" si="4"/>
        <v>-2.5260547028142441E-2</v>
      </c>
      <c r="L214" s="7">
        <v>10779.6</v>
      </c>
      <c r="M214" s="9">
        <f t="shared" si="5"/>
        <v>-6.5291396400147778E-2</v>
      </c>
      <c r="N214" s="7">
        <v>12556.05</v>
      </c>
      <c r="O214" s="23">
        <f t="shared" si="6"/>
        <v>-4.5271920963268882E-2</v>
      </c>
      <c r="P214" s="7">
        <v>5258.95</v>
      </c>
      <c r="Q214" s="23">
        <f t="shared" si="7"/>
        <v>-4.169365171046012E-2</v>
      </c>
      <c r="R214" s="7">
        <v>1374.1</v>
      </c>
      <c r="S214" s="23">
        <f t="shared" si="8"/>
        <v>-3.4335681040921974E-2</v>
      </c>
      <c r="T214" s="7">
        <v>6340.7</v>
      </c>
      <c r="U214" s="23">
        <f t="shared" si="9"/>
        <v>-4.1276730483230578E-2</v>
      </c>
      <c r="V214" s="7">
        <v>2102.1999999999998</v>
      </c>
      <c r="W214" s="23">
        <f t="shared" si="10"/>
        <v>-5.8658361306127255E-2</v>
      </c>
      <c r="X214" s="7">
        <v>2368.15</v>
      </c>
      <c r="Y214" s="23">
        <f t="shared" si="11"/>
        <v>-4.0062463703101694E-2</v>
      </c>
      <c r="Z214" s="7">
        <v>6345.45</v>
      </c>
      <c r="AA214" s="23">
        <f t="shared" si="12"/>
        <v>-5.1290142517861369E-2</v>
      </c>
      <c r="AB214" s="10">
        <v>662.65</v>
      </c>
      <c r="AC214" s="23">
        <f t="shared" si="13"/>
        <v>-2.1867358894170179E-2</v>
      </c>
      <c r="AD214" s="11">
        <v>11520.85</v>
      </c>
      <c r="AE214" s="23">
        <f t="shared" si="14"/>
        <v>-5.0702668777191373E-2</v>
      </c>
    </row>
    <row r="215" spans="1:31" ht="13.8">
      <c r="A215" s="12">
        <v>45755</v>
      </c>
      <c r="B215" s="7">
        <v>1428.8</v>
      </c>
      <c r="C215" s="49">
        <f t="shared" si="0"/>
        <v>2.2686821782976499E-2</v>
      </c>
      <c r="D215" s="8">
        <v>444.35</v>
      </c>
      <c r="E215" s="49">
        <f t="shared" si="1"/>
        <v>1.6908204227094176E-2</v>
      </c>
      <c r="F215" s="7">
        <v>2347.5</v>
      </c>
      <c r="G215" s="49">
        <f t="shared" si="2"/>
        <v>-1.5198085788413121E-2</v>
      </c>
      <c r="H215" s="7">
        <v>1287.5</v>
      </c>
      <c r="I215" s="23">
        <f t="shared" si="3"/>
        <v>2.5208279504286359E-2</v>
      </c>
      <c r="J215" s="7">
        <v>1314.4</v>
      </c>
      <c r="K215" s="23">
        <f t="shared" si="4"/>
        <v>2.0289660058759471E-2</v>
      </c>
      <c r="L215" s="7">
        <v>10811.75</v>
      </c>
      <c r="M215" s="9">
        <f t="shared" si="5"/>
        <v>2.9780466493190129E-3</v>
      </c>
      <c r="N215" s="7">
        <v>12991.8</v>
      </c>
      <c r="O215" s="23">
        <f t="shared" si="6"/>
        <v>3.4115768080460213E-2</v>
      </c>
      <c r="P215" s="7">
        <v>5387.3</v>
      </c>
      <c r="Q215" s="23">
        <f t="shared" si="7"/>
        <v>2.4112944719877426E-2</v>
      </c>
      <c r="R215" s="7">
        <v>1403.35</v>
      </c>
      <c r="S215" s="23">
        <f t="shared" si="8"/>
        <v>2.1063264084624469E-2</v>
      </c>
      <c r="T215" s="7">
        <v>6472.6</v>
      </c>
      <c r="U215" s="23">
        <f t="shared" si="9"/>
        <v>2.0588710055867553E-2</v>
      </c>
      <c r="V215" s="7">
        <v>2168.9</v>
      </c>
      <c r="W215" s="23">
        <f t="shared" si="10"/>
        <v>3.1235711179307669E-2</v>
      </c>
      <c r="X215" s="7">
        <v>2437.65</v>
      </c>
      <c r="Y215" s="23">
        <f t="shared" si="11"/>
        <v>2.8925400847820394E-2</v>
      </c>
      <c r="Z215" s="7">
        <v>6662.7</v>
      </c>
      <c r="AA215" s="23">
        <f t="shared" si="12"/>
        <v>4.8786787165813542E-2</v>
      </c>
      <c r="AB215" s="10">
        <v>678.1</v>
      </c>
      <c r="AC215" s="23">
        <f t="shared" si="13"/>
        <v>2.3047822363108747E-2</v>
      </c>
      <c r="AD215" s="11">
        <v>11666.1</v>
      </c>
      <c r="AE215" s="23">
        <f t="shared" si="14"/>
        <v>1.2528762945093867E-2</v>
      </c>
    </row>
    <row r="216" spans="1:31" ht="13.8">
      <c r="A216" s="12">
        <v>45756</v>
      </c>
      <c r="B216" s="7">
        <v>1403.7</v>
      </c>
      <c r="C216" s="49">
        <f t="shared" si="0"/>
        <v>-1.7723323581954265E-2</v>
      </c>
      <c r="D216" s="8">
        <v>431.1</v>
      </c>
      <c r="E216" s="49">
        <f t="shared" si="1"/>
        <v>-3.0272458431395293E-2</v>
      </c>
      <c r="F216" s="7">
        <v>2313.9499999999998</v>
      </c>
      <c r="G216" s="49">
        <f t="shared" si="2"/>
        <v>-1.4394911168121149E-2</v>
      </c>
      <c r="H216" s="7">
        <v>1285.8</v>
      </c>
      <c r="I216" s="23">
        <f t="shared" si="3"/>
        <v>-1.3212608303049579E-3</v>
      </c>
      <c r="J216" s="7">
        <v>1272.75</v>
      </c>
      <c r="K216" s="23">
        <f t="shared" si="4"/>
        <v>-3.2200373940612988E-2</v>
      </c>
      <c r="L216" s="7">
        <v>11092.3</v>
      </c>
      <c r="M216" s="9">
        <f t="shared" si="5"/>
        <v>2.561766821745223E-2</v>
      </c>
      <c r="N216" s="7">
        <v>13282.45</v>
      </c>
      <c r="O216" s="23">
        <f t="shared" si="6"/>
        <v>2.2125225772123665E-2</v>
      </c>
      <c r="P216" s="7">
        <v>5386.15</v>
      </c>
      <c r="Q216" s="23">
        <f t="shared" si="7"/>
        <v>-2.1348778791723173E-4</v>
      </c>
      <c r="R216" s="7">
        <v>1380</v>
      </c>
      <c r="S216" s="23">
        <f t="shared" si="8"/>
        <v>-1.6778736271102629E-2</v>
      </c>
      <c r="T216" s="7">
        <v>6323.65</v>
      </c>
      <c r="U216" s="23">
        <f t="shared" si="9"/>
        <v>-2.3281309407776056E-2</v>
      </c>
      <c r="V216" s="7">
        <v>2117.6</v>
      </c>
      <c r="W216" s="23">
        <f t="shared" si="10"/>
        <v>-2.3936754655670047E-2</v>
      </c>
      <c r="X216" s="7">
        <v>2475.25</v>
      </c>
      <c r="Y216" s="23">
        <f t="shared" si="11"/>
        <v>1.5306940562496671E-2</v>
      </c>
      <c r="Z216" s="7">
        <v>6921.55</v>
      </c>
      <c r="AA216" s="23">
        <f t="shared" si="12"/>
        <v>3.8114925184084339E-2</v>
      </c>
      <c r="AB216" s="10">
        <v>693.45</v>
      </c>
      <c r="AC216" s="23">
        <f t="shared" si="13"/>
        <v>2.2384369412547692E-2</v>
      </c>
      <c r="AD216" s="11">
        <v>11353.45</v>
      </c>
      <c r="AE216" s="23">
        <f t="shared" si="14"/>
        <v>-2.7165537715909099E-2</v>
      </c>
    </row>
    <row r="217" spans="1:31" ht="13.8">
      <c r="A217" s="13">
        <v>45758</v>
      </c>
      <c r="B217" s="7">
        <v>1409.45</v>
      </c>
      <c r="C217" s="49">
        <f t="shared" si="0"/>
        <v>4.0879498124961966E-3</v>
      </c>
      <c r="D217" s="8">
        <v>451.3</v>
      </c>
      <c r="E217" s="49">
        <f t="shared" si="1"/>
        <v>4.5792225079866515E-2</v>
      </c>
      <c r="F217" s="7">
        <v>2350.5</v>
      </c>
      <c r="G217" s="49">
        <f t="shared" si="2"/>
        <v>1.567205054988834E-2</v>
      </c>
      <c r="H217" s="7">
        <v>1325.1</v>
      </c>
      <c r="I217" s="23">
        <f t="shared" si="3"/>
        <v>3.0106835563004121E-2</v>
      </c>
      <c r="J217" s="7">
        <v>1282.25</v>
      </c>
      <c r="K217" s="23">
        <f t="shared" si="4"/>
        <v>7.4364334869325387E-3</v>
      </c>
      <c r="L217" s="7">
        <v>11282.15</v>
      </c>
      <c r="M217" s="9">
        <f t="shared" si="5"/>
        <v>1.6970656836583893E-2</v>
      </c>
      <c r="N217" s="7">
        <v>14301.9</v>
      </c>
      <c r="O217" s="23">
        <f t="shared" si="6"/>
        <v>7.39487805883874E-2</v>
      </c>
      <c r="P217" s="7">
        <v>5589.3</v>
      </c>
      <c r="Q217" s="23">
        <f t="shared" si="7"/>
        <v>3.7023211729243943E-2</v>
      </c>
      <c r="R217" s="7">
        <v>1390.55</v>
      </c>
      <c r="S217" s="23">
        <f t="shared" si="8"/>
        <v>7.6158531646708001E-3</v>
      </c>
      <c r="T217" s="7">
        <v>6316.65</v>
      </c>
      <c r="U217" s="23">
        <f t="shared" si="9"/>
        <v>-1.1075687627002937E-3</v>
      </c>
      <c r="V217" s="7">
        <v>2160.5500000000002</v>
      </c>
      <c r="W217" s="23">
        <f t="shared" si="10"/>
        <v>2.007944698232686E-2</v>
      </c>
      <c r="X217" s="7">
        <v>2513.3000000000002</v>
      </c>
      <c r="Y217" s="23">
        <f t="shared" si="11"/>
        <v>1.5255229643849533E-2</v>
      </c>
      <c r="Z217" s="7">
        <v>7037.1</v>
      </c>
      <c r="AA217" s="23">
        <f t="shared" si="12"/>
        <v>1.6556420497331345E-2</v>
      </c>
      <c r="AB217" s="10">
        <v>709.95</v>
      </c>
      <c r="AC217" s="23">
        <f t="shared" si="13"/>
        <v>2.3515405918022484E-2</v>
      </c>
      <c r="AD217" s="11">
        <v>11979.3</v>
      </c>
      <c r="AE217" s="23">
        <f t="shared" si="14"/>
        <v>5.365849776510577E-2</v>
      </c>
    </row>
    <row r="218" spans="1:31" ht="13.8">
      <c r="A218" s="13">
        <v>45762</v>
      </c>
      <c r="B218" s="7">
        <v>1426</v>
      </c>
      <c r="C218" s="49">
        <f t="shared" si="0"/>
        <v>1.1673764621464631E-2</v>
      </c>
      <c r="D218" s="8">
        <v>464.4</v>
      </c>
      <c r="E218" s="49">
        <f t="shared" si="1"/>
        <v>2.8613942990780943E-2</v>
      </c>
      <c r="F218" s="7">
        <v>2426.1</v>
      </c>
      <c r="G218" s="49">
        <f t="shared" si="2"/>
        <v>3.1656958305700852E-2</v>
      </c>
      <c r="H218" s="7">
        <v>1404.9</v>
      </c>
      <c r="I218" s="23">
        <f t="shared" si="3"/>
        <v>5.8478197587015356E-2</v>
      </c>
      <c r="J218" s="7">
        <v>1301.7</v>
      </c>
      <c r="K218" s="23">
        <f t="shared" si="4"/>
        <v>1.5054755203037014E-2</v>
      </c>
      <c r="L218" s="7">
        <v>11826</v>
      </c>
      <c r="M218" s="9">
        <f t="shared" si="5"/>
        <v>4.7078666654258812E-2</v>
      </c>
      <c r="N218" s="7">
        <v>14931</v>
      </c>
      <c r="O218" s="23">
        <f t="shared" si="6"/>
        <v>4.3047192971853804E-2</v>
      </c>
      <c r="P218" s="7">
        <v>5734.5</v>
      </c>
      <c r="Q218" s="23">
        <f t="shared" si="7"/>
        <v>2.5646507110159318E-2</v>
      </c>
      <c r="R218" s="7">
        <v>1426.5</v>
      </c>
      <c r="S218" s="23">
        <f t="shared" si="8"/>
        <v>2.552453933763351E-2</v>
      </c>
      <c r="T218" s="7">
        <v>6466</v>
      </c>
      <c r="U218" s="23">
        <f t="shared" si="9"/>
        <v>2.336867496882401E-2</v>
      </c>
      <c r="V218" s="7">
        <v>2269.6999999999998</v>
      </c>
      <c r="W218" s="23">
        <f t="shared" si="10"/>
        <v>4.928484525620571E-2</v>
      </c>
      <c r="X218" s="7">
        <v>2586.5</v>
      </c>
      <c r="Y218" s="23">
        <f t="shared" si="11"/>
        <v>2.8708979797096187E-2</v>
      </c>
      <c r="Z218" s="7">
        <v>7312</v>
      </c>
      <c r="AA218" s="23">
        <f t="shared" si="12"/>
        <v>3.8320680667298254E-2</v>
      </c>
      <c r="AB218" s="10">
        <v>711.85</v>
      </c>
      <c r="AC218" s="23">
        <f t="shared" si="13"/>
        <v>2.6726700393881488E-3</v>
      </c>
      <c r="AD218" s="11">
        <v>12574</v>
      </c>
      <c r="AE218" s="23">
        <f t="shared" si="14"/>
        <v>4.8451029698570042E-2</v>
      </c>
    </row>
    <row r="219" spans="1:31" ht="13.8">
      <c r="A219" s="13">
        <v>45763</v>
      </c>
      <c r="B219" s="7">
        <v>1413.1</v>
      </c>
      <c r="C219" s="49">
        <f t="shared" si="0"/>
        <v>-9.0874493855407634E-3</v>
      </c>
      <c r="D219" s="8">
        <v>463.05</v>
      </c>
      <c r="E219" s="49">
        <f t="shared" si="1"/>
        <v>-2.91121020745833E-3</v>
      </c>
      <c r="F219" s="7">
        <v>2520</v>
      </c>
      <c r="G219" s="49">
        <f t="shared" si="2"/>
        <v>3.7973871735582906E-2</v>
      </c>
      <c r="H219" s="7">
        <v>1399.3</v>
      </c>
      <c r="I219" s="23">
        <f t="shared" si="3"/>
        <v>-3.9940142959381765E-3</v>
      </c>
      <c r="J219" s="7">
        <v>1308.7</v>
      </c>
      <c r="K219" s="23">
        <f t="shared" si="4"/>
        <v>5.3631755890203069E-3</v>
      </c>
      <c r="L219" s="7">
        <v>11585</v>
      </c>
      <c r="M219" s="9">
        <f t="shared" si="5"/>
        <v>-2.058933951429865E-2</v>
      </c>
      <c r="N219" s="7">
        <v>15252</v>
      </c>
      <c r="O219" s="23">
        <f t="shared" si="6"/>
        <v>2.1271053450790438E-2</v>
      </c>
      <c r="P219" s="7">
        <v>5754</v>
      </c>
      <c r="Q219" s="23">
        <f t="shared" si="7"/>
        <v>3.3947023069161157E-3</v>
      </c>
      <c r="R219" s="7">
        <v>1431.7</v>
      </c>
      <c r="S219" s="23">
        <f t="shared" si="8"/>
        <v>3.6386577127271191E-3</v>
      </c>
      <c r="T219" s="7">
        <v>6408</v>
      </c>
      <c r="U219" s="23">
        <f t="shared" si="9"/>
        <v>-9.0104695371832164E-3</v>
      </c>
      <c r="V219" s="7">
        <v>2267.1</v>
      </c>
      <c r="W219" s="23">
        <f t="shared" si="10"/>
        <v>-1.1461824566400452E-3</v>
      </c>
      <c r="X219" s="7">
        <v>2614.1999999999998</v>
      </c>
      <c r="Y219" s="23">
        <f t="shared" si="11"/>
        <v>1.0652512907881561E-2</v>
      </c>
      <c r="Z219" s="7">
        <v>7344.5</v>
      </c>
      <c r="AA219" s="23">
        <f t="shared" si="12"/>
        <v>4.434899637483572E-3</v>
      </c>
      <c r="AB219" s="10">
        <v>720.45</v>
      </c>
      <c r="AC219" s="23">
        <f t="shared" si="13"/>
        <v>1.2008801719188261E-2</v>
      </c>
      <c r="AD219" s="11">
        <v>12695</v>
      </c>
      <c r="AE219" s="23">
        <f t="shared" si="14"/>
        <v>9.5770251957723682E-3</v>
      </c>
    </row>
    <row r="220" spans="1:31" ht="13.8">
      <c r="A220" s="13">
        <v>45764</v>
      </c>
      <c r="B220" s="7">
        <v>1419.5</v>
      </c>
      <c r="C220" s="49">
        <f t="shared" si="0"/>
        <v>4.5188243243254409E-3</v>
      </c>
      <c r="D220" s="8">
        <v>467.5</v>
      </c>
      <c r="E220" s="49">
        <f t="shared" si="1"/>
        <v>9.5643091124637709E-3</v>
      </c>
      <c r="F220" s="7">
        <v>2581.6</v>
      </c>
      <c r="G220" s="49">
        <f t="shared" si="2"/>
        <v>2.4150460232283122E-2</v>
      </c>
      <c r="H220" s="7">
        <v>1393.2</v>
      </c>
      <c r="I220" s="23">
        <f t="shared" si="3"/>
        <v>-4.3688520698214892E-3</v>
      </c>
      <c r="J220" s="7">
        <v>1306.8</v>
      </c>
      <c r="K220" s="23">
        <f t="shared" si="4"/>
        <v>-1.4528773345199363E-3</v>
      </c>
      <c r="L220" s="7">
        <v>11955</v>
      </c>
      <c r="M220" s="9">
        <f t="shared" si="5"/>
        <v>3.1438443025948511E-2</v>
      </c>
      <c r="N220" s="7">
        <v>15323</v>
      </c>
      <c r="O220" s="23">
        <f t="shared" si="6"/>
        <v>4.6443256007218693E-3</v>
      </c>
      <c r="P220" s="7">
        <v>5640</v>
      </c>
      <c r="Q220" s="23">
        <f t="shared" si="7"/>
        <v>-2.0011199619388617E-2</v>
      </c>
      <c r="R220" s="7">
        <v>1438</v>
      </c>
      <c r="S220" s="23">
        <f t="shared" si="8"/>
        <v>4.3907099147101137E-3</v>
      </c>
      <c r="T220" s="7">
        <v>6600</v>
      </c>
      <c r="U220" s="23">
        <f t="shared" si="9"/>
        <v>2.9522439266321834E-2</v>
      </c>
      <c r="V220" s="7">
        <v>2273.6999999999998</v>
      </c>
      <c r="W220" s="23">
        <f t="shared" si="10"/>
        <v>2.9069787913090896E-3</v>
      </c>
      <c r="X220" s="7">
        <v>2679.3</v>
      </c>
      <c r="Y220" s="23">
        <f t="shared" si="11"/>
        <v>2.4597443006498694E-2</v>
      </c>
      <c r="Z220" s="7">
        <v>7632.5</v>
      </c>
      <c r="AA220" s="23">
        <f t="shared" si="12"/>
        <v>3.846371183756337E-2</v>
      </c>
      <c r="AB220" s="10">
        <v>714.8</v>
      </c>
      <c r="AC220" s="23">
        <f t="shared" si="13"/>
        <v>-7.8732334936701797E-3</v>
      </c>
      <c r="AD220" s="11">
        <v>13206</v>
      </c>
      <c r="AE220" s="23">
        <f t="shared" si="14"/>
        <v>3.9463056615737763E-2</v>
      </c>
    </row>
    <row r="221" spans="1:31" ht="13.8">
      <c r="A221" s="13">
        <v>45768</v>
      </c>
      <c r="B221" s="7">
        <v>1451</v>
      </c>
      <c r="C221" s="49">
        <f t="shared" si="0"/>
        <v>2.1948276971162056E-2</v>
      </c>
      <c r="D221" s="8">
        <v>480.2</v>
      </c>
      <c r="E221" s="49">
        <f t="shared" si="1"/>
        <v>2.6803335058411096E-2</v>
      </c>
      <c r="F221" s="7">
        <v>2588.4</v>
      </c>
      <c r="G221" s="49">
        <f t="shared" si="2"/>
        <v>2.6305624453589549E-3</v>
      </c>
      <c r="H221" s="7">
        <v>1427.4</v>
      </c>
      <c r="I221" s="23">
        <f t="shared" si="3"/>
        <v>2.425134804512084E-2</v>
      </c>
      <c r="J221" s="7">
        <v>1373.5</v>
      </c>
      <c r="K221" s="23">
        <f t="shared" si="4"/>
        <v>4.978082580841349E-2</v>
      </c>
      <c r="L221" s="7">
        <v>12207</v>
      </c>
      <c r="M221" s="9">
        <f t="shared" si="5"/>
        <v>2.0859956777374618E-2</v>
      </c>
      <c r="N221" s="7">
        <v>15816</v>
      </c>
      <c r="O221" s="23">
        <f t="shared" si="6"/>
        <v>3.1667118272276633E-2</v>
      </c>
      <c r="P221" s="7">
        <v>5891.5</v>
      </c>
      <c r="Q221" s="23">
        <f t="shared" si="7"/>
        <v>4.3626568661290811E-2</v>
      </c>
      <c r="R221" s="7">
        <v>1482</v>
      </c>
      <c r="S221" s="23">
        <f t="shared" si="8"/>
        <v>3.0139267575040225E-2</v>
      </c>
      <c r="T221" s="7">
        <v>6938</v>
      </c>
      <c r="U221" s="23">
        <f t="shared" si="9"/>
        <v>4.9943899515178157E-2</v>
      </c>
      <c r="V221" s="7">
        <v>2380.6999999999998</v>
      </c>
      <c r="W221" s="23">
        <f t="shared" si="10"/>
        <v>4.5986101582369855E-2</v>
      </c>
      <c r="X221" s="7">
        <v>2735.6</v>
      </c>
      <c r="Y221" s="23">
        <f t="shared" si="11"/>
        <v>2.0795223865990795E-2</v>
      </c>
      <c r="Z221" s="7">
        <v>7564.5</v>
      </c>
      <c r="AA221" s="23">
        <f t="shared" si="12"/>
        <v>-8.9491944241432437E-3</v>
      </c>
      <c r="AB221" s="10">
        <v>695.15</v>
      </c>
      <c r="AC221" s="23">
        <f t="shared" si="13"/>
        <v>-2.7875133669720623E-2</v>
      </c>
      <c r="AD221" s="11">
        <v>13453</v>
      </c>
      <c r="AE221" s="23">
        <f t="shared" si="14"/>
        <v>1.8530857731026189E-2</v>
      </c>
    </row>
    <row r="222" spans="1:31" ht="13.8">
      <c r="A222" s="13">
        <v>45769</v>
      </c>
      <c r="B222" s="7">
        <v>1422.8</v>
      </c>
      <c r="C222" s="49">
        <f t="shared" si="0"/>
        <v>-1.9626212809887696E-2</v>
      </c>
      <c r="D222" s="8">
        <v>480.05</v>
      </c>
      <c r="E222" s="49">
        <f t="shared" si="1"/>
        <v>-3.1241864351995701E-4</v>
      </c>
      <c r="F222" s="7">
        <v>2579.5</v>
      </c>
      <c r="G222" s="49">
        <f t="shared" si="2"/>
        <v>-3.4443424984064649E-3</v>
      </c>
      <c r="H222" s="7">
        <v>1409.9</v>
      </c>
      <c r="I222" s="23">
        <f t="shared" si="3"/>
        <v>-1.2335827665651538E-2</v>
      </c>
      <c r="J222" s="7">
        <v>1376.5</v>
      </c>
      <c r="K222" s="23">
        <f t="shared" si="4"/>
        <v>2.1818190473333432E-3</v>
      </c>
      <c r="L222" s="7">
        <v>12324</v>
      </c>
      <c r="M222" s="9">
        <f t="shared" si="5"/>
        <v>9.5390230467589099E-3</v>
      </c>
      <c r="N222" s="7">
        <v>16675</v>
      </c>
      <c r="O222" s="23">
        <f t="shared" si="6"/>
        <v>5.2888505933371618E-2</v>
      </c>
      <c r="P222" s="7">
        <v>5911.5</v>
      </c>
      <c r="Q222" s="23">
        <f t="shared" si="7"/>
        <v>3.3889721497727169E-3</v>
      </c>
      <c r="R222" s="7">
        <v>1479.9</v>
      </c>
      <c r="S222" s="23">
        <f t="shared" si="8"/>
        <v>-1.4180089482298587E-3</v>
      </c>
      <c r="T222" s="7">
        <v>6956</v>
      </c>
      <c r="U222" s="23">
        <f t="shared" si="9"/>
        <v>2.5910479444787244E-3</v>
      </c>
      <c r="V222" s="7">
        <v>2401.8000000000002</v>
      </c>
      <c r="W222" s="23">
        <f t="shared" si="10"/>
        <v>8.8238941581200957E-3</v>
      </c>
      <c r="X222" s="7">
        <v>2738.5</v>
      </c>
      <c r="Y222" s="23">
        <f t="shared" si="11"/>
        <v>1.0595349998351118E-3</v>
      </c>
      <c r="Z222" s="7">
        <v>7544.5</v>
      </c>
      <c r="AA222" s="23">
        <f t="shared" si="12"/>
        <v>-2.6474302311836678E-3</v>
      </c>
      <c r="AB222" s="10">
        <v>709.15</v>
      </c>
      <c r="AC222" s="23">
        <f t="shared" si="13"/>
        <v>1.9939420125064208E-2</v>
      </c>
      <c r="AD222" s="11">
        <v>13802</v>
      </c>
      <c r="AE222" s="23">
        <f t="shared" si="14"/>
        <v>2.5611379695004342E-2</v>
      </c>
    </row>
    <row r="223" spans="1:31" ht="13.8">
      <c r="A223" s="13">
        <v>45770</v>
      </c>
      <c r="B223" s="7">
        <v>1474.9</v>
      </c>
      <c r="C223" s="49">
        <f t="shared" si="0"/>
        <v>3.5963429791156645E-2</v>
      </c>
      <c r="D223" s="8">
        <v>484.95</v>
      </c>
      <c r="E223" s="49">
        <f t="shared" si="1"/>
        <v>1.0155527695918862E-2</v>
      </c>
      <c r="F223" s="7">
        <v>2545.5</v>
      </c>
      <c r="G223" s="49">
        <f t="shared" si="2"/>
        <v>-1.3268487342313921E-2</v>
      </c>
      <c r="H223" s="7">
        <v>1427.3</v>
      </c>
      <c r="I223" s="23">
        <f t="shared" si="3"/>
        <v>1.2265767764407328E-2</v>
      </c>
      <c r="J223" s="7">
        <v>1439.6</v>
      </c>
      <c r="K223" s="23">
        <f t="shared" si="4"/>
        <v>4.4821251622213516E-2</v>
      </c>
      <c r="L223" s="7">
        <v>12422</v>
      </c>
      <c r="M223" s="9">
        <f t="shared" si="5"/>
        <v>7.9205134026897606E-3</v>
      </c>
      <c r="N223" s="7">
        <v>16607</v>
      </c>
      <c r="O223" s="23">
        <f t="shared" si="6"/>
        <v>-4.0862985770713216E-3</v>
      </c>
      <c r="P223" s="7">
        <v>5924.5</v>
      </c>
      <c r="Q223" s="23">
        <f t="shared" si="7"/>
        <v>2.1966889536265632E-3</v>
      </c>
      <c r="R223" s="7">
        <v>1594</v>
      </c>
      <c r="S223" s="23">
        <f t="shared" si="8"/>
        <v>7.4272062442358039E-2</v>
      </c>
      <c r="T223" s="7">
        <v>7392</v>
      </c>
      <c r="U223" s="23">
        <f t="shared" si="9"/>
        <v>6.0793737847346374E-2</v>
      </c>
      <c r="V223" s="7">
        <v>2507.3000000000002</v>
      </c>
      <c r="W223" s="23">
        <f t="shared" si="10"/>
        <v>4.2988020710606097E-2</v>
      </c>
      <c r="X223" s="7">
        <v>2806.7</v>
      </c>
      <c r="Y223" s="23">
        <f t="shared" si="11"/>
        <v>2.4599090758522252E-2</v>
      </c>
      <c r="Z223" s="7">
        <v>7921.5</v>
      </c>
      <c r="AA223" s="23">
        <f t="shared" si="12"/>
        <v>4.8761760861391584E-2</v>
      </c>
      <c r="AB223" s="10">
        <v>716.55</v>
      </c>
      <c r="AC223" s="23">
        <f t="shared" si="13"/>
        <v>1.0380958763463928E-2</v>
      </c>
      <c r="AD223" s="11">
        <v>13910</v>
      </c>
      <c r="AE223" s="23">
        <f t="shared" si="14"/>
        <v>7.7944967369414139E-3</v>
      </c>
    </row>
    <row r="224" spans="1:31" ht="13.8">
      <c r="A224" s="13">
        <v>45771</v>
      </c>
      <c r="B224" s="7">
        <v>1471.4</v>
      </c>
      <c r="C224" s="49">
        <f t="shared" si="0"/>
        <v>-2.3758623672926141E-3</v>
      </c>
      <c r="D224" s="8">
        <v>475.05</v>
      </c>
      <c r="E224" s="49">
        <f t="shared" si="1"/>
        <v>-2.0625731186793211E-2</v>
      </c>
      <c r="F224" s="7">
        <v>2599.1999999999998</v>
      </c>
      <c r="G224" s="49">
        <f t="shared" si="2"/>
        <v>2.0876611012499876E-2</v>
      </c>
      <c r="H224" s="7">
        <v>1429.6</v>
      </c>
      <c r="I224" s="23">
        <f t="shared" si="3"/>
        <v>1.6101372094955472E-3</v>
      </c>
      <c r="J224" s="7">
        <v>1445.2</v>
      </c>
      <c r="K224" s="23">
        <f t="shared" si="4"/>
        <v>3.8824230686095255E-3</v>
      </c>
      <c r="L224" s="7">
        <v>12379</v>
      </c>
      <c r="M224" s="9">
        <f t="shared" si="5"/>
        <v>-3.4676055874380061E-3</v>
      </c>
      <c r="N224" s="7">
        <v>16588</v>
      </c>
      <c r="O224" s="23">
        <f t="shared" si="6"/>
        <v>-1.1447508404811471E-3</v>
      </c>
      <c r="P224" s="7">
        <v>6215.5</v>
      </c>
      <c r="Q224" s="23">
        <f t="shared" si="7"/>
        <v>4.7949876974975478E-2</v>
      </c>
      <c r="R224" s="7">
        <v>1586.7</v>
      </c>
      <c r="S224" s="23">
        <f t="shared" si="8"/>
        <v>-4.5901926101164009E-3</v>
      </c>
      <c r="T224" s="7">
        <v>7251</v>
      </c>
      <c r="U224" s="23">
        <f t="shared" si="9"/>
        <v>-1.9258943949927387E-2</v>
      </c>
      <c r="V224" s="7">
        <v>2468.1</v>
      </c>
      <c r="W224" s="23">
        <f t="shared" si="10"/>
        <v>-1.5757853094194748E-2</v>
      </c>
      <c r="X224" s="7">
        <v>2773.9</v>
      </c>
      <c r="Y224" s="23">
        <f t="shared" si="11"/>
        <v>-1.1755143783979426E-2</v>
      </c>
      <c r="Z224" s="7">
        <v>8225</v>
      </c>
      <c r="AA224" s="23">
        <f t="shared" si="12"/>
        <v>3.7597714818475E-2</v>
      </c>
      <c r="AB224" s="10">
        <v>712.75</v>
      </c>
      <c r="AC224" s="23">
        <f t="shared" si="13"/>
        <v>-5.317300711299159E-3</v>
      </c>
      <c r="AD224" s="11">
        <v>13924</v>
      </c>
      <c r="AE224" s="23">
        <f t="shared" si="14"/>
        <v>1.0059640138409729E-3</v>
      </c>
    </row>
    <row r="225" spans="1:31" ht="13.8">
      <c r="A225" s="13">
        <v>45772</v>
      </c>
      <c r="B225" s="7">
        <v>1480.2</v>
      </c>
      <c r="C225" s="49">
        <f t="shared" si="0"/>
        <v>5.9628852652018546E-3</v>
      </c>
      <c r="D225" s="8">
        <v>452.55</v>
      </c>
      <c r="E225" s="49">
        <f t="shared" si="1"/>
        <v>-4.8521807379578716E-2</v>
      </c>
      <c r="F225" s="7">
        <v>2557.5</v>
      </c>
      <c r="G225" s="49">
        <f t="shared" si="2"/>
        <v>-1.6173486529108931E-2</v>
      </c>
      <c r="H225" s="7">
        <v>1413.6</v>
      </c>
      <c r="I225" s="23">
        <f t="shared" si="3"/>
        <v>-1.1255042839731652E-2</v>
      </c>
      <c r="J225" s="7">
        <v>1462</v>
      </c>
      <c r="K225" s="23">
        <f t="shared" si="4"/>
        <v>1.1557641036238603E-2</v>
      </c>
      <c r="L225" s="7">
        <v>12198</v>
      </c>
      <c r="M225" s="9">
        <f t="shared" si="5"/>
        <v>-1.4729484675408612E-2</v>
      </c>
      <c r="N225" s="7">
        <v>16219</v>
      </c>
      <c r="O225" s="23">
        <f t="shared" si="6"/>
        <v>-2.2496147878582427E-2</v>
      </c>
      <c r="P225" s="7">
        <v>6012.5</v>
      </c>
      <c r="Q225" s="23">
        <f t="shared" si="7"/>
        <v>-3.3205536817753553E-2</v>
      </c>
      <c r="R225" s="7">
        <v>1578.2</v>
      </c>
      <c r="S225" s="23">
        <f t="shared" si="8"/>
        <v>-5.3714306531093088E-3</v>
      </c>
      <c r="T225" s="7">
        <v>7390</v>
      </c>
      <c r="U225" s="23">
        <f t="shared" si="9"/>
        <v>1.8988344570654753E-2</v>
      </c>
      <c r="V225" s="7">
        <v>2538.6</v>
      </c>
      <c r="W225" s="23">
        <f t="shared" si="10"/>
        <v>2.8164124111082569E-2</v>
      </c>
      <c r="X225" s="7">
        <v>2737.9</v>
      </c>
      <c r="Y225" s="23">
        <f t="shared" si="11"/>
        <v>-1.3063069026402014E-2</v>
      </c>
      <c r="Z225" s="7">
        <v>8020.5</v>
      </c>
      <c r="AA225" s="23">
        <f t="shared" si="12"/>
        <v>-2.5177532576676737E-2</v>
      </c>
      <c r="AB225" s="10">
        <v>710.4</v>
      </c>
      <c r="AC225" s="23">
        <f t="shared" si="13"/>
        <v>-3.3025361148210698E-3</v>
      </c>
      <c r="AD225" s="11">
        <v>13499</v>
      </c>
      <c r="AE225" s="23">
        <f t="shared" si="14"/>
        <v>-3.0998361322502534E-2</v>
      </c>
    </row>
    <row r="226" spans="1:31" ht="13.8">
      <c r="A226" s="13">
        <v>45775</v>
      </c>
      <c r="B226" s="7">
        <v>1482.1</v>
      </c>
      <c r="C226" s="49">
        <f t="shared" si="0"/>
        <v>1.2827871995031879E-3</v>
      </c>
      <c r="D226" s="8">
        <v>461.45</v>
      </c>
      <c r="E226" s="49">
        <f t="shared" si="1"/>
        <v>1.9475451438405789E-2</v>
      </c>
      <c r="F226" s="7">
        <v>2560.4</v>
      </c>
      <c r="G226" s="49">
        <f t="shared" si="2"/>
        <v>1.1332774420668584E-3</v>
      </c>
      <c r="H226" s="7">
        <v>1486.5</v>
      </c>
      <c r="I226" s="23">
        <f t="shared" si="3"/>
        <v>5.0284721432665838E-2</v>
      </c>
      <c r="J226" s="7">
        <v>1461.5</v>
      </c>
      <c r="K226" s="23">
        <f t="shared" si="4"/>
        <v>-3.4205575842313887E-4</v>
      </c>
      <c r="L226" s="7">
        <v>12354</v>
      </c>
      <c r="M226" s="9">
        <f t="shared" si="5"/>
        <v>1.270789339944277E-2</v>
      </c>
      <c r="N226" s="7">
        <v>16415</v>
      </c>
      <c r="O226" s="23">
        <f t="shared" si="6"/>
        <v>1.2012156448003434E-2</v>
      </c>
      <c r="P226" s="7">
        <v>6026.5</v>
      </c>
      <c r="Q226" s="23">
        <f t="shared" si="7"/>
        <v>2.3257756143816944E-3</v>
      </c>
      <c r="R226" s="7">
        <v>1549.3</v>
      </c>
      <c r="S226" s="23">
        <f t="shared" si="8"/>
        <v>-1.848174108468854E-2</v>
      </c>
      <c r="T226" s="7">
        <v>7377.5</v>
      </c>
      <c r="U226" s="23">
        <f t="shared" si="9"/>
        <v>-1.6929071251529843E-3</v>
      </c>
      <c r="V226" s="7">
        <v>2503.4</v>
      </c>
      <c r="W226" s="23">
        <f t="shared" si="10"/>
        <v>-1.396294006015361E-2</v>
      </c>
      <c r="X226" s="7">
        <v>2793.1</v>
      </c>
      <c r="Y226" s="23">
        <f t="shared" si="11"/>
        <v>1.9960886927521578E-2</v>
      </c>
      <c r="Z226" s="7">
        <v>8126</v>
      </c>
      <c r="AA226" s="23">
        <f t="shared" si="12"/>
        <v>1.3068033490776147E-2</v>
      </c>
      <c r="AB226" s="10">
        <v>715.45</v>
      </c>
      <c r="AC226" s="23">
        <f t="shared" si="13"/>
        <v>7.0835236747836929E-3</v>
      </c>
      <c r="AD226" s="11">
        <v>13961</v>
      </c>
      <c r="AE226" s="23">
        <f t="shared" si="14"/>
        <v>3.3652119379820981E-2</v>
      </c>
    </row>
    <row r="227" spans="1:31" ht="13.8">
      <c r="A227" s="13">
        <v>45776</v>
      </c>
      <c r="B227" s="7">
        <v>1497.5</v>
      </c>
      <c r="C227" s="49">
        <f t="shared" si="0"/>
        <v>1.0337050026735134E-2</v>
      </c>
      <c r="D227" s="8">
        <v>455.6</v>
      </c>
      <c r="E227" s="49">
        <f t="shared" si="1"/>
        <v>-1.2758474138558582E-2</v>
      </c>
      <c r="F227" s="7">
        <v>2556.9</v>
      </c>
      <c r="G227" s="49">
        <f t="shared" si="2"/>
        <v>-1.367909071486655E-3</v>
      </c>
      <c r="H227" s="7">
        <v>1536.2</v>
      </c>
      <c r="I227" s="23">
        <f t="shared" si="3"/>
        <v>3.2887471126429133E-2</v>
      </c>
      <c r="J227" s="7">
        <v>1495.3</v>
      </c>
      <c r="K227" s="23">
        <f t="shared" si="4"/>
        <v>2.2863550038497413E-2</v>
      </c>
      <c r="L227" s="7">
        <v>12316</v>
      </c>
      <c r="M227" s="9">
        <f t="shared" si="5"/>
        <v>-3.0806672114534863E-3</v>
      </c>
      <c r="N227" s="7">
        <v>16614</v>
      </c>
      <c r="O227" s="23">
        <f t="shared" si="6"/>
        <v>1.2050162463323766E-2</v>
      </c>
      <c r="P227" s="7">
        <v>6108</v>
      </c>
      <c r="Q227" s="23">
        <f t="shared" si="7"/>
        <v>1.3432976310124776E-2</v>
      </c>
      <c r="R227" s="7">
        <v>1569</v>
      </c>
      <c r="S227" s="23">
        <f t="shared" si="8"/>
        <v>1.2635257730786461E-2</v>
      </c>
      <c r="T227" s="7">
        <v>7485</v>
      </c>
      <c r="U227" s="23">
        <f t="shared" si="9"/>
        <v>1.4466190036634232E-2</v>
      </c>
      <c r="V227" s="7">
        <v>2511.9</v>
      </c>
      <c r="W227" s="23">
        <f t="shared" si="10"/>
        <v>3.3896309845728467E-3</v>
      </c>
      <c r="X227" s="7">
        <v>2702.6</v>
      </c>
      <c r="Y227" s="23">
        <f t="shared" si="11"/>
        <v>-3.2937817495452736E-2</v>
      </c>
      <c r="Z227" s="7">
        <v>8199</v>
      </c>
      <c r="AA227" s="23">
        <f t="shared" si="12"/>
        <v>8.9433980485057081E-3</v>
      </c>
      <c r="AB227" s="10">
        <v>711.35</v>
      </c>
      <c r="AC227" s="23">
        <f t="shared" si="13"/>
        <v>-5.7471422555679594E-3</v>
      </c>
      <c r="AD227" s="11">
        <v>14391</v>
      </c>
      <c r="AE227" s="23">
        <f t="shared" si="14"/>
        <v>3.0335283181525712E-2</v>
      </c>
    </row>
    <row r="228" spans="1:31" ht="13.8">
      <c r="A228" s="13">
        <v>45777</v>
      </c>
      <c r="B228" s="7">
        <v>1500.1</v>
      </c>
      <c r="C228" s="49">
        <f t="shared" si="0"/>
        <v>1.7347215452402447E-3</v>
      </c>
      <c r="D228" s="8">
        <v>455.8</v>
      </c>
      <c r="E228" s="49">
        <f t="shared" si="1"/>
        <v>4.388852385567769E-4</v>
      </c>
      <c r="F228" s="7">
        <v>2465.3000000000002</v>
      </c>
      <c r="G228" s="49">
        <f t="shared" si="2"/>
        <v>-3.6482083270928924E-2</v>
      </c>
      <c r="H228" s="7">
        <v>1529.6</v>
      </c>
      <c r="I228" s="23">
        <f t="shared" si="3"/>
        <v>-4.3055712674447948E-3</v>
      </c>
      <c r="J228" s="7">
        <v>1503</v>
      </c>
      <c r="K228" s="23">
        <f t="shared" si="4"/>
        <v>5.1362551631764916E-3</v>
      </c>
      <c r="L228" s="7">
        <v>11973</v>
      </c>
      <c r="M228" s="9">
        <f t="shared" si="5"/>
        <v>-2.824511532754739E-2</v>
      </c>
      <c r="N228" s="7">
        <v>16452</v>
      </c>
      <c r="O228" s="23">
        <f t="shared" si="6"/>
        <v>-9.7986630487021005E-3</v>
      </c>
      <c r="P228" s="7">
        <v>6087</v>
      </c>
      <c r="Q228" s="23">
        <f t="shared" si="7"/>
        <v>-3.4440378445986324E-3</v>
      </c>
      <c r="R228" s="7">
        <v>1567.5</v>
      </c>
      <c r="S228" s="23">
        <f t="shared" si="8"/>
        <v>-9.5648022595682303E-4</v>
      </c>
      <c r="T228" s="7">
        <v>7305</v>
      </c>
      <c r="U228" s="23">
        <f t="shared" si="9"/>
        <v>-2.4341972668928898E-2</v>
      </c>
      <c r="V228" s="7">
        <v>2469</v>
      </c>
      <c r="W228" s="23">
        <f t="shared" si="10"/>
        <v>-1.7226228533316436E-2</v>
      </c>
      <c r="X228" s="7">
        <v>2672</v>
      </c>
      <c r="Y228" s="23">
        <f t="shared" si="11"/>
        <v>-1.1387016947449331E-2</v>
      </c>
      <c r="Z228" s="7">
        <v>8116</v>
      </c>
      <c r="AA228" s="23">
        <f t="shared" si="12"/>
        <v>-1.0174773650472386E-2</v>
      </c>
      <c r="AB228" s="10">
        <v>710.45</v>
      </c>
      <c r="AC228" s="23">
        <f t="shared" si="13"/>
        <v>-1.266001013091711E-3</v>
      </c>
      <c r="AD228" s="11">
        <v>14529</v>
      </c>
      <c r="AE228" s="23">
        <f t="shared" si="14"/>
        <v>9.5436409011651624E-3</v>
      </c>
    </row>
    <row r="229" spans="1:31" ht="13.8">
      <c r="A229" s="25">
        <v>45779</v>
      </c>
      <c r="B229" s="7">
        <v>1506.8</v>
      </c>
      <c r="C229" s="49">
        <f t="shared" si="0"/>
        <v>4.4564242830413625E-3</v>
      </c>
      <c r="D229" s="8">
        <v>455.6</v>
      </c>
      <c r="E229" s="49">
        <f t="shared" si="1"/>
        <v>-4.3888523855674621E-4</v>
      </c>
      <c r="F229" s="7">
        <v>2385.8000000000002</v>
      </c>
      <c r="G229" s="49">
        <f t="shared" si="2"/>
        <v>-3.2779006077587255E-2</v>
      </c>
      <c r="H229" s="7">
        <v>1486.8</v>
      </c>
      <c r="I229" s="23">
        <f t="shared" si="3"/>
        <v>-2.8380103874039688E-2</v>
      </c>
      <c r="J229" s="7">
        <v>1496.3</v>
      </c>
      <c r="K229" s="23">
        <f t="shared" si="4"/>
        <v>-4.4677165636008006E-3</v>
      </c>
      <c r="L229" s="7">
        <v>12014</v>
      </c>
      <c r="M229" s="9">
        <f t="shared" si="5"/>
        <v>3.4185216932632427E-3</v>
      </c>
      <c r="N229" s="7">
        <v>16347</v>
      </c>
      <c r="O229" s="23">
        <f t="shared" si="6"/>
        <v>-6.4026560991067172E-3</v>
      </c>
      <c r="P229" s="7">
        <v>6104</v>
      </c>
      <c r="Q229" s="23">
        <f t="shared" si="7"/>
        <v>2.7889444703684714E-3</v>
      </c>
      <c r="R229" s="7">
        <v>1576.5</v>
      </c>
      <c r="S229" s="23">
        <f t="shared" si="8"/>
        <v>5.7252064780396444E-3</v>
      </c>
      <c r="T229" s="7">
        <v>7382</v>
      </c>
      <c r="U229" s="23">
        <f t="shared" si="9"/>
        <v>1.0485559405144028E-2</v>
      </c>
      <c r="V229" s="7">
        <v>2460.6999999999998</v>
      </c>
      <c r="W229" s="23">
        <f t="shared" si="10"/>
        <v>-3.3673480507251312E-3</v>
      </c>
      <c r="X229" s="7">
        <v>2713.8</v>
      </c>
      <c r="Y229" s="23">
        <f t="shared" si="11"/>
        <v>1.5522611055316137E-2</v>
      </c>
      <c r="Z229" s="7">
        <v>8387.5</v>
      </c>
      <c r="AA229" s="23">
        <f t="shared" si="12"/>
        <v>3.2905080334231833E-2</v>
      </c>
      <c r="AB229" s="10">
        <v>697.75</v>
      </c>
      <c r="AC229" s="23">
        <f t="shared" si="13"/>
        <v>-1.803769966765285E-2</v>
      </c>
      <c r="AD229" s="11">
        <v>14702</v>
      </c>
      <c r="AE229" s="23">
        <f t="shared" si="14"/>
        <v>1.1836886862694148E-2</v>
      </c>
    </row>
    <row r="230" spans="1:31" ht="13.8">
      <c r="A230" s="25">
        <v>45782</v>
      </c>
      <c r="B230" s="7">
        <v>1508.6</v>
      </c>
      <c r="C230" s="49">
        <f t="shared" si="0"/>
        <v>1.1938716016445211E-3</v>
      </c>
      <c r="D230" s="8">
        <v>461.75</v>
      </c>
      <c r="E230" s="49">
        <f t="shared" si="1"/>
        <v>1.3408387506322247E-2</v>
      </c>
      <c r="F230" s="7">
        <v>2415.4</v>
      </c>
      <c r="G230" s="49">
        <f t="shared" si="2"/>
        <v>1.2330406993429341E-2</v>
      </c>
      <c r="H230" s="7">
        <v>1563.9</v>
      </c>
      <c r="I230" s="23">
        <f t="shared" si="3"/>
        <v>5.0556542019072892E-2</v>
      </c>
      <c r="J230" s="7">
        <v>1494.6</v>
      </c>
      <c r="K230" s="23">
        <f t="shared" si="4"/>
        <v>-1.13678169318397E-3</v>
      </c>
      <c r="L230" s="7">
        <v>11901</v>
      </c>
      <c r="M230" s="9">
        <f t="shared" si="5"/>
        <v>-9.4502062276669383E-3</v>
      </c>
      <c r="N230" s="7">
        <v>16710</v>
      </c>
      <c r="O230" s="23">
        <f t="shared" si="6"/>
        <v>2.1962948338231356E-2</v>
      </c>
      <c r="P230" s="7">
        <v>6124.5</v>
      </c>
      <c r="Q230" s="23">
        <f t="shared" si="7"/>
        <v>3.3528264634471892E-3</v>
      </c>
      <c r="R230" s="7">
        <v>1568.6</v>
      </c>
      <c r="S230" s="23">
        <f t="shared" si="8"/>
        <v>-5.0236982065494451E-3</v>
      </c>
      <c r="T230" s="7">
        <v>7496.5</v>
      </c>
      <c r="U230" s="23">
        <f t="shared" si="9"/>
        <v>1.5391640345013991E-2</v>
      </c>
      <c r="V230" s="7">
        <v>2456.1</v>
      </c>
      <c r="W230" s="23">
        <f t="shared" si="10"/>
        <v>-1.8711362439422514E-3</v>
      </c>
      <c r="X230" s="7">
        <v>2782.6</v>
      </c>
      <c r="Y230" s="23">
        <f t="shared" si="11"/>
        <v>2.5035875695923818E-2</v>
      </c>
      <c r="Z230" s="7">
        <v>8806.5</v>
      </c>
      <c r="AA230" s="23">
        <f t="shared" si="12"/>
        <v>4.8747582892413079E-2</v>
      </c>
      <c r="AB230" s="10">
        <v>722.65</v>
      </c>
      <c r="AC230" s="23">
        <f t="shared" si="13"/>
        <v>3.5064138478419361E-2</v>
      </c>
      <c r="AD230" s="11">
        <v>14574</v>
      </c>
      <c r="AE230" s="23">
        <f t="shared" si="14"/>
        <v>-8.7444197038054044E-3</v>
      </c>
    </row>
    <row r="231" spans="1:31" ht="13.8">
      <c r="A231" s="25">
        <v>45783</v>
      </c>
      <c r="B231" s="7">
        <v>1511.5</v>
      </c>
      <c r="C231" s="49">
        <f t="shared" si="0"/>
        <v>1.9204667999822404E-3</v>
      </c>
      <c r="D231" s="8">
        <v>448.15</v>
      </c>
      <c r="E231" s="49">
        <f t="shared" si="1"/>
        <v>-2.9895621275978751E-2</v>
      </c>
      <c r="F231" s="7">
        <v>2368.6999999999998</v>
      </c>
      <c r="G231" s="49">
        <f t="shared" si="2"/>
        <v>-1.9523623412738753E-2</v>
      </c>
      <c r="H231" s="7">
        <v>1527.7</v>
      </c>
      <c r="I231" s="23">
        <f t="shared" si="3"/>
        <v>-2.341936507049287E-2</v>
      </c>
      <c r="J231" s="7">
        <v>1496.2</v>
      </c>
      <c r="K231" s="23">
        <f t="shared" si="4"/>
        <v>1.0699479421148927E-3</v>
      </c>
      <c r="L231" s="7">
        <v>11858</v>
      </c>
      <c r="M231" s="9">
        <f t="shared" si="5"/>
        <v>-3.6196849151268642E-3</v>
      </c>
      <c r="N231" s="7">
        <v>16056</v>
      </c>
      <c r="O231" s="23">
        <f t="shared" si="6"/>
        <v>-3.9924731113265367E-2</v>
      </c>
      <c r="P231" s="7">
        <v>6161</v>
      </c>
      <c r="Q231" s="23">
        <f t="shared" si="7"/>
        <v>5.9419815868306074E-3</v>
      </c>
      <c r="R231" s="7">
        <v>1579.1</v>
      </c>
      <c r="S231" s="23">
        <f t="shared" si="8"/>
        <v>6.6715626940314441E-3</v>
      </c>
      <c r="T231" s="7">
        <v>7426</v>
      </c>
      <c r="U231" s="23">
        <f t="shared" si="9"/>
        <v>-9.4488891979325074E-3</v>
      </c>
      <c r="V231" s="7">
        <v>2357.6999999999998</v>
      </c>
      <c r="W231" s="23">
        <f t="shared" si="10"/>
        <v>-4.0888158510273227E-2</v>
      </c>
      <c r="X231" s="7">
        <v>2773.5</v>
      </c>
      <c r="Y231" s="23">
        <f t="shared" si="11"/>
        <v>-3.2756819124871339E-3</v>
      </c>
      <c r="Z231" s="7">
        <v>8654</v>
      </c>
      <c r="AA231" s="23">
        <f t="shared" si="12"/>
        <v>-1.7468443387520238E-2</v>
      </c>
      <c r="AB231" s="10">
        <v>720.1</v>
      </c>
      <c r="AC231" s="23">
        <f t="shared" si="13"/>
        <v>-3.5349196400297615E-3</v>
      </c>
      <c r="AD231" s="11">
        <v>14413</v>
      </c>
      <c r="AE231" s="23">
        <f t="shared" si="14"/>
        <v>-1.1108542147124754E-2</v>
      </c>
    </row>
    <row r="232" spans="1:31" ht="13.8">
      <c r="A232" s="25">
        <v>45784</v>
      </c>
      <c r="B232" s="7">
        <v>1508.3</v>
      </c>
      <c r="C232" s="49">
        <f t="shared" si="0"/>
        <v>-2.1193464453061824E-3</v>
      </c>
      <c r="D232" s="8">
        <v>453.85</v>
      </c>
      <c r="E232" s="49">
        <f t="shared" si="1"/>
        <v>1.2638749169265554E-2</v>
      </c>
      <c r="F232" s="7">
        <v>2432.4</v>
      </c>
      <c r="G232" s="49">
        <f t="shared" si="2"/>
        <v>2.6537142817418615E-2</v>
      </c>
      <c r="H232" s="7">
        <v>1447.9</v>
      </c>
      <c r="I232" s="23">
        <f t="shared" si="3"/>
        <v>-5.3649105584301082E-2</v>
      </c>
      <c r="J232" s="7">
        <v>1495.2</v>
      </c>
      <c r="K232" s="23">
        <f t="shared" si="4"/>
        <v>-6.6858329695145978E-4</v>
      </c>
      <c r="L232" s="7">
        <v>11907</v>
      </c>
      <c r="M232" s="9">
        <f t="shared" si="5"/>
        <v>4.1237171838621562E-3</v>
      </c>
      <c r="N232" s="7">
        <v>16095</v>
      </c>
      <c r="O232" s="23">
        <f t="shared" si="6"/>
        <v>2.426053256734484E-3</v>
      </c>
      <c r="P232" s="7">
        <v>6148</v>
      </c>
      <c r="Q232" s="23">
        <f t="shared" si="7"/>
        <v>-2.1122763560842616E-3</v>
      </c>
      <c r="R232" s="7">
        <v>1563.3</v>
      </c>
      <c r="S232" s="23">
        <f t="shared" si="8"/>
        <v>-1.0056092889318871E-2</v>
      </c>
      <c r="T232" s="7">
        <v>7600</v>
      </c>
      <c r="U232" s="23">
        <f t="shared" si="9"/>
        <v>2.3160891537397105E-2</v>
      </c>
      <c r="V232" s="7">
        <v>2402.1999999999998</v>
      </c>
      <c r="W232" s="23">
        <f t="shared" si="10"/>
        <v>1.8698416580150985E-2</v>
      </c>
      <c r="X232" s="7">
        <v>2792.3</v>
      </c>
      <c r="Y232" s="23">
        <f t="shared" si="11"/>
        <v>6.755568471385036E-3</v>
      </c>
      <c r="Z232" s="7">
        <v>8430</v>
      </c>
      <c r="AA232" s="23">
        <f t="shared" si="12"/>
        <v>-2.6224869788928958E-2</v>
      </c>
      <c r="AB232" s="10">
        <v>736.35</v>
      </c>
      <c r="AC232" s="23">
        <f t="shared" si="13"/>
        <v>2.2315457917350019E-2</v>
      </c>
      <c r="AD232" s="11">
        <v>14680</v>
      </c>
      <c r="AE232" s="23">
        <f t="shared" si="14"/>
        <v>1.8355446085403765E-2</v>
      </c>
    </row>
    <row r="233" spans="1:31" ht="13.8">
      <c r="A233" s="25">
        <v>45785</v>
      </c>
      <c r="B233" s="7">
        <v>1511.4</v>
      </c>
      <c r="C233" s="49">
        <f t="shared" si="0"/>
        <v>2.0531848124130565E-3</v>
      </c>
      <c r="D233" s="8">
        <v>442.5</v>
      </c>
      <c r="E233" s="49">
        <f t="shared" si="1"/>
        <v>-2.5326282524652109E-2</v>
      </c>
      <c r="F233" s="7">
        <v>2439.5</v>
      </c>
      <c r="G233" s="49">
        <f t="shared" si="2"/>
        <v>2.9146760099371316E-3</v>
      </c>
      <c r="H233" s="7">
        <v>1453.8</v>
      </c>
      <c r="I233" s="23">
        <f t="shared" si="3"/>
        <v>4.0665872631590241E-3</v>
      </c>
      <c r="J233" s="7">
        <v>1502.8</v>
      </c>
      <c r="K233" s="23">
        <f t="shared" si="4"/>
        <v>5.0700575584606226E-3</v>
      </c>
      <c r="L233" s="7">
        <v>11549</v>
      </c>
      <c r="M233" s="9">
        <f t="shared" si="5"/>
        <v>-3.0527609336087655E-2</v>
      </c>
      <c r="N233" s="7">
        <v>15626</v>
      </c>
      <c r="O233" s="23">
        <f t="shared" si="6"/>
        <v>-2.9572471176218862E-2</v>
      </c>
      <c r="P233" s="7">
        <v>5960.5</v>
      </c>
      <c r="Q233" s="23">
        <f t="shared" si="7"/>
        <v>-3.0972455500430172E-2</v>
      </c>
      <c r="R233" s="7">
        <v>1580.7</v>
      </c>
      <c r="S233" s="23">
        <f t="shared" si="8"/>
        <v>1.1068815300071224E-2</v>
      </c>
      <c r="T233" s="7">
        <v>7754.5</v>
      </c>
      <c r="U233" s="23">
        <f t="shared" si="9"/>
        <v>2.0125072725084989E-2</v>
      </c>
      <c r="V233" s="7">
        <v>2374.9</v>
      </c>
      <c r="W233" s="23">
        <f t="shared" si="10"/>
        <v>-1.1429652801257576E-2</v>
      </c>
      <c r="X233" s="7">
        <v>2695.6</v>
      </c>
      <c r="Y233" s="23">
        <f t="shared" si="11"/>
        <v>-3.524481489461237E-2</v>
      </c>
      <c r="Z233" s="7">
        <v>8251.5</v>
      </c>
      <c r="AA233" s="23">
        <f t="shared" si="12"/>
        <v>-2.1401770012278623E-2</v>
      </c>
      <c r="AB233" s="10">
        <v>719.55</v>
      </c>
      <c r="AC233" s="23">
        <f t="shared" si="13"/>
        <v>-2.3079532555988717E-2</v>
      </c>
      <c r="AD233" s="11">
        <v>14667</v>
      </c>
      <c r="AE233" s="23">
        <f t="shared" si="14"/>
        <v>-8.8595092175129935E-4</v>
      </c>
    </row>
    <row r="234" spans="1:31" ht="13.8">
      <c r="A234" s="25">
        <v>45786</v>
      </c>
      <c r="B234" s="7">
        <v>1507.6</v>
      </c>
      <c r="C234" s="49">
        <f t="shared" si="0"/>
        <v>-2.5173911936392447E-3</v>
      </c>
      <c r="D234" s="8">
        <v>440.9</v>
      </c>
      <c r="E234" s="49">
        <f t="shared" si="1"/>
        <v>-3.622372084092355E-3</v>
      </c>
      <c r="F234" s="7">
        <v>2408.1999999999998</v>
      </c>
      <c r="G234" s="49">
        <f t="shared" si="2"/>
        <v>-1.2913519797773273E-2</v>
      </c>
      <c r="H234" s="7">
        <v>1531.8</v>
      </c>
      <c r="I234" s="23">
        <f t="shared" si="3"/>
        <v>5.2262696424958122E-2</v>
      </c>
      <c r="J234" s="7">
        <v>1493.7</v>
      </c>
      <c r="K234" s="23">
        <f t="shared" si="4"/>
        <v>-6.073771383567024E-3</v>
      </c>
      <c r="L234" s="7">
        <v>11238</v>
      </c>
      <c r="M234" s="9">
        <f t="shared" si="5"/>
        <v>-2.7297960442943969E-2</v>
      </c>
      <c r="N234" s="7">
        <v>15190</v>
      </c>
      <c r="O234" s="23">
        <f t="shared" si="6"/>
        <v>-2.8298876966871042E-2</v>
      </c>
      <c r="P234" s="7">
        <v>6025.5</v>
      </c>
      <c r="Q234" s="23">
        <f t="shared" si="7"/>
        <v>1.0846093309390384E-2</v>
      </c>
      <c r="R234" s="7">
        <v>1569.4</v>
      </c>
      <c r="S234" s="23">
        <f t="shared" si="8"/>
        <v>-7.1744061899769217E-3</v>
      </c>
      <c r="T234" s="7">
        <v>7681</v>
      </c>
      <c r="U234" s="23">
        <f t="shared" si="9"/>
        <v>-9.5235730008255779E-3</v>
      </c>
      <c r="V234" s="7">
        <v>2387.3000000000002</v>
      </c>
      <c r="W234" s="23">
        <f t="shared" si="10"/>
        <v>5.2076888933735828E-3</v>
      </c>
      <c r="X234" s="7">
        <v>2663.7</v>
      </c>
      <c r="Y234" s="23">
        <f t="shared" si="11"/>
        <v>-1.1904680365671105E-2</v>
      </c>
      <c r="Z234" s="7">
        <v>8193.5</v>
      </c>
      <c r="AA234" s="23">
        <f t="shared" si="12"/>
        <v>-7.0538449973436747E-3</v>
      </c>
      <c r="AB234" s="10">
        <v>723.3</v>
      </c>
      <c r="AC234" s="23">
        <f t="shared" si="13"/>
        <v>5.1980572390523368E-3</v>
      </c>
      <c r="AD234" s="11">
        <v>15080</v>
      </c>
      <c r="AE234" s="23">
        <f t="shared" si="14"/>
        <v>2.7769290315191798E-2</v>
      </c>
    </row>
    <row r="235" spans="1:31" ht="13.8">
      <c r="A235" s="6">
        <v>45789</v>
      </c>
      <c r="B235" s="7">
        <v>1626.9</v>
      </c>
      <c r="C235" s="49">
        <f t="shared" si="0"/>
        <v>7.6157381122144305E-2</v>
      </c>
      <c r="D235" s="8">
        <v>460.15</v>
      </c>
      <c r="E235" s="49">
        <f t="shared" si="1"/>
        <v>4.273443092097385E-2</v>
      </c>
      <c r="F235" s="7">
        <v>2500</v>
      </c>
      <c r="G235" s="49">
        <f t="shared" si="2"/>
        <v>3.7411151398173602E-2</v>
      </c>
      <c r="H235" s="7">
        <v>1569.9</v>
      </c>
      <c r="I235" s="23">
        <f t="shared" si="3"/>
        <v>2.4568408570778799E-2</v>
      </c>
      <c r="J235" s="7">
        <v>1573.1</v>
      </c>
      <c r="K235" s="23">
        <f t="shared" si="4"/>
        <v>5.1791931512212203E-2</v>
      </c>
      <c r="L235" s="7">
        <v>12094</v>
      </c>
      <c r="M235" s="9">
        <f t="shared" si="5"/>
        <v>7.3408569161014667E-2</v>
      </c>
      <c r="N235" s="7">
        <v>16073</v>
      </c>
      <c r="O235" s="23">
        <f t="shared" si="6"/>
        <v>5.6503528979322433E-2</v>
      </c>
      <c r="P235" s="7">
        <v>5942</v>
      </c>
      <c r="Q235" s="23">
        <f t="shared" si="7"/>
        <v>-1.3954686444893605E-2</v>
      </c>
      <c r="R235" s="7">
        <v>1670.3</v>
      </c>
      <c r="S235" s="23">
        <f t="shared" si="8"/>
        <v>6.230987030252895E-2</v>
      </c>
      <c r="T235" s="7">
        <v>8311.5</v>
      </c>
      <c r="U235" s="23">
        <f t="shared" si="9"/>
        <v>7.8890350976832113E-2</v>
      </c>
      <c r="V235" s="7">
        <v>2532.4</v>
      </c>
      <c r="W235" s="23">
        <f t="shared" si="10"/>
        <v>5.9004449457465601E-2</v>
      </c>
      <c r="X235" s="7">
        <v>2760.7</v>
      </c>
      <c r="Y235" s="23">
        <f t="shared" si="11"/>
        <v>3.5768137036286902E-2</v>
      </c>
      <c r="Z235" s="7">
        <v>8603</v>
      </c>
      <c r="AA235" s="23">
        <f t="shared" si="12"/>
        <v>4.8769822635069328E-2</v>
      </c>
      <c r="AB235" s="10">
        <v>738.1</v>
      </c>
      <c r="AC235" s="23">
        <f t="shared" si="13"/>
        <v>2.0255242920771677E-2</v>
      </c>
      <c r="AD235" s="11">
        <v>15864</v>
      </c>
      <c r="AE235" s="23">
        <f t="shared" si="14"/>
        <v>5.0683028637684889E-2</v>
      </c>
    </row>
    <row r="236" spans="1:31" ht="13.8">
      <c r="A236" s="6">
        <v>45790</v>
      </c>
      <c r="B236" s="7">
        <v>1568.6</v>
      </c>
      <c r="C236" s="49">
        <f t="shared" si="0"/>
        <v>-3.6492861736558711E-2</v>
      </c>
      <c r="D236" s="8">
        <v>477.75</v>
      </c>
      <c r="E236" s="49">
        <f t="shared" si="1"/>
        <v>3.7535059835516492E-2</v>
      </c>
      <c r="F236" s="7">
        <v>2547.3000000000002</v>
      </c>
      <c r="G236" s="49">
        <f t="shared" si="2"/>
        <v>1.8743242817135373E-2</v>
      </c>
      <c r="H236" s="7">
        <v>1746.7</v>
      </c>
      <c r="I236" s="23">
        <f t="shared" si="3"/>
        <v>0.10671637038807527</v>
      </c>
      <c r="J236" s="7">
        <v>1572.5</v>
      </c>
      <c r="K236" s="23">
        <f t="shared" si="4"/>
        <v>-3.8148525386349206E-4</v>
      </c>
      <c r="L236" s="7">
        <v>11921</v>
      </c>
      <c r="M236" s="9">
        <f t="shared" si="5"/>
        <v>-1.4407911115156597E-2</v>
      </c>
      <c r="N236" s="7">
        <v>16219</v>
      </c>
      <c r="O236" s="23">
        <f t="shared" si="6"/>
        <v>9.042548918548424E-3</v>
      </c>
      <c r="P236" s="7">
        <v>6076.5</v>
      </c>
      <c r="Q236" s="23">
        <f t="shared" si="7"/>
        <v>2.2383095288302051E-2</v>
      </c>
      <c r="R236" s="7">
        <v>1619.6</v>
      </c>
      <c r="S236" s="23">
        <f t="shared" si="8"/>
        <v>-3.0824045837895865E-2</v>
      </c>
      <c r="T236" s="7">
        <v>8266.5</v>
      </c>
      <c r="U236" s="23">
        <f t="shared" si="9"/>
        <v>-5.4288949841143639E-3</v>
      </c>
      <c r="V236" s="7">
        <v>2490.6</v>
      </c>
      <c r="W236" s="23">
        <f t="shared" si="10"/>
        <v>-1.6643824382923406E-2</v>
      </c>
      <c r="X236" s="7">
        <v>2712.4</v>
      </c>
      <c r="Y236" s="23">
        <f t="shared" si="11"/>
        <v>-1.7650418932990478E-2</v>
      </c>
      <c r="Z236" s="7">
        <v>8993.5</v>
      </c>
      <c r="AA236" s="23">
        <f t="shared" si="12"/>
        <v>4.4391114546677338E-2</v>
      </c>
      <c r="AB236" s="10">
        <v>727.6</v>
      </c>
      <c r="AC236" s="23">
        <f t="shared" si="13"/>
        <v>-1.4327870132039433E-2</v>
      </c>
      <c r="AD236" s="11">
        <v>15975</v>
      </c>
      <c r="AE236" s="23">
        <f t="shared" si="14"/>
        <v>6.9726090461036056E-3</v>
      </c>
    </row>
    <row r="237" spans="1:31" ht="13.8">
      <c r="A237" s="6">
        <v>45791</v>
      </c>
      <c r="B237" s="7">
        <v>1592.4</v>
      </c>
      <c r="C237" s="49">
        <f t="shared" si="0"/>
        <v>1.5058810347596225E-2</v>
      </c>
      <c r="D237" s="8">
        <v>492.8</v>
      </c>
      <c r="E237" s="49">
        <f t="shared" si="1"/>
        <v>3.1015829098927708E-2</v>
      </c>
      <c r="F237" s="7">
        <v>2554.6</v>
      </c>
      <c r="G237" s="49">
        <f t="shared" si="2"/>
        <v>2.8616809352489075E-3</v>
      </c>
      <c r="H237" s="7">
        <v>1766.1</v>
      </c>
      <c r="I237" s="23">
        <f t="shared" si="3"/>
        <v>1.1045432267978068E-2</v>
      </c>
      <c r="J237" s="7">
        <v>1603.2</v>
      </c>
      <c r="K237" s="23">
        <f t="shared" si="4"/>
        <v>1.9334922315950055E-2</v>
      </c>
      <c r="L237" s="7">
        <v>12020</v>
      </c>
      <c r="M237" s="9">
        <f t="shared" si="5"/>
        <v>8.2703783711970333E-3</v>
      </c>
      <c r="N237" s="7">
        <v>16121</v>
      </c>
      <c r="O237" s="23">
        <f t="shared" si="6"/>
        <v>-6.060624611690958E-3</v>
      </c>
      <c r="P237" s="7">
        <v>6215.5</v>
      </c>
      <c r="Q237" s="23">
        <f t="shared" si="7"/>
        <v>2.2617299920915164E-2</v>
      </c>
      <c r="R237" s="7">
        <v>1637.7</v>
      </c>
      <c r="S237" s="23">
        <f t="shared" si="8"/>
        <v>1.1113613297815616E-2</v>
      </c>
      <c r="T237" s="7">
        <v>8463.5</v>
      </c>
      <c r="U237" s="23">
        <f t="shared" si="9"/>
        <v>2.3551596637752123E-2</v>
      </c>
      <c r="V237" s="7">
        <v>2571.6</v>
      </c>
      <c r="W237" s="23">
        <f t="shared" si="10"/>
        <v>3.200462798048366E-2</v>
      </c>
      <c r="X237" s="7">
        <v>2727.3</v>
      </c>
      <c r="Y237" s="23">
        <f t="shared" si="11"/>
        <v>5.4782569862352826E-3</v>
      </c>
      <c r="Z237" s="7">
        <v>8967</v>
      </c>
      <c r="AA237" s="23">
        <f t="shared" si="12"/>
        <v>-2.9509222159778744E-3</v>
      </c>
      <c r="AB237" s="10">
        <v>722.55</v>
      </c>
      <c r="AC237" s="23">
        <f t="shared" si="13"/>
        <v>-6.9648248996278068E-3</v>
      </c>
      <c r="AD237" s="11">
        <v>16735</v>
      </c>
      <c r="AE237" s="23">
        <f t="shared" si="14"/>
        <v>4.6477334399691539E-2</v>
      </c>
    </row>
    <row r="238" spans="1:31" ht="13.8">
      <c r="A238" s="6">
        <v>45792</v>
      </c>
      <c r="B238" s="7">
        <v>1613</v>
      </c>
      <c r="C238" s="49">
        <f t="shared" si="0"/>
        <v>1.2853486999046768E-2</v>
      </c>
      <c r="D238" s="8">
        <v>502.45</v>
      </c>
      <c r="E238" s="49">
        <f t="shared" si="1"/>
        <v>1.9392720275657731E-2</v>
      </c>
      <c r="F238" s="7">
        <v>2559.9</v>
      </c>
      <c r="G238" s="49">
        <f t="shared" si="2"/>
        <v>2.0725396019723751E-3</v>
      </c>
      <c r="H238" s="7">
        <v>1806.5</v>
      </c>
      <c r="I238" s="23">
        <f t="shared" si="3"/>
        <v>2.2617545885369558E-2</v>
      </c>
      <c r="J238" s="7">
        <v>1629.1</v>
      </c>
      <c r="K238" s="23">
        <f t="shared" si="4"/>
        <v>1.6026083181577847E-2</v>
      </c>
      <c r="L238" s="7">
        <v>12630</v>
      </c>
      <c r="M238" s="9">
        <f t="shared" si="5"/>
        <v>4.9503007255338176E-2</v>
      </c>
      <c r="N238" s="7">
        <v>16433</v>
      </c>
      <c r="O238" s="23">
        <f t="shared" si="6"/>
        <v>1.9168738305291363E-2</v>
      </c>
      <c r="P238" s="7">
        <v>6214.5</v>
      </c>
      <c r="Q238" s="23">
        <f t="shared" si="7"/>
        <v>-1.6090104620393851E-4</v>
      </c>
      <c r="R238" s="7">
        <v>1696</v>
      </c>
      <c r="S238" s="23">
        <f t="shared" si="8"/>
        <v>3.4979718896026683E-2</v>
      </c>
      <c r="T238" s="7">
        <v>8461</v>
      </c>
      <c r="U238" s="23">
        <f t="shared" si="9"/>
        <v>-2.9542970465106519E-4</v>
      </c>
      <c r="V238" s="7">
        <v>2624.3</v>
      </c>
      <c r="W238" s="23">
        <f t="shared" si="10"/>
        <v>2.0285920529648029E-2</v>
      </c>
      <c r="X238" s="7">
        <v>2789.8</v>
      </c>
      <c r="Y238" s="23">
        <f t="shared" si="11"/>
        <v>2.2657799862212637E-2</v>
      </c>
      <c r="Z238" s="7">
        <v>9177</v>
      </c>
      <c r="AA238" s="23">
        <f t="shared" si="12"/>
        <v>2.3149181866965622E-2</v>
      </c>
      <c r="AB238" s="10">
        <v>720.6</v>
      </c>
      <c r="AC238" s="23">
        <f t="shared" si="13"/>
        <v>-2.7024234303465811E-3</v>
      </c>
      <c r="AD238" s="11">
        <v>15570</v>
      </c>
      <c r="AE238" s="23">
        <f t="shared" si="14"/>
        <v>-7.2156348817383031E-2</v>
      </c>
    </row>
    <row r="239" spans="1:31" ht="13.8">
      <c r="A239" s="6">
        <v>45793</v>
      </c>
      <c r="B239" s="7">
        <v>1589.9</v>
      </c>
      <c r="C239" s="49">
        <f t="shared" si="0"/>
        <v>-1.4424677970545452E-2</v>
      </c>
      <c r="D239" s="8">
        <v>505.6</v>
      </c>
      <c r="E239" s="49">
        <f t="shared" si="1"/>
        <v>6.2497103376799607E-3</v>
      </c>
      <c r="F239" s="7">
        <v>2572.6999999999998</v>
      </c>
      <c r="G239" s="49">
        <f t="shared" si="2"/>
        <v>4.987735859407769E-3</v>
      </c>
      <c r="H239" s="7">
        <v>1842</v>
      </c>
      <c r="I239" s="23">
        <f t="shared" si="3"/>
        <v>1.9460666227557252E-2</v>
      </c>
      <c r="J239" s="7">
        <v>1617</v>
      </c>
      <c r="K239" s="23">
        <f t="shared" si="4"/>
        <v>-7.4551344950167103E-3</v>
      </c>
      <c r="L239" s="7">
        <v>13111</v>
      </c>
      <c r="M239" s="9">
        <f t="shared" si="5"/>
        <v>3.7376636154864924E-2</v>
      </c>
      <c r="N239" s="7">
        <v>16660</v>
      </c>
      <c r="O239" s="23">
        <f t="shared" si="6"/>
        <v>1.3719128539543771E-2</v>
      </c>
      <c r="P239" s="7">
        <v>6279.5</v>
      </c>
      <c r="Q239" s="23">
        <f t="shared" si="7"/>
        <v>1.0405088272615324E-2</v>
      </c>
      <c r="R239" s="7">
        <v>1659.9</v>
      </c>
      <c r="S239" s="23">
        <f t="shared" si="8"/>
        <v>-2.1515177779674623E-2</v>
      </c>
      <c r="T239" s="7">
        <v>8426</v>
      </c>
      <c r="U239" s="23">
        <f t="shared" si="9"/>
        <v>-4.1452063855389933E-3</v>
      </c>
      <c r="V239" s="7">
        <v>2600.4</v>
      </c>
      <c r="W239" s="23">
        <f t="shared" si="10"/>
        <v>-9.1489144668659966E-3</v>
      </c>
      <c r="X239" s="7">
        <v>2841.5</v>
      </c>
      <c r="Y239" s="23">
        <f t="shared" si="11"/>
        <v>1.8362173079041203E-2</v>
      </c>
      <c r="Z239" s="7">
        <v>8718.5</v>
      </c>
      <c r="AA239" s="23">
        <f t="shared" si="12"/>
        <v>-5.1253149061464734E-2</v>
      </c>
      <c r="AB239" s="10">
        <v>724.4</v>
      </c>
      <c r="AC239" s="23">
        <f t="shared" si="13"/>
        <v>5.2595276952654493E-3</v>
      </c>
      <c r="AD239" s="11">
        <v>15803</v>
      </c>
      <c r="AE239" s="23">
        <f t="shared" si="14"/>
        <v>1.4853809581059736E-2</v>
      </c>
    </row>
    <row r="240" spans="1:31" ht="13.8">
      <c r="A240" s="6">
        <v>45796</v>
      </c>
      <c r="B240" s="7">
        <v>1559.8</v>
      </c>
      <c r="C240" s="49">
        <f t="shared" si="0"/>
        <v>-1.9113513258265828E-2</v>
      </c>
      <c r="D240" s="8">
        <v>511.7</v>
      </c>
      <c r="E240" s="49">
        <f t="shared" si="1"/>
        <v>1.1992672978398494E-2</v>
      </c>
      <c r="F240" s="7">
        <v>2564.1999999999998</v>
      </c>
      <c r="G240" s="49">
        <f t="shared" si="2"/>
        <v>-3.3093919514564866E-3</v>
      </c>
      <c r="H240" s="7">
        <v>1823.9</v>
      </c>
      <c r="I240" s="23">
        <f t="shared" si="3"/>
        <v>-9.8748722453000769E-3</v>
      </c>
      <c r="J240" s="7">
        <v>1597.8</v>
      </c>
      <c r="K240" s="23">
        <f t="shared" si="4"/>
        <v>-1.194489752916535E-2</v>
      </c>
      <c r="L240" s="7">
        <v>13973</v>
      </c>
      <c r="M240" s="9">
        <f t="shared" si="5"/>
        <v>6.3675323581046134E-2</v>
      </c>
      <c r="N240" s="7">
        <v>16574</v>
      </c>
      <c r="O240" s="23">
        <f t="shared" si="6"/>
        <v>-5.1754343118459245E-3</v>
      </c>
      <c r="P240" s="7">
        <v>6580</v>
      </c>
      <c r="Q240" s="23">
        <f t="shared" si="7"/>
        <v>4.6744385861181417E-2</v>
      </c>
      <c r="R240" s="7">
        <v>1649.6</v>
      </c>
      <c r="S240" s="23">
        <f t="shared" si="8"/>
        <v>-6.2245253094784297E-3</v>
      </c>
      <c r="T240" s="7">
        <v>8275.5</v>
      </c>
      <c r="U240" s="23">
        <f t="shared" si="9"/>
        <v>-1.8022821158366731E-2</v>
      </c>
      <c r="V240" s="7">
        <v>2534.5</v>
      </c>
      <c r="W240" s="23">
        <f t="shared" si="10"/>
        <v>-2.5668900417909618E-2</v>
      </c>
      <c r="X240" s="7">
        <v>2825.1</v>
      </c>
      <c r="Y240" s="23">
        <f t="shared" si="11"/>
        <v>-5.7883195530489999E-3</v>
      </c>
      <c r="Z240" s="7">
        <v>8397</v>
      </c>
      <c r="AA240" s="23">
        <f t="shared" si="12"/>
        <v>-3.7572705573985163E-2</v>
      </c>
      <c r="AB240" s="10">
        <v>716.6</v>
      </c>
      <c r="AC240" s="23">
        <f t="shared" si="13"/>
        <v>-1.0825921138404861E-2</v>
      </c>
      <c r="AD240" s="11">
        <v>15990</v>
      </c>
      <c r="AE240" s="23">
        <f t="shared" si="14"/>
        <v>1.1763731418896233E-2</v>
      </c>
    </row>
    <row r="241" spans="1:31" ht="13.8">
      <c r="A241" s="6">
        <v>45797</v>
      </c>
      <c r="B241" s="7">
        <v>1560.6</v>
      </c>
      <c r="C241" s="49">
        <f t="shared" si="0"/>
        <v>5.1275478626315032E-4</v>
      </c>
      <c r="D241" s="8">
        <v>509.2</v>
      </c>
      <c r="E241" s="49">
        <f t="shared" si="1"/>
        <v>-4.8976491277946763E-3</v>
      </c>
      <c r="F241" s="7">
        <v>2549.1999999999998</v>
      </c>
      <c r="G241" s="49">
        <f t="shared" si="2"/>
        <v>-5.8669546784612253E-3</v>
      </c>
      <c r="H241" s="7">
        <v>1797.8</v>
      </c>
      <c r="I241" s="23">
        <f t="shared" si="3"/>
        <v>-1.4413370430653133E-2</v>
      </c>
      <c r="J241" s="7">
        <v>1576</v>
      </c>
      <c r="K241" s="23">
        <f t="shared" si="4"/>
        <v>-1.3737691630117094E-2</v>
      </c>
      <c r="L241" s="7">
        <v>12932</v>
      </c>
      <c r="M241" s="9">
        <f t="shared" si="5"/>
        <v>-7.7422036235124156E-2</v>
      </c>
      <c r="N241" s="7">
        <v>16566</v>
      </c>
      <c r="O241" s="23">
        <f t="shared" si="6"/>
        <v>-4.8280025077838197E-4</v>
      </c>
      <c r="P241" s="7">
        <v>6452.5</v>
      </c>
      <c r="Q241" s="23">
        <f t="shared" si="7"/>
        <v>-1.9567092726593932E-2</v>
      </c>
      <c r="R241" s="7">
        <v>1638.3</v>
      </c>
      <c r="S241" s="23">
        <f t="shared" si="8"/>
        <v>-6.8737154364777236E-3</v>
      </c>
      <c r="T241" s="7">
        <v>8205.5</v>
      </c>
      <c r="U241" s="23">
        <f t="shared" si="9"/>
        <v>-8.4946812609126201E-3</v>
      </c>
      <c r="V241" s="7">
        <v>2532.4</v>
      </c>
      <c r="W241" s="23">
        <f t="shared" si="10"/>
        <v>-8.289092424325048E-4</v>
      </c>
      <c r="X241" s="7">
        <v>2751.2</v>
      </c>
      <c r="Y241" s="23">
        <f t="shared" si="11"/>
        <v>-2.6506582066070886E-2</v>
      </c>
      <c r="Z241" s="7">
        <v>8626</v>
      </c>
      <c r="AA241" s="23">
        <f t="shared" si="12"/>
        <v>2.6906399024225314E-2</v>
      </c>
      <c r="AB241" s="10">
        <v>704.05</v>
      </c>
      <c r="AC241" s="23">
        <f t="shared" si="13"/>
        <v>-1.7668428507532832E-2</v>
      </c>
      <c r="AD241" s="11">
        <v>15888</v>
      </c>
      <c r="AE241" s="23">
        <f t="shared" si="14"/>
        <v>-6.3994195430460655E-3</v>
      </c>
    </row>
    <row r="242" spans="1:31" ht="13.8">
      <c r="A242" s="6">
        <v>45798</v>
      </c>
      <c r="B242" s="7">
        <v>1568.5</v>
      </c>
      <c r="C242" s="49">
        <f t="shared" si="0"/>
        <v>5.0493859480719785E-3</v>
      </c>
      <c r="D242" s="8">
        <v>517.9</v>
      </c>
      <c r="E242" s="49">
        <f t="shared" si="1"/>
        <v>1.694130674659438E-2</v>
      </c>
      <c r="F242" s="7">
        <v>2531.4</v>
      </c>
      <c r="G242" s="49">
        <f t="shared" si="2"/>
        <v>-7.0070750817909731E-3</v>
      </c>
      <c r="H242" s="7">
        <v>1879.2</v>
      </c>
      <c r="I242" s="23">
        <f t="shared" si="3"/>
        <v>4.4282459205404072E-2</v>
      </c>
      <c r="J242" s="7">
        <v>1598.2</v>
      </c>
      <c r="K242" s="23">
        <f t="shared" si="4"/>
        <v>1.3988004522537978E-2</v>
      </c>
      <c r="L242" s="7">
        <v>13142</v>
      </c>
      <c r="M242" s="9">
        <f t="shared" si="5"/>
        <v>1.6108348612489411E-2</v>
      </c>
      <c r="N242" s="7">
        <v>15612</v>
      </c>
      <c r="O242" s="23">
        <f t="shared" si="6"/>
        <v>-5.9312552857703794E-2</v>
      </c>
      <c r="P242" s="7">
        <v>6552</v>
      </c>
      <c r="Q242" s="23">
        <f t="shared" si="7"/>
        <v>1.5302693940136508E-2</v>
      </c>
      <c r="R242" s="7">
        <v>1652</v>
      </c>
      <c r="S242" s="23">
        <f t="shared" si="8"/>
        <v>8.3275562547057667E-3</v>
      </c>
      <c r="T242" s="7">
        <v>8266</v>
      </c>
      <c r="U242" s="23">
        <f t="shared" si="9"/>
        <v>7.3460549519950838E-3</v>
      </c>
      <c r="V242" s="7">
        <v>2557.6</v>
      </c>
      <c r="W242" s="23">
        <f t="shared" si="10"/>
        <v>9.9018490756601109E-3</v>
      </c>
      <c r="X242" s="7">
        <v>2767.3</v>
      </c>
      <c r="Y242" s="23">
        <f t="shared" si="11"/>
        <v>5.834935463981423E-3</v>
      </c>
      <c r="Z242" s="7">
        <v>8553</v>
      </c>
      <c r="AA242" s="23">
        <f t="shared" si="12"/>
        <v>-8.4987996270067916E-3</v>
      </c>
      <c r="AB242" s="10">
        <v>709.65</v>
      </c>
      <c r="AC242" s="23">
        <f t="shared" si="13"/>
        <v>7.9225143819461937E-3</v>
      </c>
      <c r="AD242" s="11">
        <v>16601</v>
      </c>
      <c r="AE242" s="23">
        <f t="shared" si="14"/>
        <v>4.3898827209122145E-2</v>
      </c>
    </row>
    <row r="243" spans="1:31" ht="13.8">
      <c r="A243" s="6">
        <v>45799</v>
      </c>
      <c r="B243" s="7">
        <v>1547.5</v>
      </c>
      <c r="C243" s="49">
        <f t="shared" si="0"/>
        <v>-1.3479023071981719E-2</v>
      </c>
      <c r="D243" s="8">
        <v>516.20000000000005</v>
      </c>
      <c r="E243" s="49">
        <f t="shared" si="1"/>
        <v>-3.2878861453321398E-3</v>
      </c>
      <c r="F243" s="7">
        <v>2439.1999999999998</v>
      </c>
      <c r="G243" s="49">
        <f t="shared" si="2"/>
        <v>-3.7102392684303105E-2</v>
      </c>
      <c r="H243" s="7">
        <v>1924.6</v>
      </c>
      <c r="I243" s="23">
        <f t="shared" si="3"/>
        <v>2.3871999577597391E-2</v>
      </c>
      <c r="J243" s="7">
        <v>1565.6</v>
      </c>
      <c r="K243" s="23">
        <f t="shared" si="4"/>
        <v>-2.0608858858496063E-2</v>
      </c>
      <c r="L243" s="7">
        <v>13198</v>
      </c>
      <c r="M243" s="9">
        <f t="shared" si="5"/>
        <v>4.2520944855538086E-3</v>
      </c>
      <c r="N243" s="7">
        <v>15170</v>
      </c>
      <c r="O243" s="23">
        <f t="shared" si="6"/>
        <v>-2.8720055957927679E-2</v>
      </c>
      <c r="P243" s="7">
        <v>6538</v>
      </c>
      <c r="Q243" s="23">
        <f t="shared" si="7"/>
        <v>-2.1390382487494184E-3</v>
      </c>
      <c r="R243" s="7">
        <v>1633</v>
      </c>
      <c r="S243" s="23">
        <f t="shared" si="8"/>
        <v>-1.1567861110458216E-2</v>
      </c>
      <c r="T243" s="7">
        <v>8262</v>
      </c>
      <c r="U243" s="23">
        <f t="shared" si="9"/>
        <v>-4.8402711496786573E-4</v>
      </c>
      <c r="V243" s="7">
        <v>2543.6999999999998</v>
      </c>
      <c r="W243" s="23">
        <f t="shared" si="10"/>
        <v>-5.449604767564703E-3</v>
      </c>
      <c r="X243" s="7">
        <v>2802.8</v>
      </c>
      <c r="Y243" s="23">
        <f t="shared" si="11"/>
        <v>1.2746801914341126E-2</v>
      </c>
      <c r="Z243" s="7">
        <v>8324.5</v>
      </c>
      <c r="AA243" s="23">
        <f t="shared" si="12"/>
        <v>-2.7079124595874773E-2</v>
      </c>
      <c r="AB243" s="10">
        <v>698.25</v>
      </c>
      <c r="AC243" s="23">
        <f t="shared" si="13"/>
        <v>-1.6194685919980606E-2</v>
      </c>
      <c r="AD243" s="11">
        <v>17320</v>
      </c>
      <c r="AE243" s="23">
        <f t="shared" si="14"/>
        <v>4.239896862235016E-2</v>
      </c>
    </row>
    <row r="244" spans="1:31" ht="13.8">
      <c r="A244" s="6">
        <v>45800</v>
      </c>
      <c r="B244" s="7">
        <v>1564.8</v>
      </c>
      <c r="C244" s="49">
        <f t="shared" si="0"/>
        <v>1.1117294721801649E-2</v>
      </c>
      <c r="D244" s="8">
        <v>517.95000000000005</v>
      </c>
      <c r="E244" s="49">
        <f t="shared" si="1"/>
        <v>3.3844252195975944E-3</v>
      </c>
      <c r="F244" s="7">
        <v>2432.4</v>
      </c>
      <c r="G244" s="49">
        <f t="shared" si="2"/>
        <v>-2.7916924280902639E-3</v>
      </c>
      <c r="H244" s="7">
        <v>1909.1</v>
      </c>
      <c r="I244" s="23">
        <f t="shared" si="3"/>
        <v>-8.0862271216868495E-3</v>
      </c>
      <c r="J244" s="7">
        <v>1580.3</v>
      </c>
      <c r="K244" s="23">
        <f t="shared" si="4"/>
        <v>9.3455653331916862E-3</v>
      </c>
      <c r="L244" s="7">
        <v>13748</v>
      </c>
      <c r="M244" s="9">
        <f t="shared" si="5"/>
        <v>4.0828056026357633E-2</v>
      </c>
      <c r="N244" s="7">
        <v>15019</v>
      </c>
      <c r="O244" s="23">
        <f t="shared" si="6"/>
        <v>-1.0003727136997223E-2</v>
      </c>
      <c r="P244" s="7">
        <v>6483</v>
      </c>
      <c r="Q244" s="23">
        <f t="shared" si="7"/>
        <v>-8.4479421091602606E-3</v>
      </c>
      <c r="R244" s="7">
        <v>1648.2</v>
      </c>
      <c r="S244" s="23">
        <f t="shared" si="8"/>
        <v>9.2649693588181415E-3</v>
      </c>
      <c r="T244" s="7">
        <v>8321.5</v>
      </c>
      <c r="U244" s="23">
        <f t="shared" si="9"/>
        <v>7.1758380700714117E-3</v>
      </c>
      <c r="V244" s="7">
        <v>2541.4</v>
      </c>
      <c r="W244" s="23">
        <f t="shared" si="10"/>
        <v>-9.0460370763293947E-4</v>
      </c>
      <c r="X244" s="7">
        <v>2780.6</v>
      </c>
      <c r="Y244" s="23">
        <f t="shared" si="11"/>
        <v>-7.952185760935938E-3</v>
      </c>
      <c r="Z244" s="7">
        <v>8367</v>
      </c>
      <c r="AA244" s="23">
        <f t="shared" si="12"/>
        <v>5.0924233106917627E-3</v>
      </c>
      <c r="AB244" s="10">
        <v>700.85</v>
      </c>
      <c r="AC244" s="23">
        <f t="shared" si="13"/>
        <v>3.7166792837806063E-3</v>
      </c>
      <c r="AD244" s="11">
        <v>17156</v>
      </c>
      <c r="AE244" s="23">
        <f t="shared" si="14"/>
        <v>-9.5139364796551044E-3</v>
      </c>
    </row>
    <row r="245" spans="1:31" ht="13.8">
      <c r="A245" s="6">
        <v>45803</v>
      </c>
      <c r="B245" s="7">
        <v>1580.5</v>
      </c>
      <c r="C245" s="49">
        <f t="shared" si="0"/>
        <v>9.9832323751196331E-3</v>
      </c>
      <c r="D245" s="8">
        <v>520</v>
      </c>
      <c r="E245" s="49">
        <f t="shared" si="1"/>
        <v>3.9500990713618456E-3</v>
      </c>
      <c r="F245" s="7">
        <v>2430.3000000000002</v>
      </c>
      <c r="G245" s="49">
        <f t="shared" si="2"/>
        <v>-8.6371774139941805E-4</v>
      </c>
      <c r="H245" s="7">
        <v>1909.4</v>
      </c>
      <c r="I245" s="23">
        <f t="shared" si="3"/>
        <v>1.5712976331922848E-4</v>
      </c>
      <c r="J245" s="7">
        <v>1601.4</v>
      </c>
      <c r="K245" s="23">
        <f t="shared" si="4"/>
        <v>1.3263544223475513E-2</v>
      </c>
      <c r="L245" s="7">
        <v>13978</v>
      </c>
      <c r="M245" s="9">
        <f t="shared" si="5"/>
        <v>1.6591306067349817E-2</v>
      </c>
      <c r="N245" s="7">
        <v>15085</v>
      </c>
      <c r="O245" s="23">
        <f t="shared" si="6"/>
        <v>4.3848063875807086E-3</v>
      </c>
      <c r="P245" s="7">
        <v>6737</v>
      </c>
      <c r="Q245" s="23">
        <f t="shared" si="7"/>
        <v>3.8431355785664111E-2</v>
      </c>
      <c r="R245" s="7">
        <v>1673.6</v>
      </c>
      <c r="S245" s="23">
        <f t="shared" si="8"/>
        <v>1.5293211541320602E-2</v>
      </c>
      <c r="T245" s="7">
        <v>8455.5</v>
      </c>
      <c r="U245" s="23">
        <f t="shared" si="9"/>
        <v>1.5974590162958126E-2</v>
      </c>
      <c r="V245" s="7">
        <v>2546</v>
      </c>
      <c r="W245" s="23">
        <f t="shared" si="10"/>
        <v>1.808389846917853E-3</v>
      </c>
      <c r="X245" s="7">
        <v>2776.8</v>
      </c>
      <c r="Y245" s="23">
        <f t="shared" si="11"/>
        <v>-1.3675461878662866E-3</v>
      </c>
      <c r="Z245" s="7">
        <v>8277</v>
      </c>
      <c r="AA245" s="23">
        <f t="shared" si="12"/>
        <v>-1.0814813410202899E-2</v>
      </c>
      <c r="AB245" s="10">
        <v>711.35</v>
      </c>
      <c r="AC245" s="23">
        <f t="shared" si="13"/>
        <v>1.4870688988109343E-2</v>
      </c>
      <c r="AD245" s="11">
        <v>16339</v>
      </c>
      <c r="AE245" s="23">
        <f t="shared" si="14"/>
        <v>-4.879307860594758E-2</v>
      </c>
    </row>
    <row r="246" spans="1:31" ht="13.8">
      <c r="A246" s="6">
        <v>45804</v>
      </c>
      <c r="B246" s="7">
        <v>1570.1</v>
      </c>
      <c r="C246" s="49">
        <f t="shared" si="0"/>
        <v>-6.6019410741965032E-3</v>
      </c>
      <c r="D246" s="8">
        <v>528.79999999999995</v>
      </c>
      <c r="E246" s="49">
        <f t="shared" si="1"/>
        <v>1.6781476962003387E-2</v>
      </c>
      <c r="F246" s="7">
        <v>2454.8000000000002</v>
      </c>
      <c r="G246" s="49">
        <f t="shared" si="2"/>
        <v>1.0030585010386618E-2</v>
      </c>
      <c r="H246" s="7">
        <v>1960.1</v>
      </c>
      <c r="I246" s="23">
        <f t="shared" si="3"/>
        <v>2.6206435767296518E-2</v>
      </c>
      <c r="J246" s="7">
        <v>1592.4</v>
      </c>
      <c r="K246" s="23">
        <f t="shared" si="4"/>
        <v>-5.6359345123713047E-3</v>
      </c>
      <c r="L246" s="7">
        <v>13803</v>
      </c>
      <c r="M246" s="9">
        <f t="shared" si="5"/>
        <v>-1.2598705213496023E-2</v>
      </c>
      <c r="N246" s="7">
        <v>15091</v>
      </c>
      <c r="O246" s="23">
        <f t="shared" si="6"/>
        <v>3.9766702538907608E-4</v>
      </c>
      <c r="P246" s="7">
        <v>6698</v>
      </c>
      <c r="Q246" s="23">
        <f t="shared" si="7"/>
        <v>-5.8057476065099256E-3</v>
      </c>
      <c r="R246" s="7">
        <v>1652.1</v>
      </c>
      <c r="S246" s="23">
        <f t="shared" si="8"/>
        <v>-1.2929788934058316E-2</v>
      </c>
      <c r="T246" s="7">
        <v>8459.5</v>
      </c>
      <c r="U246" s="23">
        <f t="shared" si="9"/>
        <v>4.7295300911155555E-4</v>
      </c>
      <c r="V246" s="7">
        <v>2537.8000000000002</v>
      </c>
      <c r="W246" s="23">
        <f t="shared" si="10"/>
        <v>-3.2259361545376075E-3</v>
      </c>
      <c r="X246" s="7">
        <v>2799.7</v>
      </c>
      <c r="Y246" s="23">
        <f t="shared" si="11"/>
        <v>8.2130830183699474E-3</v>
      </c>
      <c r="Z246" s="7">
        <v>8198.5</v>
      </c>
      <c r="AA246" s="23">
        <f t="shared" si="12"/>
        <v>-9.5293731954726561E-3</v>
      </c>
      <c r="AB246" s="10">
        <v>715.65</v>
      </c>
      <c r="AC246" s="23">
        <f t="shared" si="13"/>
        <v>6.0266475330495606E-3</v>
      </c>
      <c r="AD246" s="11">
        <v>17302</v>
      </c>
      <c r="AE246" s="23">
        <f t="shared" si="14"/>
        <v>5.7267213709496036E-2</v>
      </c>
    </row>
    <row r="247" spans="1:31" ht="13.8">
      <c r="A247" s="6">
        <v>45805</v>
      </c>
      <c r="B247" s="7">
        <v>1571.8</v>
      </c>
      <c r="C247" s="49">
        <f t="shared" si="0"/>
        <v>1.0821478505985904E-3</v>
      </c>
      <c r="D247" s="8">
        <v>522.4</v>
      </c>
      <c r="E247" s="49">
        <f t="shared" si="1"/>
        <v>-1.2176710575255231E-2</v>
      </c>
      <c r="F247" s="7">
        <v>2483.8000000000002</v>
      </c>
      <c r="G247" s="49">
        <f t="shared" si="2"/>
        <v>1.1744353998990341E-2</v>
      </c>
      <c r="H247" s="7">
        <v>1917.1</v>
      </c>
      <c r="I247" s="23">
        <f t="shared" si="3"/>
        <v>-2.2181864805225701E-2</v>
      </c>
      <c r="J247" s="7">
        <v>1580.3</v>
      </c>
      <c r="K247" s="23">
        <f t="shared" si="4"/>
        <v>-7.6276097111041717E-3</v>
      </c>
      <c r="L247" s="7">
        <v>13617</v>
      </c>
      <c r="M247" s="9">
        <f t="shared" si="5"/>
        <v>-1.3566947699002959E-2</v>
      </c>
      <c r="N247" s="7">
        <v>14816</v>
      </c>
      <c r="O247" s="23">
        <f t="shared" si="6"/>
        <v>-1.8390861732589824E-2</v>
      </c>
      <c r="P247" s="7">
        <v>6636</v>
      </c>
      <c r="Q247" s="23">
        <f t="shared" si="7"/>
        <v>-9.2996020438148082E-3</v>
      </c>
      <c r="R247" s="7">
        <v>1657.3</v>
      </c>
      <c r="S247" s="23">
        <f t="shared" si="8"/>
        <v>3.1425661929527435E-3</v>
      </c>
      <c r="T247" s="7">
        <v>8467</v>
      </c>
      <c r="U247" s="23">
        <f t="shared" si="9"/>
        <v>8.8618444342618969E-4</v>
      </c>
      <c r="V247" s="7">
        <v>2531.5</v>
      </c>
      <c r="W247" s="23">
        <f t="shared" si="10"/>
        <v>-2.4855515528504168E-3</v>
      </c>
      <c r="X247" s="7">
        <v>2801.5</v>
      </c>
      <c r="Y247" s="23">
        <f t="shared" si="11"/>
        <v>6.4271943939272851E-4</v>
      </c>
      <c r="Z247" s="7">
        <v>8337</v>
      </c>
      <c r="AA247" s="23">
        <f t="shared" si="12"/>
        <v>1.6752228720690401E-2</v>
      </c>
      <c r="AB247" s="10">
        <v>719.3</v>
      </c>
      <c r="AC247" s="23">
        <f t="shared" si="13"/>
        <v>5.0872962430847241E-3</v>
      </c>
      <c r="AD247" s="11">
        <v>18327</v>
      </c>
      <c r="AE247" s="23">
        <f t="shared" si="14"/>
        <v>5.7553280577557028E-2</v>
      </c>
    </row>
    <row r="248" spans="1:31" ht="13.8">
      <c r="A248" s="6">
        <v>45806</v>
      </c>
      <c r="B248" s="7">
        <v>1585.6</v>
      </c>
      <c r="C248" s="49">
        <f t="shared" si="0"/>
        <v>8.7414251436490169E-3</v>
      </c>
      <c r="D248" s="8">
        <v>535.29999999999995</v>
      </c>
      <c r="E248" s="49">
        <f t="shared" si="1"/>
        <v>2.4393759437114186E-2</v>
      </c>
      <c r="F248" s="7">
        <v>2461.8000000000002</v>
      </c>
      <c r="G248" s="49">
        <f t="shared" si="2"/>
        <v>-8.8968558377367762E-3</v>
      </c>
      <c r="H248" s="7">
        <v>1973.6</v>
      </c>
      <c r="I248" s="23">
        <f t="shared" si="3"/>
        <v>2.9045658689143238E-2</v>
      </c>
      <c r="J248" s="7">
        <v>1600</v>
      </c>
      <c r="K248" s="23">
        <f t="shared" si="4"/>
        <v>1.2388926812814484E-2</v>
      </c>
      <c r="L248" s="7">
        <v>13327</v>
      </c>
      <c r="M248" s="9">
        <f t="shared" si="5"/>
        <v>-2.1526959544848314E-2</v>
      </c>
      <c r="N248" s="7">
        <v>14808</v>
      </c>
      <c r="O248" s="23">
        <f t="shared" si="6"/>
        <v>-5.401026326272185E-4</v>
      </c>
      <c r="P248" s="7">
        <v>6631.5</v>
      </c>
      <c r="Q248" s="23">
        <f t="shared" si="7"/>
        <v>-6.7834937592751022E-4</v>
      </c>
      <c r="R248" s="7">
        <v>1664.7</v>
      </c>
      <c r="S248" s="23">
        <f t="shared" si="8"/>
        <v>4.4551548704671396E-3</v>
      </c>
      <c r="T248" s="7">
        <v>8630.5</v>
      </c>
      <c r="U248" s="23">
        <f t="shared" si="9"/>
        <v>1.912618618446665E-2</v>
      </c>
      <c r="V248" s="7">
        <v>2566.4</v>
      </c>
      <c r="W248" s="23">
        <f t="shared" si="10"/>
        <v>1.3692126262231635E-2</v>
      </c>
      <c r="X248" s="7">
        <v>2808.6</v>
      </c>
      <c r="Y248" s="23">
        <f t="shared" si="11"/>
        <v>2.5311505287406318E-3</v>
      </c>
      <c r="Z248" s="7">
        <v>8288.5</v>
      </c>
      <c r="AA248" s="23">
        <f t="shared" si="12"/>
        <v>-5.834427545692686E-3</v>
      </c>
      <c r="AB248" s="10">
        <v>723.45</v>
      </c>
      <c r="AC248" s="23">
        <f t="shared" si="13"/>
        <v>5.7529183097802389E-3</v>
      </c>
      <c r="AD248" s="11">
        <v>18959</v>
      </c>
      <c r="AE248" s="23">
        <f t="shared" si="14"/>
        <v>3.390337048416172E-2</v>
      </c>
    </row>
    <row r="249" spans="1:31" ht="13.8">
      <c r="A249" s="6">
        <v>45807</v>
      </c>
      <c r="B249" s="7">
        <v>1562.7</v>
      </c>
      <c r="C249" s="49">
        <f t="shared" si="0"/>
        <v>-1.4547790156467965E-2</v>
      </c>
      <c r="D249" s="8">
        <v>530.54999999999995</v>
      </c>
      <c r="E249" s="49">
        <f t="shared" si="1"/>
        <v>-8.9131330797362698E-3</v>
      </c>
      <c r="F249" s="7">
        <v>2467.6999999999998</v>
      </c>
      <c r="G249" s="49">
        <f t="shared" si="2"/>
        <v>2.3937530448424871E-3</v>
      </c>
      <c r="H249" s="7">
        <v>2015.5</v>
      </c>
      <c r="I249" s="23">
        <f t="shared" si="3"/>
        <v>2.1008017342073668E-2</v>
      </c>
      <c r="J249" s="7">
        <v>1573.9</v>
      </c>
      <c r="K249" s="23">
        <f t="shared" si="4"/>
        <v>-1.6447013670317305E-2</v>
      </c>
      <c r="L249" s="7">
        <v>13414</v>
      </c>
      <c r="M249" s="9">
        <f t="shared" si="5"/>
        <v>6.5068850799555938E-3</v>
      </c>
      <c r="N249" s="7">
        <v>14692</v>
      </c>
      <c r="O249" s="23">
        <f t="shared" si="6"/>
        <v>-7.864447313775556E-3</v>
      </c>
      <c r="P249" s="7">
        <v>6612</v>
      </c>
      <c r="Q249" s="23">
        <f t="shared" si="7"/>
        <v>-2.9448429934928384E-3</v>
      </c>
      <c r="R249" s="7">
        <v>1636.6</v>
      </c>
      <c r="S249" s="23">
        <f t="shared" si="8"/>
        <v>-1.7024007906684024E-2</v>
      </c>
      <c r="T249" s="7">
        <v>8550.5</v>
      </c>
      <c r="U249" s="23">
        <f t="shared" si="9"/>
        <v>-9.3126800736355007E-3</v>
      </c>
      <c r="V249" s="7">
        <v>2558.8000000000002</v>
      </c>
      <c r="W249" s="23">
        <f t="shared" si="10"/>
        <v>-2.9657400962127462E-3</v>
      </c>
      <c r="X249" s="7">
        <v>2780.8</v>
      </c>
      <c r="Y249" s="23">
        <f t="shared" si="11"/>
        <v>-9.9474824630068938E-3</v>
      </c>
      <c r="Z249" s="7">
        <v>8702.5</v>
      </c>
      <c r="AA249" s="23">
        <f t="shared" si="12"/>
        <v>4.8741328820673335E-2</v>
      </c>
      <c r="AB249" s="10">
        <v>716.45</v>
      </c>
      <c r="AC249" s="23">
        <f t="shared" si="13"/>
        <v>-9.722974020478687E-3</v>
      </c>
      <c r="AD249" s="11">
        <v>19298</v>
      </c>
      <c r="AE249" s="23">
        <f t="shared" si="14"/>
        <v>1.7722710778290789E-2</v>
      </c>
    </row>
    <row r="250" spans="1:31" ht="13.8">
      <c r="A250" s="23"/>
      <c r="B250" s="23"/>
      <c r="D250" s="23"/>
      <c r="F250" s="23"/>
      <c r="H250" s="23"/>
      <c r="J250" s="23"/>
      <c r="L250" s="23"/>
      <c r="M250" s="23"/>
      <c r="N250" s="23"/>
      <c r="P250" s="23"/>
      <c r="R250" s="23"/>
      <c r="T250" s="23"/>
      <c r="V250" s="23"/>
      <c r="X250" s="23"/>
      <c r="Z250" s="23"/>
      <c r="AB250" s="26"/>
      <c r="AD250" s="26"/>
    </row>
    <row r="251" spans="1:31" ht="13.8">
      <c r="A251" s="23"/>
      <c r="B251" s="23"/>
      <c r="C251" s="23">
        <f>AVERAGE(C2:C249)</f>
        <v>4.2520806492343235E-4</v>
      </c>
      <c r="D251" s="23"/>
      <c r="E251" s="23">
        <f>AVERAGE(E2:E249)</f>
        <v>9.6047495704481428E-4</v>
      </c>
      <c r="F251" s="23"/>
      <c r="G251" s="23">
        <f>AVERAGE(G2:G249)</f>
        <v>5.7731798768954749E-4</v>
      </c>
      <c r="H251" s="23"/>
      <c r="I251" s="23">
        <f>AVERAGE(I2:I249)</f>
        <v>1.0440552417803188E-3</v>
      </c>
      <c r="J251" s="23"/>
      <c r="K251" s="23">
        <f>AVERAGE(K2:K249)</f>
        <v>1.0032526456084658E-3</v>
      </c>
      <c r="L251" s="23"/>
      <c r="M251" s="27">
        <f>AVERAGE(M2:M249)</f>
        <v>2.1161920140945071E-3</v>
      </c>
      <c r="N251" s="23"/>
      <c r="O251" s="23">
        <f>AVERAGE(O2:O249)</f>
        <v>1.8096429634046273E-3</v>
      </c>
      <c r="P251" s="23"/>
      <c r="Q251" s="23">
        <f>AVERAGE(Q2:Q249)</f>
        <v>1.7352151373706875E-3</v>
      </c>
      <c r="R251" s="23"/>
      <c r="S251" s="23">
        <f>AVERAGE(S2:S249)</f>
        <v>8.5784589371485915E-4</v>
      </c>
      <c r="T251" s="23"/>
      <c r="U251" s="23">
        <f>AVERAGE(U2:U249)</f>
        <v>2.1958248326252434E-3</v>
      </c>
      <c r="V251" s="23"/>
      <c r="W251" s="23">
        <f>AVERAGE(W2:W249)</f>
        <v>4.5978269198945857E-4</v>
      </c>
      <c r="X251" s="23"/>
      <c r="Y251" s="23">
        <f>AVERAGE(Y2:Y249)</f>
        <v>9.8687398858051767E-4</v>
      </c>
      <c r="Z251" s="23"/>
      <c r="AA251" s="23">
        <f>AVERAGE(AA2:AA249)</f>
        <v>3.2681542363192395E-3</v>
      </c>
      <c r="AC251" s="23">
        <f>AVERAGE(AC2:AC249)</f>
        <v>7.4827171188543028E-4</v>
      </c>
      <c r="AD251" s="11"/>
      <c r="AE251" s="23">
        <f>AVERAGE(AE2:AE249)</f>
        <v>2.3623547830138591E-3</v>
      </c>
    </row>
    <row r="252" spans="1:31" ht="13.8">
      <c r="A252" s="23"/>
      <c r="B252" s="23"/>
      <c r="D252" s="23"/>
      <c r="F252" s="23"/>
      <c r="H252" s="23"/>
      <c r="J252" s="23"/>
      <c r="L252" s="23"/>
      <c r="M252" s="23"/>
      <c r="N252" s="23"/>
      <c r="P252" s="23"/>
      <c r="R252" s="23"/>
      <c r="T252" s="23"/>
      <c r="V252" s="23"/>
      <c r="X252" s="23"/>
      <c r="Z252" s="23"/>
      <c r="AD252" s="11"/>
    </row>
    <row r="253" spans="1:31" ht="13.8">
      <c r="A253" s="23"/>
      <c r="B253" s="23"/>
      <c r="C253" s="23">
        <f>((1+C251)^252)-1</f>
        <v>0.11307856441621311</v>
      </c>
      <c r="D253" s="23"/>
      <c r="E253" s="23">
        <f>((1+E251)^252)-1</f>
        <v>0.27369678570277323</v>
      </c>
      <c r="F253" s="23"/>
      <c r="G253" s="23">
        <f>((1+G251)^252)-1</f>
        <v>0.15655083051917207</v>
      </c>
      <c r="H253" s="23"/>
      <c r="I253" s="23">
        <f>((1+I251)^252)-1</f>
        <v>0.30078076153243183</v>
      </c>
      <c r="J253" s="23"/>
      <c r="K253" s="23">
        <f>((1+K251)^252)-1</f>
        <v>0.2874878678113022</v>
      </c>
      <c r="L253" s="23"/>
      <c r="M253" s="23">
        <f>((1+M251)^252)-1</f>
        <v>0.70355444878533313</v>
      </c>
      <c r="N253" s="23"/>
      <c r="O253" s="23">
        <f>((1+O251)^252)-1</f>
        <v>0.57714759859137899</v>
      </c>
      <c r="P253" s="23"/>
      <c r="Q253" s="23">
        <f>((1+Q251)^252)-1</f>
        <v>0.54789395841034727</v>
      </c>
      <c r="R253" s="23"/>
      <c r="S253" s="23">
        <f>((1+S251)^252)-1</f>
        <v>0.24120725020730727</v>
      </c>
      <c r="T253" s="23"/>
      <c r="U253" s="23">
        <f>((1+U251)^252)-1</f>
        <v>0.73801076065510673</v>
      </c>
      <c r="V253" s="23"/>
      <c r="W253" s="23">
        <f>((1+W251)^252)-1</f>
        <v>0.12281464659707364</v>
      </c>
      <c r="X253" s="23"/>
      <c r="Y253" s="23">
        <f>((1+Y251)^252)-1</f>
        <v>0.28219007487838388</v>
      </c>
      <c r="Z253" s="23"/>
      <c r="AA253" s="23">
        <f>((1+AA251)^252)-1</f>
        <v>1.2755732705010892</v>
      </c>
      <c r="AC253" s="23">
        <f>((1+AC251)^252)-1</f>
        <v>0.20742978747885998</v>
      </c>
      <c r="AD253" s="11"/>
      <c r="AE253" s="23">
        <f>((1+AE251)^252)-1</f>
        <v>0.81232642936420452</v>
      </c>
    </row>
    <row r="254" spans="1:31" ht="13.8">
      <c r="A254" s="23"/>
      <c r="B254" s="23"/>
      <c r="D254" s="23"/>
      <c r="F254" s="23"/>
      <c r="H254" s="23"/>
      <c r="J254" s="23"/>
      <c r="L254" s="23"/>
      <c r="M254" s="23"/>
      <c r="N254" s="23"/>
      <c r="O254" s="23">
        <v>0.57714759859999998</v>
      </c>
      <c r="P254" s="23"/>
      <c r="Q254" s="23">
        <v>0.54789395839999999</v>
      </c>
      <c r="R254" s="23"/>
      <c r="T254" s="23"/>
      <c r="U254" s="23">
        <v>0.73801076070000005</v>
      </c>
      <c r="V254" s="23"/>
      <c r="X254" s="23"/>
      <c r="Z254" s="23"/>
      <c r="AD254" s="11"/>
    </row>
    <row r="255" spans="1:31" ht="13.8">
      <c r="A255" s="23"/>
      <c r="B255" s="23"/>
      <c r="D255" s="23"/>
      <c r="F255" s="23"/>
      <c r="H255" s="23"/>
      <c r="J255" s="23"/>
      <c r="L255" s="23"/>
      <c r="M255" s="23"/>
      <c r="N255" s="23"/>
      <c r="P255" s="23"/>
      <c r="R255" s="23"/>
      <c r="T255" s="23"/>
      <c r="V255" s="23"/>
      <c r="X255" s="23"/>
      <c r="Z255" s="23"/>
      <c r="AD255" s="11"/>
    </row>
    <row r="256" spans="1:31" ht="13.8">
      <c r="A256" s="23"/>
      <c r="B256" s="23"/>
      <c r="D256" s="23"/>
      <c r="F256" s="23"/>
      <c r="H256" s="23"/>
      <c r="J256" s="23"/>
      <c r="L256" s="23"/>
      <c r="M256" s="23"/>
      <c r="N256" s="23"/>
      <c r="P256" s="23"/>
      <c r="R256" s="23"/>
      <c r="T256" s="23"/>
      <c r="V256" s="23"/>
      <c r="X256" s="23"/>
      <c r="Z256" s="23"/>
      <c r="AD256" s="11"/>
    </row>
    <row r="257" spans="1:30" ht="13.8">
      <c r="A257" s="23"/>
      <c r="B257" s="23"/>
      <c r="D257" s="23"/>
      <c r="F257" s="23"/>
      <c r="H257" s="23"/>
      <c r="J257" s="23"/>
      <c r="L257" s="23"/>
      <c r="M257" s="23"/>
      <c r="N257" s="23"/>
      <c r="P257" s="23"/>
      <c r="R257" s="23"/>
      <c r="T257" s="23"/>
      <c r="V257" s="23"/>
      <c r="X257" s="23"/>
      <c r="Z257" s="23"/>
      <c r="AD257" s="11"/>
    </row>
    <row r="258" spans="1:30" ht="13.8">
      <c r="A258" s="23"/>
      <c r="B258" s="23"/>
      <c r="D258" s="23"/>
      <c r="F258" s="23"/>
      <c r="H258" s="23"/>
      <c r="J258" s="23"/>
      <c r="L258" s="23"/>
      <c r="M258" s="23"/>
      <c r="N258" s="23"/>
      <c r="P258" s="23"/>
      <c r="R258" s="23"/>
      <c r="T258" s="23"/>
      <c r="V258" s="23"/>
      <c r="X258" s="23"/>
      <c r="Z258" s="23"/>
      <c r="AD258" s="11"/>
    </row>
    <row r="259" spans="1:30" ht="13.8">
      <c r="A259" s="23"/>
      <c r="B259" s="23"/>
      <c r="D259" s="23"/>
      <c r="F259" s="23"/>
      <c r="H259" s="23"/>
      <c r="J259" s="23"/>
      <c r="L259" s="23"/>
      <c r="M259" s="23"/>
      <c r="N259" s="23"/>
      <c r="P259" s="23"/>
      <c r="R259" s="23"/>
      <c r="T259" s="23"/>
      <c r="V259" s="23"/>
      <c r="X259" s="23"/>
      <c r="Z259" s="23"/>
      <c r="AD259" s="11"/>
    </row>
    <row r="260" spans="1:30" ht="13.8">
      <c r="A260" s="23"/>
      <c r="B260" s="23"/>
      <c r="D260" s="23"/>
      <c r="F260" s="23"/>
      <c r="H260" s="23"/>
      <c r="J260" s="23"/>
      <c r="L260" s="23"/>
      <c r="M260" s="23"/>
      <c r="N260" s="23"/>
      <c r="P260" s="23"/>
      <c r="R260" s="23"/>
      <c r="T260" s="23"/>
      <c r="V260" s="23"/>
      <c r="X260" s="23"/>
      <c r="Z260" s="23"/>
      <c r="AD260" s="11"/>
    </row>
    <row r="261" spans="1:30" ht="13.8">
      <c r="A261" s="23"/>
      <c r="B261" s="23"/>
      <c r="D261" s="23"/>
      <c r="F261" s="23"/>
      <c r="H261" s="23"/>
      <c r="J261" s="23"/>
      <c r="L261" s="23"/>
      <c r="M261" s="23"/>
      <c r="N261" s="23"/>
      <c r="P261" s="23"/>
      <c r="R261" s="23"/>
      <c r="T261" s="23"/>
      <c r="V261" s="23"/>
      <c r="X261" s="23"/>
      <c r="Z261" s="23"/>
      <c r="AD261" s="11"/>
    </row>
    <row r="262" spans="1:30" ht="13.8">
      <c r="A262" s="23"/>
      <c r="B262" s="23"/>
      <c r="D262" s="23"/>
      <c r="F262" s="23"/>
      <c r="H262" s="23"/>
      <c r="J262" s="23"/>
      <c r="L262" s="23"/>
      <c r="M262" s="23"/>
      <c r="N262" s="23"/>
      <c r="P262" s="23"/>
      <c r="R262" s="23"/>
      <c r="T262" s="23"/>
      <c r="V262" s="23"/>
      <c r="X262" s="23"/>
      <c r="Z262" s="23"/>
      <c r="AD262" s="11"/>
    </row>
    <row r="263" spans="1:30" ht="13.8">
      <c r="A263" s="23"/>
      <c r="B263" s="23"/>
      <c r="D263" s="23"/>
      <c r="F263" s="23"/>
      <c r="H263" s="23"/>
      <c r="J263" s="23"/>
      <c r="L263" s="23"/>
      <c r="M263" s="23"/>
      <c r="N263" s="23"/>
      <c r="P263" s="23"/>
      <c r="R263" s="23"/>
      <c r="T263" s="23"/>
      <c r="V263" s="23"/>
      <c r="X263" s="23"/>
      <c r="Z263" s="23"/>
      <c r="AD263" s="11"/>
    </row>
    <row r="264" spans="1:30" ht="13.8">
      <c r="A264" s="23"/>
      <c r="B264" s="23"/>
      <c r="D264" s="23"/>
      <c r="F264" s="23"/>
      <c r="H264" s="23"/>
      <c r="J264" s="23"/>
      <c r="L264" s="23"/>
      <c r="M264" s="23"/>
      <c r="N264" s="23"/>
      <c r="P264" s="23"/>
      <c r="R264" s="23"/>
      <c r="T264" s="23"/>
      <c r="V264" s="23"/>
      <c r="X264" s="23"/>
      <c r="Z264" s="23"/>
      <c r="AD264" s="11"/>
    </row>
    <row r="265" spans="1:30" ht="13.8">
      <c r="A265" s="23"/>
      <c r="B265" s="23"/>
      <c r="D265" s="23"/>
      <c r="F265" s="23"/>
      <c r="H265" s="23"/>
      <c r="J265" s="23"/>
      <c r="L265" s="23"/>
      <c r="M265" s="23"/>
      <c r="N265" s="23"/>
      <c r="P265" s="23"/>
      <c r="R265" s="23"/>
      <c r="T265" s="23"/>
      <c r="V265" s="23"/>
      <c r="X265" s="23"/>
      <c r="Z265" s="23"/>
      <c r="AD265" s="11"/>
    </row>
    <row r="266" spans="1:30" ht="13.8">
      <c r="A266" s="23"/>
      <c r="B266" s="23"/>
      <c r="D266" s="23"/>
      <c r="F266" s="23"/>
      <c r="H266" s="23"/>
      <c r="J266" s="23"/>
      <c r="L266" s="23"/>
      <c r="M266" s="23"/>
      <c r="N266" s="23"/>
      <c r="P266" s="23"/>
      <c r="R266" s="23"/>
      <c r="T266" s="23"/>
      <c r="V266" s="23"/>
      <c r="X266" s="23"/>
      <c r="Z266" s="23"/>
      <c r="AD266" s="11"/>
    </row>
    <row r="267" spans="1:30" ht="13.8">
      <c r="A267" s="23"/>
      <c r="B267" s="23"/>
      <c r="D267" s="23"/>
      <c r="F267" s="23"/>
      <c r="H267" s="23"/>
      <c r="J267" s="23"/>
      <c r="L267" s="23"/>
      <c r="M267" s="23"/>
      <c r="N267" s="23"/>
      <c r="P267" s="23"/>
      <c r="R267" s="23"/>
      <c r="T267" s="23"/>
      <c r="V267" s="23"/>
      <c r="X267" s="23"/>
      <c r="Z267" s="23"/>
      <c r="AD267" s="11"/>
    </row>
    <row r="268" spans="1:30" ht="13.8">
      <c r="A268" s="23"/>
      <c r="B268" s="23"/>
      <c r="D268" s="23"/>
      <c r="F268" s="23"/>
      <c r="H268" s="23"/>
      <c r="J268" s="23"/>
      <c r="L268" s="23"/>
      <c r="M268" s="23"/>
      <c r="N268" s="23"/>
      <c r="P268" s="23"/>
      <c r="R268" s="23"/>
      <c r="T268" s="23"/>
      <c r="V268" s="23"/>
      <c r="X268" s="23"/>
      <c r="Z268" s="23"/>
      <c r="AD268" s="11"/>
    </row>
    <row r="269" spans="1:30" ht="13.8">
      <c r="A269" s="23"/>
      <c r="B269" s="23"/>
      <c r="D269" s="23"/>
      <c r="F269" s="23"/>
      <c r="H269" s="23"/>
      <c r="J269" s="23"/>
      <c r="L269" s="23"/>
      <c r="M269" s="23"/>
      <c r="N269" s="23"/>
      <c r="P269" s="23"/>
      <c r="R269" s="23"/>
      <c r="T269" s="23"/>
      <c r="V269" s="23"/>
      <c r="X269" s="23"/>
      <c r="Z269" s="23"/>
      <c r="AD269" s="11"/>
    </row>
    <row r="270" spans="1:30" ht="13.8">
      <c r="A270" s="23"/>
      <c r="B270" s="23"/>
      <c r="D270" s="23"/>
      <c r="F270" s="23"/>
      <c r="H270" s="23"/>
      <c r="J270" s="23"/>
      <c r="L270" s="23"/>
      <c r="M270" s="23"/>
      <c r="N270" s="23"/>
      <c r="P270" s="23"/>
      <c r="R270" s="23"/>
      <c r="T270" s="23"/>
      <c r="V270" s="23"/>
      <c r="X270" s="23"/>
      <c r="Z270" s="23"/>
      <c r="AD270" s="11"/>
    </row>
    <row r="271" spans="1:30" ht="13.8">
      <c r="A271" s="23"/>
      <c r="B271" s="23"/>
      <c r="D271" s="23"/>
      <c r="F271" s="23"/>
      <c r="H271" s="23"/>
      <c r="J271" s="23"/>
      <c r="L271" s="23"/>
      <c r="M271" s="23"/>
      <c r="N271" s="23"/>
      <c r="P271" s="23"/>
      <c r="R271" s="23"/>
      <c r="T271" s="23"/>
      <c r="V271" s="23"/>
      <c r="X271" s="23"/>
      <c r="Z271" s="23"/>
      <c r="AD271" s="11"/>
    </row>
    <row r="272" spans="1:30" ht="13.8">
      <c r="A272" s="23"/>
      <c r="B272" s="23"/>
      <c r="D272" s="23"/>
      <c r="F272" s="23"/>
      <c r="H272" s="23"/>
      <c r="J272" s="23"/>
      <c r="L272" s="23"/>
      <c r="M272" s="23"/>
      <c r="N272" s="23"/>
      <c r="P272" s="23"/>
      <c r="R272" s="23"/>
      <c r="T272" s="23"/>
      <c r="V272" s="23"/>
      <c r="X272" s="23"/>
      <c r="Z272" s="23"/>
      <c r="AD272" s="11"/>
    </row>
    <row r="273" spans="1:30" ht="13.8">
      <c r="A273" s="23"/>
      <c r="B273" s="23"/>
      <c r="D273" s="23"/>
      <c r="F273" s="23"/>
      <c r="H273" s="23"/>
      <c r="J273" s="23"/>
      <c r="L273" s="23"/>
      <c r="M273" s="23"/>
      <c r="N273" s="23"/>
      <c r="P273" s="23"/>
      <c r="R273" s="23"/>
      <c r="T273" s="23"/>
      <c r="V273" s="23"/>
      <c r="X273" s="23"/>
      <c r="Z273" s="23"/>
      <c r="AD273" s="11"/>
    </row>
    <row r="274" spans="1:30" ht="13.8">
      <c r="A274" s="23"/>
      <c r="B274" s="23"/>
      <c r="D274" s="23"/>
      <c r="F274" s="23"/>
      <c r="H274" s="23"/>
      <c r="J274" s="23"/>
      <c r="L274" s="23"/>
      <c r="M274" s="23"/>
      <c r="N274" s="23"/>
      <c r="P274" s="23"/>
      <c r="R274" s="23"/>
      <c r="T274" s="23"/>
      <c r="V274" s="23"/>
      <c r="X274" s="23"/>
      <c r="Z274" s="23"/>
      <c r="AD274" s="11"/>
    </row>
    <row r="275" spans="1:30" ht="13.8">
      <c r="A275" s="23"/>
      <c r="B275" s="23"/>
      <c r="D275" s="23"/>
      <c r="F275" s="23"/>
      <c r="H275" s="23"/>
      <c r="J275" s="23"/>
      <c r="L275" s="23"/>
      <c r="M275" s="23"/>
      <c r="N275" s="23"/>
      <c r="P275" s="23"/>
      <c r="R275" s="23"/>
      <c r="T275" s="23"/>
      <c r="V275" s="23"/>
      <c r="X275" s="23"/>
      <c r="Z275" s="23"/>
      <c r="AD275" s="11"/>
    </row>
    <row r="276" spans="1:30" ht="13.8">
      <c r="A276" s="23"/>
      <c r="B276" s="23"/>
      <c r="D276" s="23"/>
      <c r="F276" s="23"/>
      <c r="H276" s="23"/>
      <c r="J276" s="23"/>
      <c r="L276" s="23"/>
      <c r="M276" s="23"/>
      <c r="N276" s="23"/>
      <c r="P276" s="23"/>
      <c r="R276" s="23"/>
      <c r="T276" s="23"/>
      <c r="V276" s="23"/>
      <c r="X276" s="23"/>
      <c r="Z276" s="23"/>
      <c r="AD276" s="11"/>
    </row>
    <row r="277" spans="1:30" ht="13.8">
      <c r="A277" s="23"/>
      <c r="B277" s="23"/>
      <c r="D277" s="23"/>
      <c r="F277" s="23"/>
      <c r="H277" s="23"/>
      <c r="J277" s="23"/>
      <c r="L277" s="23"/>
      <c r="M277" s="23"/>
      <c r="N277" s="23"/>
      <c r="P277" s="23"/>
      <c r="R277" s="23"/>
      <c r="T277" s="23"/>
      <c r="V277" s="23"/>
      <c r="X277" s="23"/>
      <c r="Z277" s="23"/>
      <c r="AD277" s="11"/>
    </row>
    <row r="278" spans="1:30" ht="13.8">
      <c r="A278" s="23"/>
      <c r="B278" s="23"/>
      <c r="D278" s="23"/>
      <c r="F278" s="23"/>
      <c r="H278" s="23"/>
      <c r="J278" s="23"/>
      <c r="L278" s="23"/>
      <c r="M278" s="23"/>
      <c r="N278" s="23"/>
      <c r="P278" s="23"/>
      <c r="R278" s="23"/>
      <c r="T278" s="23"/>
      <c r="V278" s="23"/>
      <c r="X278" s="23"/>
      <c r="Z278" s="23"/>
      <c r="AD278" s="11"/>
    </row>
    <row r="279" spans="1:30" ht="13.8">
      <c r="A279" s="23"/>
      <c r="B279" s="23"/>
      <c r="D279" s="23"/>
      <c r="F279" s="23"/>
      <c r="H279" s="23"/>
      <c r="J279" s="23"/>
      <c r="L279" s="23"/>
      <c r="M279" s="23"/>
      <c r="N279" s="23"/>
      <c r="P279" s="23"/>
      <c r="R279" s="23"/>
      <c r="T279" s="23"/>
      <c r="V279" s="23"/>
      <c r="X279" s="23"/>
      <c r="Z279" s="23"/>
      <c r="AD279" s="11"/>
    </row>
    <row r="280" spans="1:30" ht="13.8">
      <c r="A280" s="23"/>
      <c r="B280" s="23"/>
      <c r="D280" s="23"/>
      <c r="F280" s="23"/>
      <c r="H280" s="23"/>
      <c r="J280" s="23"/>
      <c r="L280" s="23"/>
      <c r="M280" s="23"/>
      <c r="N280" s="23"/>
      <c r="P280" s="23"/>
      <c r="R280" s="23"/>
      <c r="T280" s="23"/>
      <c r="V280" s="23"/>
      <c r="X280" s="23"/>
      <c r="Z280" s="23"/>
      <c r="AD280" s="11"/>
    </row>
    <row r="281" spans="1:30" ht="13.8">
      <c r="A281" s="23"/>
      <c r="B281" s="23"/>
      <c r="D281" s="23"/>
      <c r="F281" s="23"/>
      <c r="H281" s="23"/>
      <c r="J281" s="23"/>
      <c r="L281" s="23"/>
      <c r="M281" s="23"/>
      <c r="N281" s="23"/>
      <c r="P281" s="23"/>
      <c r="R281" s="23"/>
      <c r="T281" s="23"/>
      <c r="V281" s="23"/>
      <c r="X281" s="23"/>
      <c r="Z281" s="23"/>
      <c r="AD281" s="11"/>
    </row>
    <row r="282" spans="1:30" ht="13.8">
      <c r="A282" s="23"/>
      <c r="B282" s="23"/>
      <c r="D282" s="23"/>
      <c r="F282" s="23"/>
      <c r="H282" s="23"/>
      <c r="J282" s="23"/>
      <c r="L282" s="23"/>
      <c r="M282" s="23"/>
      <c r="N282" s="23"/>
      <c r="P282" s="23"/>
      <c r="R282" s="23"/>
      <c r="T282" s="23"/>
      <c r="V282" s="23"/>
      <c r="X282" s="23"/>
      <c r="Z282" s="23"/>
      <c r="AD282" s="11"/>
    </row>
    <row r="283" spans="1:30" ht="13.8">
      <c r="A283" s="23"/>
      <c r="B283" s="23"/>
      <c r="D283" s="23"/>
      <c r="F283" s="23"/>
      <c r="H283" s="23"/>
      <c r="J283" s="23"/>
      <c r="L283" s="23"/>
      <c r="M283" s="23"/>
      <c r="N283" s="23"/>
      <c r="P283" s="23"/>
      <c r="R283" s="23"/>
      <c r="T283" s="23"/>
      <c r="V283" s="23"/>
      <c r="X283" s="23"/>
      <c r="Z283" s="23"/>
      <c r="AD283" s="11"/>
    </row>
    <row r="284" spans="1:30" ht="13.8">
      <c r="A284" s="23"/>
      <c r="B284" s="23"/>
      <c r="D284" s="23"/>
      <c r="F284" s="23"/>
      <c r="H284" s="23"/>
      <c r="J284" s="23"/>
      <c r="L284" s="23"/>
      <c r="M284" s="23"/>
      <c r="N284" s="23"/>
      <c r="P284" s="23"/>
      <c r="R284" s="23"/>
      <c r="T284" s="23"/>
      <c r="V284" s="23"/>
      <c r="X284" s="23"/>
      <c r="Z284" s="23"/>
      <c r="AD284" s="11"/>
    </row>
    <row r="285" spans="1:30" ht="13.8">
      <c r="A285" s="23"/>
      <c r="B285" s="23"/>
      <c r="D285" s="23"/>
      <c r="F285" s="23"/>
      <c r="H285" s="23"/>
      <c r="J285" s="23"/>
      <c r="L285" s="23"/>
      <c r="M285" s="23"/>
      <c r="N285" s="23"/>
      <c r="P285" s="23"/>
      <c r="R285" s="23"/>
      <c r="T285" s="23"/>
      <c r="V285" s="23"/>
      <c r="X285" s="23"/>
      <c r="Z285" s="23"/>
      <c r="AD285" s="11"/>
    </row>
    <row r="286" spans="1:30" ht="13.8">
      <c r="A286" s="23"/>
      <c r="B286" s="23"/>
      <c r="D286" s="23"/>
      <c r="F286" s="23"/>
      <c r="H286" s="23"/>
      <c r="J286" s="23"/>
      <c r="L286" s="23"/>
      <c r="M286" s="23"/>
      <c r="N286" s="23"/>
      <c r="P286" s="23"/>
      <c r="R286" s="23"/>
      <c r="T286" s="23"/>
      <c r="V286" s="23"/>
      <c r="X286" s="23"/>
      <c r="Z286" s="23"/>
      <c r="AD286" s="11"/>
    </row>
    <row r="287" spans="1:30" ht="13.8">
      <c r="A287" s="23"/>
      <c r="B287" s="23"/>
      <c r="D287" s="23"/>
      <c r="F287" s="23"/>
      <c r="H287" s="23"/>
      <c r="J287" s="23"/>
      <c r="L287" s="23"/>
      <c r="M287" s="23"/>
      <c r="N287" s="23"/>
      <c r="P287" s="23"/>
      <c r="R287" s="23"/>
      <c r="T287" s="23"/>
      <c r="V287" s="23"/>
      <c r="X287" s="23"/>
      <c r="Z287" s="23"/>
      <c r="AD287" s="11"/>
    </row>
    <row r="288" spans="1:30" ht="13.8">
      <c r="A288" s="23"/>
      <c r="B288" s="23"/>
      <c r="D288" s="23"/>
      <c r="F288" s="23"/>
      <c r="H288" s="23"/>
      <c r="J288" s="23"/>
      <c r="L288" s="23"/>
      <c r="M288" s="23"/>
      <c r="N288" s="23"/>
      <c r="P288" s="23"/>
      <c r="R288" s="23"/>
      <c r="T288" s="23"/>
      <c r="V288" s="23"/>
      <c r="X288" s="23"/>
      <c r="Z288" s="23"/>
      <c r="AD288" s="11"/>
    </row>
    <row r="289" spans="1:30" ht="13.8">
      <c r="A289" s="23"/>
      <c r="B289" s="23"/>
      <c r="D289" s="23"/>
      <c r="F289" s="23"/>
      <c r="H289" s="23"/>
      <c r="J289" s="23"/>
      <c r="L289" s="23"/>
      <c r="M289" s="23"/>
      <c r="N289" s="23"/>
      <c r="P289" s="23"/>
      <c r="R289" s="23"/>
      <c r="T289" s="23"/>
      <c r="V289" s="23"/>
      <c r="X289" s="23"/>
      <c r="Z289" s="23"/>
      <c r="AD289" s="11"/>
    </row>
    <row r="290" spans="1:30" ht="13.8">
      <c r="A290" s="23"/>
      <c r="B290" s="23"/>
      <c r="D290" s="23"/>
      <c r="F290" s="23"/>
      <c r="H290" s="23"/>
      <c r="J290" s="23"/>
      <c r="L290" s="23"/>
      <c r="M290" s="23"/>
      <c r="N290" s="23"/>
      <c r="P290" s="23"/>
      <c r="R290" s="23"/>
      <c r="T290" s="23"/>
      <c r="V290" s="23"/>
      <c r="X290" s="23"/>
      <c r="Z290" s="23"/>
      <c r="AD290" s="11"/>
    </row>
    <row r="291" spans="1:30" ht="13.8">
      <c r="A291" s="23"/>
      <c r="B291" s="23"/>
      <c r="D291" s="23"/>
      <c r="F291" s="23"/>
      <c r="H291" s="23"/>
      <c r="J291" s="23"/>
      <c r="L291" s="23"/>
      <c r="M291" s="23"/>
      <c r="N291" s="23"/>
      <c r="P291" s="23"/>
      <c r="R291" s="23"/>
      <c r="T291" s="23"/>
      <c r="V291" s="23"/>
      <c r="X291" s="23"/>
      <c r="Z291" s="23"/>
      <c r="AD291" s="11"/>
    </row>
    <row r="292" spans="1:30" ht="13.8">
      <c r="A292" s="23"/>
      <c r="B292" s="23"/>
      <c r="D292" s="23"/>
      <c r="F292" s="23"/>
      <c r="H292" s="23"/>
      <c r="J292" s="23"/>
      <c r="L292" s="23"/>
      <c r="M292" s="23"/>
      <c r="N292" s="23"/>
      <c r="P292" s="23"/>
      <c r="R292" s="23"/>
      <c r="T292" s="23"/>
      <c r="V292" s="23"/>
      <c r="X292" s="23"/>
      <c r="Z292" s="23"/>
      <c r="AD292" s="11"/>
    </row>
    <row r="293" spans="1:30" ht="13.8">
      <c r="A293" s="23"/>
      <c r="B293" s="23"/>
      <c r="D293" s="23"/>
      <c r="F293" s="23"/>
      <c r="H293" s="23"/>
      <c r="J293" s="23"/>
      <c r="L293" s="23"/>
      <c r="M293" s="23"/>
      <c r="N293" s="23"/>
      <c r="P293" s="23"/>
      <c r="R293" s="23"/>
      <c r="T293" s="23"/>
      <c r="V293" s="23"/>
      <c r="X293" s="23"/>
      <c r="Z293" s="23"/>
      <c r="AD293" s="11"/>
    </row>
    <row r="294" spans="1:30" ht="13.8">
      <c r="A294" s="23"/>
      <c r="B294" s="23"/>
      <c r="D294" s="23"/>
      <c r="F294" s="23"/>
      <c r="H294" s="23"/>
      <c r="J294" s="23"/>
      <c r="L294" s="23"/>
      <c r="M294" s="23"/>
      <c r="N294" s="23"/>
      <c r="P294" s="23"/>
      <c r="R294" s="23"/>
      <c r="T294" s="23"/>
      <c r="V294" s="23"/>
      <c r="X294" s="23"/>
      <c r="Z294" s="23"/>
      <c r="AD294" s="11"/>
    </row>
    <row r="295" spans="1:30" ht="13.8">
      <c r="A295" s="23"/>
      <c r="B295" s="23"/>
      <c r="D295" s="23"/>
      <c r="F295" s="23"/>
      <c r="H295" s="23"/>
      <c r="J295" s="23"/>
      <c r="L295" s="23"/>
      <c r="M295" s="23"/>
      <c r="N295" s="23"/>
      <c r="P295" s="23"/>
      <c r="R295" s="23"/>
      <c r="T295" s="23"/>
      <c r="V295" s="23"/>
      <c r="X295" s="23"/>
      <c r="Z295" s="23"/>
      <c r="AD295" s="11"/>
    </row>
    <row r="296" spans="1:30" ht="13.8">
      <c r="A296" s="23"/>
      <c r="B296" s="23"/>
      <c r="D296" s="23"/>
      <c r="F296" s="23"/>
      <c r="H296" s="23"/>
      <c r="J296" s="23"/>
      <c r="L296" s="23"/>
      <c r="M296" s="23"/>
      <c r="N296" s="23"/>
      <c r="P296" s="23"/>
      <c r="R296" s="23"/>
      <c r="T296" s="23"/>
      <c r="V296" s="23"/>
      <c r="X296" s="23"/>
      <c r="Z296" s="23"/>
      <c r="AD296" s="11"/>
    </row>
    <row r="297" spans="1:30" ht="13.8">
      <c r="A297" s="23"/>
      <c r="B297" s="23"/>
      <c r="D297" s="23"/>
      <c r="F297" s="23"/>
      <c r="H297" s="23"/>
      <c r="J297" s="23"/>
      <c r="L297" s="23"/>
      <c r="M297" s="23"/>
      <c r="N297" s="23"/>
      <c r="P297" s="23"/>
      <c r="R297" s="23"/>
      <c r="T297" s="23"/>
      <c r="V297" s="23"/>
      <c r="X297" s="23"/>
      <c r="Z297" s="23"/>
      <c r="AD297" s="11"/>
    </row>
    <row r="298" spans="1:30" ht="13.8">
      <c r="A298" s="23"/>
      <c r="B298" s="23"/>
      <c r="D298" s="23"/>
      <c r="F298" s="23"/>
      <c r="H298" s="23"/>
      <c r="J298" s="23"/>
      <c r="L298" s="23"/>
      <c r="M298" s="23"/>
      <c r="N298" s="23"/>
      <c r="P298" s="23"/>
      <c r="R298" s="23"/>
      <c r="T298" s="23"/>
      <c r="V298" s="23"/>
      <c r="X298" s="23"/>
      <c r="Z298" s="23"/>
      <c r="AD298" s="11"/>
    </row>
    <row r="299" spans="1:30" ht="13.8">
      <c r="A299" s="23"/>
      <c r="B299" s="23"/>
      <c r="D299" s="23"/>
      <c r="F299" s="23"/>
      <c r="H299" s="23"/>
      <c r="J299" s="23"/>
      <c r="L299" s="23"/>
      <c r="M299" s="23"/>
      <c r="N299" s="23"/>
      <c r="P299" s="23"/>
      <c r="R299" s="23"/>
      <c r="T299" s="23"/>
      <c r="V299" s="23"/>
      <c r="X299" s="23"/>
      <c r="Z299" s="23"/>
      <c r="AD299" s="11"/>
    </row>
    <row r="300" spans="1:30" ht="13.8">
      <c r="A300" s="23"/>
      <c r="B300" s="23"/>
      <c r="D300" s="23"/>
      <c r="F300" s="23"/>
      <c r="H300" s="23"/>
      <c r="J300" s="23"/>
      <c r="L300" s="23"/>
      <c r="M300" s="23"/>
      <c r="N300" s="23"/>
      <c r="P300" s="23"/>
      <c r="R300" s="23"/>
      <c r="T300" s="23"/>
      <c r="V300" s="23"/>
      <c r="X300" s="23"/>
      <c r="Z300" s="23"/>
      <c r="AD300" s="11"/>
    </row>
    <row r="301" spans="1:30" ht="13.8">
      <c r="A301" s="23"/>
      <c r="B301" s="23"/>
      <c r="D301" s="23"/>
      <c r="F301" s="23"/>
      <c r="H301" s="23"/>
      <c r="J301" s="23"/>
      <c r="L301" s="23"/>
      <c r="M301" s="23"/>
      <c r="N301" s="23"/>
      <c r="P301" s="23"/>
      <c r="R301" s="23"/>
      <c r="T301" s="23"/>
      <c r="V301" s="23"/>
      <c r="X301" s="23"/>
      <c r="Z301" s="23"/>
      <c r="AD301" s="11"/>
    </row>
    <row r="302" spans="1:30" ht="13.8">
      <c r="A302" s="23"/>
      <c r="B302" s="23"/>
      <c r="D302" s="23"/>
      <c r="F302" s="23"/>
      <c r="H302" s="23"/>
      <c r="J302" s="23"/>
      <c r="L302" s="23"/>
      <c r="M302" s="23"/>
      <c r="N302" s="23"/>
      <c r="P302" s="23"/>
      <c r="R302" s="23"/>
      <c r="T302" s="23"/>
      <c r="V302" s="23"/>
      <c r="X302" s="23"/>
      <c r="Z302" s="23"/>
      <c r="AD302" s="11"/>
    </row>
    <row r="303" spans="1:30" ht="13.8">
      <c r="A303" s="23"/>
      <c r="B303" s="23"/>
      <c r="D303" s="23"/>
      <c r="F303" s="23"/>
      <c r="H303" s="23"/>
      <c r="J303" s="23"/>
      <c r="L303" s="23"/>
      <c r="M303" s="23"/>
      <c r="N303" s="23"/>
      <c r="P303" s="23"/>
      <c r="R303" s="23"/>
      <c r="T303" s="23"/>
      <c r="V303" s="23"/>
      <c r="X303" s="23"/>
      <c r="Z303" s="23"/>
      <c r="AD303" s="11"/>
    </row>
    <row r="304" spans="1:30" ht="13.8">
      <c r="A304" s="23"/>
      <c r="B304" s="23"/>
      <c r="D304" s="23"/>
      <c r="F304" s="23"/>
      <c r="H304" s="23"/>
      <c r="J304" s="23"/>
      <c r="L304" s="23"/>
      <c r="M304" s="23"/>
      <c r="N304" s="23"/>
      <c r="P304" s="23"/>
      <c r="R304" s="23"/>
      <c r="T304" s="23"/>
      <c r="V304" s="23"/>
      <c r="X304" s="23"/>
      <c r="Z304" s="23"/>
      <c r="AD304" s="11"/>
    </row>
    <row r="305" spans="1:30" ht="13.8">
      <c r="A305" s="23"/>
      <c r="B305" s="23"/>
      <c r="D305" s="23"/>
      <c r="F305" s="23"/>
      <c r="H305" s="23"/>
      <c r="J305" s="23"/>
      <c r="L305" s="23"/>
      <c r="M305" s="23"/>
      <c r="N305" s="23"/>
      <c r="P305" s="23"/>
      <c r="R305" s="23"/>
      <c r="T305" s="23"/>
      <c r="V305" s="23"/>
      <c r="X305" s="23"/>
      <c r="Z305" s="23"/>
      <c r="AD305" s="11"/>
    </row>
    <row r="306" spans="1:30" ht="13.8">
      <c r="A306" s="23"/>
      <c r="B306" s="23"/>
      <c r="D306" s="23"/>
      <c r="F306" s="23"/>
      <c r="H306" s="23"/>
      <c r="J306" s="23"/>
      <c r="L306" s="23"/>
      <c r="M306" s="23"/>
      <c r="N306" s="23"/>
      <c r="P306" s="23"/>
      <c r="R306" s="23"/>
      <c r="T306" s="23"/>
      <c r="V306" s="23"/>
      <c r="X306" s="23"/>
      <c r="Z306" s="23"/>
      <c r="AD306" s="11"/>
    </row>
    <row r="307" spans="1:30" ht="13.8">
      <c r="A307" s="23"/>
      <c r="B307" s="23"/>
      <c r="D307" s="23"/>
      <c r="F307" s="23"/>
      <c r="H307" s="23"/>
      <c r="J307" s="23"/>
      <c r="L307" s="23"/>
      <c r="M307" s="23"/>
      <c r="N307" s="23"/>
      <c r="P307" s="23"/>
      <c r="R307" s="23"/>
      <c r="T307" s="23"/>
      <c r="V307" s="23"/>
      <c r="X307" s="23"/>
      <c r="Z307" s="23"/>
      <c r="AD307" s="11"/>
    </row>
    <row r="308" spans="1:30" ht="13.8">
      <c r="A308" s="23"/>
      <c r="B308" s="23"/>
      <c r="D308" s="23"/>
      <c r="F308" s="23"/>
      <c r="H308" s="23"/>
      <c r="J308" s="23"/>
      <c r="L308" s="23"/>
      <c r="M308" s="23"/>
      <c r="N308" s="23"/>
      <c r="P308" s="23"/>
      <c r="R308" s="23"/>
      <c r="T308" s="23"/>
      <c r="V308" s="23"/>
      <c r="X308" s="23"/>
      <c r="Z308" s="23"/>
      <c r="AD308" s="11"/>
    </row>
    <row r="309" spans="1:30" ht="13.8">
      <c r="A309" s="23"/>
      <c r="B309" s="23"/>
      <c r="D309" s="23"/>
      <c r="F309" s="23"/>
      <c r="H309" s="23"/>
      <c r="J309" s="23"/>
      <c r="L309" s="23"/>
      <c r="M309" s="23"/>
      <c r="N309" s="23"/>
      <c r="P309" s="23"/>
      <c r="R309" s="23"/>
      <c r="T309" s="23"/>
      <c r="V309" s="23"/>
      <c r="X309" s="23"/>
      <c r="Z309" s="23"/>
      <c r="AD309" s="11"/>
    </row>
    <row r="310" spans="1:30" ht="13.8">
      <c r="A310" s="23"/>
      <c r="B310" s="23"/>
      <c r="D310" s="23"/>
      <c r="F310" s="23"/>
      <c r="H310" s="23"/>
      <c r="J310" s="23"/>
      <c r="L310" s="23"/>
      <c r="M310" s="23"/>
      <c r="N310" s="23"/>
      <c r="P310" s="23"/>
      <c r="R310" s="23"/>
      <c r="T310" s="23"/>
      <c r="V310" s="23"/>
      <c r="X310" s="23"/>
      <c r="Z310" s="23"/>
      <c r="AD310" s="11"/>
    </row>
    <row r="311" spans="1:30" ht="13.8">
      <c r="A311" s="23"/>
      <c r="B311" s="23"/>
      <c r="D311" s="23"/>
      <c r="F311" s="23"/>
      <c r="H311" s="23"/>
      <c r="J311" s="23"/>
      <c r="L311" s="23"/>
      <c r="M311" s="23"/>
      <c r="N311" s="23"/>
      <c r="P311" s="23"/>
      <c r="R311" s="23"/>
      <c r="T311" s="23"/>
      <c r="V311" s="23"/>
      <c r="X311" s="23"/>
      <c r="Z311" s="23"/>
      <c r="AD311" s="11"/>
    </row>
    <row r="312" spans="1:30" ht="13.8">
      <c r="A312" s="23"/>
      <c r="B312" s="23"/>
      <c r="D312" s="23"/>
      <c r="F312" s="23"/>
      <c r="H312" s="23"/>
      <c r="J312" s="23"/>
      <c r="L312" s="23"/>
      <c r="M312" s="23"/>
      <c r="N312" s="23"/>
      <c r="P312" s="23"/>
      <c r="R312" s="23"/>
      <c r="T312" s="23"/>
      <c r="V312" s="23"/>
      <c r="X312" s="23"/>
      <c r="Z312" s="23"/>
      <c r="AD312" s="11"/>
    </row>
    <row r="313" spans="1:30" ht="13.8">
      <c r="A313" s="23"/>
      <c r="B313" s="23"/>
      <c r="D313" s="23"/>
      <c r="F313" s="23"/>
      <c r="H313" s="23"/>
      <c r="J313" s="23"/>
      <c r="L313" s="23"/>
      <c r="M313" s="23"/>
      <c r="N313" s="23"/>
      <c r="P313" s="23"/>
      <c r="R313" s="23"/>
      <c r="T313" s="23"/>
      <c r="V313" s="23"/>
      <c r="X313" s="23"/>
      <c r="Z313" s="23"/>
      <c r="AD313" s="11"/>
    </row>
    <row r="314" spans="1:30" ht="13.8">
      <c r="A314" s="23"/>
      <c r="B314" s="23"/>
      <c r="D314" s="23"/>
      <c r="F314" s="23"/>
      <c r="H314" s="23"/>
      <c r="J314" s="23"/>
      <c r="L314" s="23"/>
      <c r="M314" s="23"/>
      <c r="N314" s="23"/>
      <c r="P314" s="23"/>
      <c r="R314" s="23"/>
      <c r="T314" s="23"/>
      <c r="V314" s="23"/>
      <c r="X314" s="23"/>
      <c r="Z314" s="23"/>
      <c r="AD314" s="11"/>
    </row>
    <row r="315" spans="1:30" ht="13.8">
      <c r="A315" s="23"/>
      <c r="B315" s="23"/>
      <c r="D315" s="23"/>
      <c r="F315" s="23"/>
      <c r="H315" s="23"/>
      <c r="J315" s="23"/>
      <c r="L315" s="23"/>
      <c r="M315" s="23"/>
      <c r="N315" s="23"/>
      <c r="P315" s="23"/>
      <c r="R315" s="23"/>
      <c r="T315" s="23"/>
      <c r="V315" s="23"/>
      <c r="X315" s="23"/>
      <c r="Z315" s="23"/>
      <c r="AD315" s="11"/>
    </row>
    <row r="316" spans="1:30" ht="13.8">
      <c r="A316" s="23"/>
      <c r="B316" s="23"/>
      <c r="D316" s="23"/>
      <c r="F316" s="23"/>
      <c r="H316" s="23"/>
      <c r="J316" s="23"/>
      <c r="L316" s="23"/>
      <c r="M316" s="23"/>
      <c r="N316" s="23"/>
      <c r="P316" s="23"/>
      <c r="R316" s="23"/>
      <c r="T316" s="23"/>
      <c r="V316" s="23"/>
      <c r="X316" s="23"/>
      <c r="Z316" s="23"/>
      <c r="AD316" s="11"/>
    </row>
    <row r="317" spans="1:30" ht="13.8">
      <c r="A317" s="23"/>
      <c r="B317" s="23"/>
      <c r="D317" s="23"/>
      <c r="F317" s="23"/>
      <c r="H317" s="23"/>
      <c r="J317" s="23"/>
      <c r="L317" s="23"/>
      <c r="M317" s="23"/>
      <c r="N317" s="23"/>
      <c r="P317" s="23"/>
      <c r="R317" s="23"/>
      <c r="T317" s="23"/>
      <c r="V317" s="23"/>
      <c r="X317" s="23"/>
      <c r="Z317" s="23"/>
      <c r="AD317" s="11"/>
    </row>
    <row r="318" spans="1:30" ht="13.8">
      <c r="A318" s="23"/>
      <c r="B318" s="23"/>
      <c r="D318" s="23"/>
      <c r="F318" s="23"/>
      <c r="H318" s="23"/>
      <c r="J318" s="23"/>
      <c r="L318" s="23"/>
      <c r="M318" s="23"/>
      <c r="N318" s="23"/>
      <c r="P318" s="23"/>
      <c r="R318" s="23"/>
      <c r="T318" s="23"/>
      <c r="V318" s="23"/>
      <c r="X318" s="23"/>
      <c r="Z318" s="23"/>
      <c r="AD318" s="11"/>
    </row>
    <row r="319" spans="1:30" ht="13.8">
      <c r="A319" s="23"/>
      <c r="B319" s="23"/>
      <c r="D319" s="23"/>
      <c r="F319" s="23"/>
      <c r="H319" s="23"/>
      <c r="J319" s="23"/>
      <c r="L319" s="23"/>
      <c r="M319" s="23"/>
      <c r="N319" s="23"/>
      <c r="P319" s="23"/>
      <c r="R319" s="23"/>
      <c r="T319" s="23"/>
      <c r="V319" s="23"/>
      <c r="X319" s="23"/>
      <c r="Z319" s="23"/>
      <c r="AD319" s="11"/>
    </row>
    <row r="320" spans="1:30" ht="13.8">
      <c r="A320" s="23"/>
      <c r="B320" s="23"/>
      <c r="D320" s="23"/>
      <c r="F320" s="23"/>
      <c r="H320" s="23"/>
      <c r="J320" s="23"/>
      <c r="L320" s="23"/>
      <c r="M320" s="23"/>
      <c r="N320" s="23"/>
      <c r="P320" s="23"/>
      <c r="R320" s="23"/>
      <c r="T320" s="23"/>
      <c r="V320" s="23"/>
      <c r="X320" s="23"/>
      <c r="Z320" s="23"/>
      <c r="AD320" s="11"/>
    </row>
    <row r="321" spans="1:30" ht="13.8">
      <c r="A321" s="23"/>
      <c r="B321" s="23"/>
      <c r="D321" s="23"/>
      <c r="F321" s="23"/>
      <c r="H321" s="23"/>
      <c r="J321" s="23"/>
      <c r="L321" s="23"/>
      <c r="M321" s="23"/>
      <c r="N321" s="23"/>
      <c r="P321" s="23"/>
      <c r="R321" s="23"/>
      <c r="T321" s="23"/>
      <c r="V321" s="23"/>
      <c r="X321" s="23"/>
      <c r="Z321" s="23"/>
      <c r="AD321" s="11"/>
    </row>
    <row r="322" spans="1:30" ht="13.8">
      <c r="A322" s="23"/>
      <c r="B322" s="23"/>
      <c r="D322" s="23"/>
      <c r="F322" s="23"/>
      <c r="H322" s="23"/>
      <c r="J322" s="23"/>
      <c r="L322" s="23"/>
      <c r="M322" s="23"/>
      <c r="N322" s="23"/>
      <c r="P322" s="23"/>
      <c r="R322" s="23"/>
      <c r="T322" s="23"/>
      <c r="V322" s="23"/>
      <c r="X322" s="23"/>
      <c r="Z322" s="23"/>
      <c r="AD322" s="11"/>
    </row>
    <row r="323" spans="1:30" ht="13.8">
      <c r="A323" s="23"/>
      <c r="B323" s="23"/>
      <c r="D323" s="23"/>
      <c r="F323" s="23"/>
      <c r="H323" s="23"/>
      <c r="J323" s="23"/>
      <c r="L323" s="23"/>
      <c r="M323" s="23"/>
      <c r="N323" s="23"/>
      <c r="P323" s="23"/>
      <c r="R323" s="23"/>
      <c r="T323" s="23"/>
      <c r="V323" s="23"/>
      <c r="X323" s="23"/>
      <c r="Z323" s="23"/>
      <c r="AD323" s="11"/>
    </row>
    <row r="324" spans="1:30" ht="13.8">
      <c r="A324" s="23"/>
      <c r="B324" s="23"/>
      <c r="D324" s="23"/>
      <c r="F324" s="23"/>
      <c r="H324" s="23"/>
      <c r="J324" s="23"/>
      <c r="L324" s="23"/>
      <c r="M324" s="23"/>
      <c r="N324" s="23"/>
      <c r="P324" s="23"/>
      <c r="R324" s="23"/>
      <c r="T324" s="23"/>
      <c r="V324" s="23"/>
      <c r="X324" s="23"/>
      <c r="Z324" s="23"/>
      <c r="AD324" s="11"/>
    </row>
    <row r="325" spans="1:30" ht="13.8">
      <c r="A325" s="23"/>
      <c r="B325" s="23"/>
      <c r="D325" s="23"/>
      <c r="F325" s="23"/>
      <c r="H325" s="23"/>
      <c r="J325" s="23"/>
      <c r="L325" s="23"/>
      <c r="M325" s="23"/>
      <c r="N325" s="23"/>
      <c r="P325" s="23"/>
      <c r="R325" s="23"/>
      <c r="T325" s="23"/>
      <c r="V325" s="23"/>
      <c r="X325" s="23"/>
      <c r="Z325" s="23"/>
      <c r="AD325" s="11"/>
    </row>
    <row r="326" spans="1:30" ht="13.8">
      <c r="A326" s="23"/>
      <c r="B326" s="23"/>
      <c r="D326" s="23"/>
      <c r="F326" s="23"/>
      <c r="H326" s="23"/>
      <c r="J326" s="23"/>
      <c r="L326" s="23"/>
      <c r="M326" s="23"/>
      <c r="N326" s="23"/>
      <c r="P326" s="23"/>
      <c r="R326" s="23"/>
      <c r="T326" s="23"/>
      <c r="V326" s="23"/>
      <c r="X326" s="23"/>
      <c r="Z326" s="23"/>
      <c r="AD326" s="11"/>
    </row>
    <row r="327" spans="1:30" ht="13.8">
      <c r="A327" s="23"/>
      <c r="B327" s="23"/>
      <c r="D327" s="23"/>
      <c r="F327" s="23"/>
      <c r="H327" s="23"/>
      <c r="J327" s="23"/>
      <c r="L327" s="23"/>
      <c r="M327" s="23"/>
      <c r="N327" s="23"/>
      <c r="P327" s="23"/>
      <c r="R327" s="23"/>
      <c r="T327" s="23"/>
      <c r="V327" s="23"/>
      <c r="X327" s="23"/>
      <c r="Z327" s="23"/>
      <c r="AD327" s="10"/>
    </row>
    <row r="328" spans="1:30" ht="13.8">
      <c r="A328" s="23"/>
      <c r="B328" s="23"/>
      <c r="D328" s="23"/>
      <c r="F328" s="23"/>
      <c r="H328" s="23"/>
      <c r="J328" s="23"/>
      <c r="L328" s="23"/>
      <c r="M328" s="23"/>
      <c r="N328" s="23"/>
      <c r="P328" s="23"/>
      <c r="R328" s="23"/>
      <c r="T328" s="23"/>
      <c r="V328" s="23"/>
      <c r="X328" s="23"/>
      <c r="Z328" s="23"/>
      <c r="AD328" s="10"/>
    </row>
    <row r="329" spans="1:30" ht="13.8">
      <c r="A329" s="23"/>
      <c r="B329" s="23"/>
      <c r="D329" s="23"/>
      <c r="F329" s="23"/>
      <c r="H329" s="23"/>
      <c r="J329" s="23"/>
      <c r="L329" s="23"/>
      <c r="M329" s="23"/>
      <c r="N329" s="23"/>
      <c r="P329" s="23"/>
      <c r="R329" s="23"/>
      <c r="T329" s="23"/>
      <c r="V329" s="23"/>
      <c r="X329" s="23"/>
      <c r="Z329" s="23"/>
      <c r="AD329" s="10"/>
    </row>
    <row r="330" spans="1:30" ht="13.8">
      <c r="A330" s="23"/>
      <c r="B330" s="23"/>
      <c r="D330" s="23"/>
      <c r="F330" s="23"/>
      <c r="H330" s="23"/>
      <c r="J330" s="23"/>
      <c r="L330" s="23"/>
      <c r="M330" s="23"/>
      <c r="N330" s="23"/>
      <c r="P330" s="23"/>
      <c r="R330" s="23"/>
      <c r="T330" s="23"/>
      <c r="V330" s="23"/>
      <c r="X330" s="23"/>
      <c r="Z330" s="23"/>
      <c r="AD330" s="10"/>
    </row>
    <row r="331" spans="1:30" ht="13.8">
      <c r="A331" s="23"/>
      <c r="B331" s="23"/>
      <c r="D331" s="23"/>
      <c r="F331" s="23"/>
      <c r="H331" s="23"/>
      <c r="J331" s="23"/>
      <c r="L331" s="23"/>
      <c r="M331" s="23"/>
      <c r="N331" s="23"/>
      <c r="P331" s="23"/>
      <c r="R331" s="23"/>
      <c r="T331" s="23"/>
      <c r="V331" s="23"/>
      <c r="X331" s="23"/>
      <c r="Z331" s="23"/>
      <c r="AD331" s="10"/>
    </row>
    <row r="332" spans="1:30" ht="13.8">
      <c r="A332" s="23"/>
      <c r="B332" s="23"/>
      <c r="D332" s="23"/>
      <c r="F332" s="23"/>
      <c r="H332" s="23"/>
      <c r="J332" s="23"/>
      <c r="L332" s="23"/>
      <c r="M332" s="23"/>
      <c r="N332" s="23"/>
      <c r="P332" s="23"/>
      <c r="R332" s="23"/>
      <c r="T332" s="23"/>
      <c r="V332" s="23"/>
      <c r="X332" s="23"/>
      <c r="Z332" s="23"/>
      <c r="AD332" s="10"/>
    </row>
    <row r="333" spans="1:30" ht="13.8">
      <c r="A333" s="23"/>
      <c r="B333" s="23"/>
      <c r="D333" s="23"/>
      <c r="F333" s="23"/>
      <c r="H333" s="23"/>
      <c r="J333" s="23"/>
      <c r="L333" s="23"/>
      <c r="M333" s="23"/>
      <c r="N333" s="23"/>
      <c r="P333" s="23"/>
      <c r="R333" s="23"/>
      <c r="T333" s="23"/>
      <c r="V333" s="23"/>
      <c r="X333" s="23"/>
      <c r="Z333" s="23"/>
      <c r="AD333" s="10"/>
    </row>
    <row r="334" spans="1:30" ht="13.8">
      <c r="A334" s="23"/>
      <c r="B334" s="23"/>
      <c r="D334" s="23"/>
      <c r="F334" s="23"/>
      <c r="H334" s="23"/>
      <c r="J334" s="23"/>
      <c r="L334" s="23"/>
      <c r="M334" s="23"/>
      <c r="N334" s="23"/>
      <c r="P334" s="23"/>
      <c r="R334" s="23"/>
      <c r="T334" s="23"/>
      <c r="V334" s="23"/>
      <c r="X334" s="23"/>
      <c r="Z334" s="23"/>
      <c r="AD334" s="10"/>
    </row>
    <row r="335" spans="1:30" ht="13.8">
      <c r="A335" s="23"/>
      <c r="B335" s="23"/>
      <c r="D335" s="23"/>
      <c r="F335" s="23"/>
      <c r="H335" s="23"/>
      <c r="J335" s="23"/>
      <c r="L335" s="23"/>
      <c r="M335" s="23"/>
      <c r="N335" s="23"/>
      <c r="P335" s="23"/>
      <c r="R335" s="23"/>
      <c r="T335" s="23"/>
      <c r="V335" s="23"/>
      <c r="X335" s="23"/>
      <c r="Z335" s="23"/>
      <c r="AD335" s="10"/>
    </row>
    <row r="336" spans="1:30" ht="13.8">
      <c r="A336" s="23"/>
      <c r="B336" s="23"/>
      <c r="D336" s="23"/>
      <c r="F336" s="23"/>
      <c r="H336" s="23"/>
      <c r="J336" s="23"/>
      <c r="L336" s="23"/>
      <c r="M336" s="23"/>
      <c r="N336" s="23"/>
      <c r="P336" s="23"/>
      <c r="R336" s="23"/>
      <c r="T336" s="23"/>
      <c r="V336" s="23"/>
      <c r="X336" s="23"/>
      <c r="Z336" s="23"/>
      <c r="AD336" s="10"/>
    </row>
    <row r="337" spans="1:30" ht="13.8">
      <c r="A337" s="23"/>
      <c r="B337" s="23"/>
      <c r="D337" s="23"/>
      <c r="F337" s="23"/>
      <c r="H337" s="23"/>
      <c r="J337" s="23"/>
      <c r="L337" s="23"/>
      <c r="M337" s="23"/>
      <c r="N337" s="23"/>
      <c r="P337" s="23"/>
      <c r="R337" s="23"/>
      <c r="T337" s="23"/>
      <c r="V337" s="23"/>
      <c r="X337" s="23"/>
      <c r="Z337" s="23"/>
      <c r="AD337" s="10"/>
    </row>
    <row r="338" spans="1:30" ht="13.8">
      <c r="A338" s="23"/>
      <c r="B338" s="23"/>
      <c r="D338" s="23"/>
      <c r="F338" s="23"/>
      <c r="H338" s="23"/>
      <c r="J338" s="23"/>
      <c r="L338" s="23"/>
      <c r="M338" s="23"/>
      <c r="N338" s="23"/>
      <c r="P338" s="23"/>
      <c r="R338" s="23"/>
      <c r="T338" s="23"/>
      <c r="V338" s="23"/>
      <c r="X338" s="23"/>
      <c r="Z338" s="23"/>
      <c r="AD338" s="10"/>
    </row>
    <row r="339" spans="1:30" ht="13.8">
      <c r="A339" s="23"/>
      <c r="B339" s="23"/>
      <c r="D339" s="23"/>
      <c r="F339" s="23"/>
      <c r="H339" s="23"/>
      <c r="J339" s="23"/>
      <c r="L339" s="23"/>
      <c r="M339" s="23"/>
      <c r="N339" s="23"/>
      <c r="P339" s="23"/>
      <c r="R339" s="23"/>
      <c r="T339" s="23"/>
      <c r="V339" s="23"/>
      <c r="X339" s="23"/>
      <c r="Z339" s="23"/>
      <c r="AD339" s="10"/>
    </row>
    <row r="340" spans="1:30" ht="13.8">
      <c r="A340" s="23"/>
      <c r="B340" s="23"/>
      <c r="D340" s="23"/>
      <c r="F340" s="23"/>
      <c r="H340" s="23"/>
      <c r="J340" s="23"/>
      <c r="L340" s="23"/>
      <c r="M340" s="23"/>
      <c r="N340" s="23"/>
      <c r="P340" s="23"/>
      <c r="R340" s="23"/>
      <c r="T340" s="23"/>
      <c r="V340" s="23"/>
      <c r="X340" s="23"/>
      <c r="Z340" s="23"/>
      <c r="AD340" s="10"/>
    </row>
    <row r="341" spans="1:30" ht="13.8">
      <c r="A341" s="23"/>
      <c r="B341" s="23"/>
      <c r="D341" s="23"/>
      <c r="F341" s="23"/>
      <c r="H341" s="23"/>
      <c r="J341" s="23"/>
      <c r="L341" s="23"/>
      <c r="M341" s="23"/>
      <c r="N341" s="23"/>
      <c r="P341" s="23"/>
      <c r="R341" s="23"/>
      <c r="T341" s="23"/>
      <c r="V341" s="23"/>
      <c r="X341" s="23"/>
      <c r="Z341" s="23"/>
      <c r="AD341" s="10"/>
    </row>
    <row r="342" spans="1:30" ht="13.2">
      <c r="A342" s="23"/>
      <c r="B342" s="23"/>
      <c r="D342" s="23"/>
      <c r="F342" s="23"/>
      <c r="H342" s="23"/>
      <c r="J342" s="23"/>
      <c r="L342" s="23"/>
      <c r="M342" s="23"/>
      <c r="N342" s="23"/>
      <c r="P342" s="23"/>
      <c r="R342" s="23"/>
      <c r="T342" s="23"/>
      <c r="V342" s="23"/>
      <c r="X342" s="23"/>
      <c r="Z342" s="23"/>
    </row>
    <row r="343" spans="1:30" ht="13.2">
      <c r="A343" s="23"/>
      <c r="B343" s="23"/>
      <c r="D343" s="23"/>
      <c r="F343" s="23"/>
      <c r="H343" s="23"/>
      <c r="J343" s="23"/>
      <c r="L343" s="23"/>
      <c r="M343" s="23"/>
      <c r="N343" s="23"/>
      <c r="P343" s="23"/>
      <c r="R343" s="23"/>
      <c r="T343" s="23"/>
      <c r="V343" s="23"/>
      <c r="X343" s="23"/>
      <c r="Z343" s="23"/>
    </row>
    <row r="344" spans="1:30" ht="13.2">
      <c r="A344" s="23"/>
      <c r="B344" s="23"/>
      <c r="D344" s="23"/>
      <c r="F344" s="23"/>
      <c r="H344" s="23"/>
      <c r="J344" s="23"/>
      <c r="L344" s="23"/>
      <c r="M344" s="23"/>
      <c r="N344" s="23"/>
      <c r="P344" s="23"/>
      <c r="R344" s="23"/>
      <c r="T344" s="23"/>
      <c r="V344" s="23"/>
      <c r="X344" s="23"/>
      <c r="Z344" s="23"/>
    </row>
    <row r="345" spans="1:30" ht="13.2">
      <c r="A345" s="23"/>
      <c r="B345" s="23"/>
      <c r="D345" s="23"/>
      <c r="F345" s="23"/>
      <c r="H345" s="23"/>
      <c r="J345" s="23"/>
      <c r="L345" s="23"/>
      <c r="M345" s="23"/>
      <c r="N345" s="23"/>
      <c r="P345" s="23"/>
      <c r="R345" s="23"/>
      <c r="T345" s="23"/>
      <c r="V345" s="23"/>
      <c r="X345" s="23"/>
      <c r="Z345" s="23"/>
    </row>
    <row r="346" spans="1:30" ht="13.2">
      <c r="A346" s="23"/>
      <c r="B346" s="23"/>
      <c r="D346" s="23"/>
      <c r="F346" s="23"/>
      <c r="H346" s="23"/>
      <c r="J346" s="23"/>
      <c r="L346" s="23"/>
      <c r="M346" s="23"/>
      <c r="N346" s="23"/>
      <c r="P346" s="23"/>
      <c r="R346" s="23"/>
      <c r="T346" s="23"/>
      <c r="V346" s="23"/>
      <c r="X346" s="23"/>
      <c r="Z346" s="23"/>
    </row>
    <row r="347" spans="1:30" ht="13.2">
      <c r="A347" s="23"/>
      <c r="B347" s="23"/>
      <c r="D347" s="23"/>
      <c r="F347" s="23"/>
      <c r="H347" s="23"/>
      <c r="J347" s="23"/>
      <c r="L347" s="23"/>
      <c r="M347" s="23"/>
      <c r="N347" s="23"/>
      <c r="P347" s="23"/>
      <c r="R347" s="23"/>
      <c r="T347" s="23"/>
      <c r="V347" s="23"/>
      <c r="X347" s="23"/>
      <c r="Z347" s="23"/>
    </row>
    <row r="348" spans="1:30" ht="13.2">
      <c r="A348" s="23"/>
      <c r="B348" s="23"/>
      <c r="D348" s="23"/>
      <c r="F348" s="23"/>
      <c r="H348" s="23"/>
      <c r="J348" s="23"/>
      <c r="L348" s="23"/>
      <c r="M348" s="23"/>
      <c r="N348" s="23"/>
      <c r="P348" s="23"/>
      <c r="R348" s="23"/>
      <c r="T348" s="23"/>
      <c r="V348" s="23"/>
      <c r="X348" s="23"/>
      <c r="Z348" s="23"/>
    </row>
    <row r="349" spans="1:30" ht="13.2">
      <c r="A349" s="23"/>
      <c r="B349" s="23"/>
      <c r="D349" s="23"/>
      <c r="F349" s="23"/>
      <c r="H349" s="23"/>
      <c r="J349" s="23"/>
      <c r="L349" s="23"/>
      <c r="M349" s="23"/>
      <c r="N349" s="23"/>
      <c r="P349" s="23"/>
      <c r="R349" s="23"/>
      <c r="T349" s="23"/>
      <c r="V349" s="23"/>
      <c r="X349" s="23"/>
      <c r="Z349" s="23"/>
    </row>
    <row r="350" spans="1:30" ht="13.2">
      <c r="A350" s="23"/>
      <c r="B350" s="23"/>
      <c r="D350" s="23"/>
      <c r="F350" s="23"/>
      <c r="H350" s="23"/>
      <c r="J350" s="23"/>
      <c r="L350" s="23"/>
      <c r="M350" s="23"/>
      <c r="N350" s="23"/>
      <c r="P350" s="23"/>
      <c r="R350" s="23"/>
      <c r="T350" s="23"/>
      <c r="V350" s="23"/>
      <c r="X350" s="23"/>
      <c r="Z350" s="23"/>
    </row>
    <row r="351" spans="1:30" ht="13.2">
      <c r="A351" s="23"/>
      <c r="B351" s="23"/>
      <c r="D351" s="23"/>
      <c r="F351" s="23"/>
      <c r="H351" s="23"/>
      <c r="J351" s="23"/>
      <c r="L351" s="23"/>
      <c r="M351" s="23"/>
      <c r="N351" s="23"/>
      <c r="P351" s="23"/>
      <c r="R351" s="23"/>
      <c r="T351" s="23"/>
      <c r="V351" s="23"/>
      <c r="X351" s="23"/>
      <c r="Z351" s="23"/>
    </row>
    <row r="352" spans="1:30" ht="13.2">
      <c r="A352" s="23"/>
      <c r="B352" s="23"/>
      <c r="D352" s="23"/>
      <c r="F352" s="23"/>
      <c r="H352" s="23"/>
      <c r="J352" s="23"/>
      <c r="L352" s="23"/>
      <c r="M352" s="23"/>
      <c r="N352" s="23"/>
      <c r="P352" s="23"/>
      <c r="R352" s="23"/>
      <c r="T352" s="23"/>
      <c r="V352" s="23"/>
      <c r="X352" s="23"/>
      <c r="Z352" s="23"/>
    </row>
    <row r="353" spans="1:26" ht="13.2">
      <c r="A353" s="23"/>
      <c r="B353" s="23"/>
      <c r="D353" s="23"/>
      <c r="F353" s="23"/>
      <c r="H353" s="23"/>
      <c r="J353" s="23"/>
      <c r="L353" s="23"/>
      <c r="M353" s="23"/>
      <c r="N353" s="23"/>
      <c r="P353" s="23"/>
      <c r="R353" s="23"/>
      <c r="T353" s="23"/>
      <c r="V353" s="23"/>
      <c r="X353" s="23"/>
      <c r="Z353" s="23"/>
    </row>
    <row r="354" spans="1:26" ht="13.2">
      <c r="A354" s="23"/>
      <c r="B354" s="23"/>
      <c r="D354" s="23"/>
      <c r="F354" s="23"/>
      <c r="H354" s="23"/>
      <c r="J354" s="23"/>
      <c r="L354" s="23"/>
      <c r="M354" s="23"/>
      <c r="N354" s="23"/>
      <c r="P354" s="23"/>
      <c r="R354" s="23"/>
      <c r="T354" s="23"/>
      <c r="V354" s="23"/>
      <c r="X354" s="23"/>
      <c r="Z354" s="23"/>
    </row>
    <row r="355" spans="1:26" ht="13.2">
      <c r="A355" s="23"/>
      <c r="B355" s="23"/>
      <c r="D355" s="23"/>
      <c r="F355" s="23"/>
      <c r="H355" s="23"/>
      <c r="J355" s="23"/>
      <c r="L355" s="23"/>
      <c r="M355" s="23"/>
      <c r="N355" s="23"/>
      <c r="P355" s="23"/>
      <c r="R355" s="23"/>
      <c r="T355" s="23"/>
      <c r="V355" s="23"/>
      <c r="X355" s="23"/>
      <c r="Z355" s="23"/>
    </row>
    <row r="356" spans="1:26" ht="13.2">
      <c r="A356" s="23"/>
      <c r="B356" s="23"/>
      <c r="D356" s="23"/>
      <c r="F356" s="23"/>
      <c r="H356" s="23"/>
      <c r="J356" s="23"/>
      <c r="L356" s="23"/>
      <c r="M356" s="23"/>
      <c r="N356" s="23"/>
      <c r="P356" s="23"/>
      <c r="R356" s="23"/>
      <c r="T356" s="23"/>
      <c r="V356" s="23"/>
      <c r="X356" s="23"/>
      <c r="Z356" s="23"/>
    </row>
    <row r="357" spans="1:26" ht="13.2">
      <c r="A357" s="23"/>
      <c r="B357" s="23"/>
      <c r="D357" s="23"/>
      <c r="F357" s="23"/>
      <c r="H357" s="23"/>
      <c r="J357" s="23"/>
      <c r="L357" s="23"/>
      <c r="M357" s="23"/>
      <c r="N357" s="23"/>
      <c r="P357" s="23"/>
      <c r="R357" s="23"/>
      <c r="T357" s="23"/>
      <c r="V357" s="23"/>
      <c r="X357" s="23"/>
      <c r="Z357" s="23"/>
    </row>
    <row r="358" spans="1:26" ht="13.2">
      <c r="A358" s="23"/>
      <c r="B358" s="23"/>
      <c r="D358" s="23"/>
      <c r="F358" s="23"/>
      <c r="H358" s="23"/>
      <c r="J358" s="23"/>
      <c r="L358" s="23"/>
      <c r="M358" s="23"/>
      <c r="N358" s="23"/>
      <c r="P358" s="23"/>
      <c r="R358" s="23"/>
      <c r="T358" s="23"/>
      <c r="V358" s="23"/>
      <c r="X358" s="23"/>
      <c r="Z358" s="23"/>
    </row>
    <row r="359" spans="1:26" ht="13.2">
      <c r="A359" s="23"/>
      <c r="B359" s="23"/>
      <c r="D359" s="23"/>
      <c r="F359" s="23"/>
      <c r="H359" s="23"/>
      <c r="J359" s="23"/>
      <c r="L359" s="23"/>
      <c r="M359" s="23"/>
      <c r="N359" s="23"/>
      <c r="P359" s="23"/>
      <c r="R359" s="23"/>
      <c r="T359" s="23"/>
      <c r="V359" s="23"/>
      <c r="X359" s="23"/>
      <c r="Z359" s="23"/>
    </row>
    <row r="360" spans="1:26" ht="13.2">
      <c r="A360" s="23"/>
      <c r="B360" s="23"/>
      <c r="D360" s="23"/>
      <c r="F360" s="23"/>
      <c r="H360" s="23"/>
      <c r="J360" s="23"/>
      <c r="L360" s="23"/>
      <c r="M360" s="23"/>
      <c r="N360" s="23"/>
      <c r="P360" s="23"/>
      <c r="R360" s="23"/>
      <c r="T360" s="23"/>
      <c r="V360" s="23"/>
      <c r="X360" s="23"/>
      <c r="Z360" s="23"/>
    </row>
    <row r="361" spans="1:26" ht="13.2">
      <c r="A361" s="23"/>
      <c r="B361" s="23"/>
      <c r="D361" s="23"/>
      <c r="F361" s="23"/>
      <c r="H361" s="23"/>
      <c r="J361" s="23"/>
      <c r="L361" s="23"/>
      <c r="M361" s="23"/>
      <c r="N361" s="23"/>
      <c r="P361" s="23"/>
      <c r="R361" s="23"/>
      <c r="T361" s="23"/>
      <c r="V361" s="23"/>
      <c r="X361" s="23"/>
      <c r="Z361" s="23"/>
    </row>
    <row r="362" spans="1:26" ht="13.2">
      <c r="A362" s="23"/>
      <c r="B362" s="23"/>
      <c r="D362" s="23"/>
      <c r="F362" s="23"/>
      <c r="H362" s="23"/>
      <c r="J362" s="23"/>
      <c r="L362" s="23"/>
      <c r="M362" s="23"/>
      <c r="N362" s="23"/>
      <c r="P362" s="23"/>
      <c r="R362" s="23"/>
      <c r="T362" s="23"/>
      <c r="V362" s="23"/>
      <c r="X362" s="23"/>
      <c r="Z362" s="23"/>
    </row>
    <row r="363" spans="1:26" ht="13.2">
      <c r="A363" s="23"/>
      <c r="B363" s="23"/>
      <c r="D363" s="23"/>
      <c r="F363" s="23"/>
      <c r="H363" s="23"/>
      <c r="J363" s="23"/>
      <c r="L363" s="23"/>
      <c r="M363" s="23"/>
      <c r="N363" s="23"/>
      <c r="P363" s="23"/>
      <c r="R363" s="23"/>
      <c r="T363" s="23"/>
      <c r="V363" s="23"/>
      <c r="X363" s="23"/>
      <c r="Z363" s="23"/>
    </row>
    <row r="364" spans="1:26" ht="13.2">
      <c r="A364" s="23"/>
      <c r="B364" s="23"/>
      <c r="D364" s="23"/>
      <c r="F364" s="23"/>
      <c r="H364" s="23"/>
      <c r="J364" s="23"/>
      <c r="L364" s="23"/>
      <c r="M364" s="23"/>
      <c r="N364" s="23"/>
      <c r="P364" s="23"/>
      <c r="R364" s="23"/>
      <c r="T364" s="23"/>
      <c r="V364" s="23"/>
      <c r="X364" s="23"/>
      <c r="Z364" s="23"/>
    </row>
    <row r="365" spans="1:26" ht="13.2">
      <c r="A365" s="23"/>
      <c r="B365" s="23"/>
      <c r="D365" s="23"/>
      <c r="F365" s="23"/>
      <c r="H365" s="23"/>
      <c r="J365" s="23"/>
      <c r="L365" s="23"/>
      <c r="M365" s="23"/>
      <c r="N365" s="23"/>
      <c r="P365" s="23"/>
      <c r="R365" s="23"/>
      <c r="T365" s="23"/>
      <c r="V365" s="23"/>
      <c r="X365" s="23"/>
      <c r="Z365" s="23"/>
    </row>
    <row r="366" spans="1:26" ht="13.2">
      <c r="A366" s="23"/>
      <c r="B366" s="23"/>
      <c r="D366" s="23"/>
      <c r="F366" s="23"/>
      <c r="H366" s="23"/>
      <c r="J366" s="23"/>
      <c r="L366" s="23"/>
      <c r="M366" s="23"/>
      <c r="N366" s="23"/>
      <c r="P366" s="23"/>
      <c r="R366" s="23"/>
      <c r="T366" s="23"/>
      <c r="V366" s="23"/>
      <c r="X366" s="23"/>
      <c r="Z366" s="23"/>
    </row>
    <row r="367" spans="1:26" ht="13.2">
      <c r="A367" s="23"/>
      <c r="B367" s="23"/>
      <c r="D367" s="23"/>
      <c r="F367" s="23"/>
      <c r="H367" s="23"/>
      <c r="J367" s="23"/>
      <c r="L367" s="23"/>
      <c r="M367" s="23"/>
      <c r="N367" s="23"/>
      <c r="P367" s="23"/>
      <c r="R367" s="23"/>
      <c r="T367" s="23"/>
      <c r="V367" s="23"/>
      <c r="X367" s="23"/>
      <c r="Z367" s="23"/>
    </row>
    <row r="368" spans="1:26" ht="13.2">
      <c r="A368" s="23"/>
      <c r="B368" s="23"/>
      <c r="D368" s="23"/>
      <c r="F368" s="23"/>
      <c r="H368" s="23"/>
      <c r="J368" s="23"/>
      <c r="L368" s="23"/>
      <c r="M368" s="23"/>
      <c r="N368" s="23"/>
      <c r="P368" s="23"/>
      <c r="R368" s="23"/>
      <c r="T368" s="23"/>
      <c r="V368" s="23"/>
      <c r="X368" s="23"/>
      <c r="Z368" s="23"/>
    </row>
    <row r="369" spans="1:26" ht="13.2">
      <c r="A369" s="23"/>
      <c r="B369" s="23"/>
      <c r="D369" s="23"/>
      <c r="F369" s="23"/>
      <c r="H369" s="23"/>
      <c r="J369" s="23"/>
      <c r="L369" s="23"/>
      <c r="M369" s="23"/>
      <c r="N369" s="23"/>
      <c r="P369" s="23"/>
      <c r="R369" s="23"/>
      <c r="T369" s="23"/>
      <c r="V369" s="23"/>
      <c r="X369" s="23"/>
      <c r="Z369" s="23"/>
    </row>
    <row r="370" spans="1:26" ht="13.2">
      <c r="A370" s="23"/>
      <c r="B370" s="23"/>
      <c r="D370" s="23"/>
      <c r="F370" s="23"/>
      <c r="H370" s="23"/>
      <c r="J370" s="23"/>
      <c r="L370" s="23"/>
      <c r="M370" s="23"/>
      <c r="N370" s="23"/>
      <c r="P370" s="23"/>
      <c r="R370" s="23"/>
      <c r="T370" s="23"/>
      <c r="V370" s="23"/>
      <c r="X370" s="23"/>
      <c r="Z370" s="23"/>
    </row>
    <row r="371" spans="1:26" ht="13.2">
      <c r="A371" s="23"/>
      <c r="B371" s="23"/>
      <c r="D371" s="23"/>
      <c r="F371" s="23"/>
      <c r="H371" s="23"/>
      <c r="J371" s="23"/>
      <c r="L371" s="23"/>
      <c r="M371" s="23"/>
      <c r="N371" s="23"/>
      <c r="P371" s="23"/>
      <c r="R371" s="23"/>
      <c r="T371" s="23"/>
      <c r="V371" s="23"/>
      <c r="X371" s="23"/>
      <c r="Z371" s="23"/>
    </row>
    <row r="372" spans="1:26" ht="13.2">
      <c r="A372" s="23"/>
      <c r="B372" s="23"/>
      <c r="D372" s="23"/>
      <c r="F372" s="23"/>
      <c r="H372" s="23"/>
      <c r="J372" s="23"/>
      <c r="L372" s="23"/>
      <c r="M372" s="23"/>
      <c r="N372" s="23"/>
      <c r="P372" s="23"/>
      <c r="R372" s="23"/>
      <c r="T372" s="23"/>
      <c r="V372" s="23"/>
      <c r="X372" s="23"/>
      <c r="Z372" s="23"/>
    </row>
    <row r="373" spans="1:26" ht="13.2">
      <c r="A373" s="23"/>
      <c r="B373" s="23"/>
      <c r="D373" s="23"/>
      <c r="F373" s="23"/>
      <c r="H373" s="23"/>
      <c r="J373" s="23"/>
      <c r="L373" s="23"/>
      <c r="M373" s="23"/>
      <c r="N373" s="23"/>
      <c r="P373" s="23"/>
      <c r="R373" s="23"/>
      <c r="T373" s="23"/>
      <c r="V373" s="23"/>
      <c r="X373" s="23"/>
      <c r="Z373" s="23"/>
    </row>
    <row r="374" spans="1:26" ht="13.2">
      <c r="A374" s="23"/>
      <c r="B374" s="23"/>
      <c r="D374" s="23"/>
      <c r="F374" s="23"/>
      <c r="H374" s="23"/>
      <c r="J374" s="23"/>
      <c r="L374" s="23"/>
      <c r="M374" s="23"/>
      <c r="N374" s="23"/>
      <c r="P374" s="23"/>
      <c r="R374" s="23"/>
      <c r="T374" s="23"/>
      <c r="V374" s="23"/>
      <c r="X374" s="23"/>
      <c r="Z374" s="23"/>
    </row>
    <row r="375" spans="1:26" ht="13.2">
      <c r="A375" s="23"/>
      <c r="B375" s="23"/>
      <c r="D375" s="23"/>
      <c r="F375" s="23"/>
      <c r="H375" s="23"/>
      <c r="J375" s="23"/>
      <c r="L375" s="23"/>
      <c r="M375" s="23"/>
      <c r="N375" s="23"/>
      <c r="P375" s="23"/>
      <c r="R375" s="23"/>
      <c r="T375" s="23"/>
      <c r="V375" s="23"/>
      <c r="X375" s="23"/>
      <c r="Z375" s="23"/>
    </row>
    <row r="376" spans="1:26" ht="13.2">
      <c r="A376" s="23"/>
      <c r="B376" s="23"/>
      <c r="D376" s="23"/>
      <c r="F376" s="23"/>
      <c r="H376" s="23"/>
      <c r="J376" s="23"/>
      <c r="L376" s="23"/>
      <c r="M376" s="23"/>
      <c r="N376" s="23"/>
      <c r="P376" s="23"/>
      <c r="R376" s="23"/>
      <c r="T376" s="23"/>
      <c r="V376" s="23"/>
      <c r="X376" s="23"/>
      <c r="Z376" s="23"/>
    </row>
    <row r="377" spans="1:26" ht="13.2">
      <c r="A377" s="23"/>
      <c r="B377" s="23"/>
      <c r="D377" s="23"/>
      <c r="F377" s="23"/>
      <c r="H377" s="23"/>
      <c r="J377" s="23"/>
      <c r="L377" s="23"/>
      <c r="M377" s="23"/>
      <c r="N377" s="23"/>
      <c r="P377" s="23"/>
      <c r="R377" s="23"/>
      <c r="T377" s="23"/>
      <c r="V377" s="23"/>
      <c r="X377" s="23"/>
      <c r="Z377" s="23"/>
    </row>
    <row r="378" spans="1:26" ht="13.2">
      <c r="A378" s="23"/>
      <c r="B378" s="23"/>
      <c r="D378" s="23"/>
      <c r="F378" s="23"/>
      <c r="H378" s="23"/>
      <c r="J378" s="23"/>
      <c r="L378" s="23"/>
      <c r="M378" s="23"/>
      <c r="N378" s="23"/>
      <c r="P378" s="23"/>
      <c r="R378" s="23"/>
      <c r="T378" s="23"/>
      <c r="V378" s="23"/>
      <c r="X378" s="23"/>
      <c r="Z378" s="23"/>
    </row>
    <row r="379" spans="1:26" ht="13.2">
      <c r="A379" s="23"/>
      <c r="B379" s="23"/>
      <c r="D379" s="23"/>
      <c r="F379" s="23"/>
      <c r="H379" s="23"/>
      <c r="J379" s="23"/>
      <c r="L379" s="23"/>
      <c r="M379" s="23"/>
      <c r="N379" s="23"/>
      <c r="P379" s="23"/>
      <c r="R379" s="23"/>
      <c r="T379" s="23"/>
      <c r="V379" s="23"/>
      <c r="X379" s="23"/>
      <c r="Z379" s="23"/>
    </row>
    <row r="380" spans="1:26" ht="13.2">
      <c r="A380" s="23"/>
      <c r="B380" s="23"/>
      <c r="D380" s="23"/>
      <c r="F380" s="23"/>
      <c r="H380" s="23"/>
      <c r="J380" s="23"/>
      <c r="L380" s="23"/>
      <c r="M380" s="23"/>
      <c r="N380" s="23"/>
      <c r="P380" s="23"/>
      <c r="R380" s="23"/>
      <c r="T380" s="23"/>
      <c r="V380" s="23"/>
      <c r="X380" s="23"/>
      <c r="Z380" s="23"/>
    </row>
    <row r="381" spans="1:26" ht="13.2">
      <c r="A381" s="23"/>
      <c r="B381" s="23"/>
      <c r="D381" s="23"/>
      <c r="F381" s="23"/>
      <c r="H381" s="23"/>
      <c r="J381" s="23"/>
      <c r="L381" s="23"/>
      <c r="M381" s="23"/>
      <c r="N381" s="23"/>
      <c r="P381" s="23"/>
      <c r="R381" s="23"/>
      <c r="T381" s="23"/>
      <c r="V381" s="23"/>
      <c r="X381" s="23"/>
      <c r="Z381" s="23"/>
    </row>
    <row r="382" spans="1:26" ht="13.2">
      <c r="A382" s="23"/>
      <c r="B382" s="23"/>
      <c r="D382" s="23"/>
      <c r="F382" s="23"/>
      <c r="H382" s="23"/>
      <c r="J382" s="23"/>
      <c r="L382" s="23"/>
      <c r="M382" s="23"/>
      <c r="N382" s="23"/>
      <c r="P382" s="23"/>
      <c r="R382" s="23"/>
      <c r="T382" s="23"/>
      <c r="V382" s="23"/>
      <c r="X382" s="23"/>
      <c r="Z382" s="23"/>
    </row>
    <row r="383" spans="1:26" ht="13.2">
      <c r="A383" s="23"/>
      <c r="B383" s="23"/>
      <c r="D383" s="23"/>
      <c r="F383" s="23"/>
      <c r="H383" s="23"/>
      <c r="J383" s="23"/>
      <c r="L383" s="23"/>
      <c r="M383" s="23"/>
      <c r="N383" s="23"/>
      <c r="P383" s="23"/>
      <c r="R383" s="23"/>
      <c r="T383" s="23"/>
      <c r="V383" s="23"/>
      <c r="X383" s="23"/>
      <c r="Z383" s="23"/>
    </row>
    <row r="384" spans="1:26" ht="13.2">
      <c r="A384" s="23"/>
      <c r="B384" s="23"/>
      <c r="D384" s="23"/>
      <c r="F384" s="23"/>
      <c r="H384" s="23"/>
      <c r="J384" s="23"/>
      <c r="L384" s="23"/>
      <c r="M384" s="23"/>
      <c r="N384" s="23"/>
      <c r="P384" s="23"/>
      <c r="R384" s="23"/>
      <c r="T384" s="23"/>
      <c r="V384" s="23"/>
      <c r="X384" s="23"/>
      <c r="Z384" s="23"/>
    </row>
    <row r="385" spans="1:26" ht="13.2">
      <c r="A385" s="23"/>
      <c r="B385" s="23"/>
      <c r="D385" s="23"/>
      <c r="F385" s="23"/>
      <c r="H385" s="23"/>
      <c r="J385" s="23"/>
      <c r="L385" s="23"/>
      <c r="M385" s="23"/>
      <c r="N385" s="23"/>
      <c r="P385" s="23"/>
      <c r="R385" s="23"/>
      <c r="T385" s="23"/>
      <c r="V385" s="23"/>
      <c r="X385" s="23"/>
      <c r="Z385" s="23"/>
    </row>
    <row r="386" spans="1:26" ht="13.2">
      <c r="A386" s="23"/>
      <c r="B386" s="23"/>
      <c r="D386" s="23"/>
      <c r="F386" s="23"/>
      <c r="H386" s="23"/>
      <c r="J386" s="23"/>
      <c r="L386" s="23"/>
      <c r="M386" s="23"/>
      <c r="N386" s="23"/>
      <c r="P386" s="23"/>
      <c r="R386" s="23"/>
      <c r="T386" s="23"/>
      <c r="V386" s="23"/>
      <c r="X386" s="23"/>
      <c r="Z386" s="23"/>
    </row>
    <row r="387" spans="1:26" ht="13.2">
      <c r="A387" s="23"/>
      <c r="B387" s="23"/>
      <c r="D387" s="23"/>
      <c r="F387" s="23"/>
      <c r="H387" s="23"/>
      <c r="J387" s="23"/>
      <c r="L387" s="23"/>
      <c r="M387" s="23"/>
      <c r="N387" s="23"/>
      <c r="P387" s="23"/>
      <c r="R387" s="23"/>
      <c r="T387" s="23"/>
      <c r="V387" s="23"/>
      <c r="X387" s="23"/>
      <c r="Z387" s="23"/>
    </row>
    <row r="388" spans="1:26" ht="13.2">
      <c r="A388" s="23"/>
      <c r="B388" s="23"/>
      <c r="D388" s="23"/>
      <c r="F388" s="23"/>
      <c r="H388" s="23"/>
      <c r="J388" s="23"/>
      <c r="L388" s="23"/>
      <c r="M388" s="23"/>
      <c r="N388" s="23"/>
      <c r="P388" s="23"/>
      <c r="R388" s="23"/>
      <c r="T388" s="23"/>
      <c r="V388" s="23"/>
      <c r="X388" s="23"/>
      <c r="Z388" s="23"/>
    </row>
    <row r="389" spans="1:26" ht="13.2">
      <c r="A389" s="23"/>
      <c r="B389" s="23"/>
      <c r="D389" s="23"/>
      <c r="F389" s="23"/>
      <c r="H389" s="23"/>
      <c r="J389" s="23"/>
      <c r="L389" s="23"/>
      <c r="M389" s="23"/>
      <c r="N389" s="23"/>
      <c r="P389" s="23"/>
      <c r="R389" s="23"/>
      <c r="T389" s="23"/>
      <c r="V389" s="23"/>
      <c r="X389" s="23"/>
      <c r="Z389" s="23"/>
    </row>
    <row r="390" spans="1:26" ht="13.2">
      <c r="A390" s="23"/>
      <c r="B390" s="23"/>
      <c r="D390" s="23"/>
      <c r="F390" s="23"/>
      <c r="H390" s="23"/>
      <c r="J390" s="23"/>
      <c r="L390" s="23"/>
      <c r="M390" s="23"/>
      <c r="N390" s="23"/>
      <c r="P390" s="23"/>
      <c r="R390" s="23"/>
      <c r="T390" s="23"/>
      <c r="V390" s="23"/>
      <c r="X390" s="23"/>
      <c r="Z390" s="23"/>
    </row>
    <row r="391" spans="1:26" ht="13.2">
      <c r="A391" s="23"/>
      <c r="B391" s="23"/>
      <c r="D391" s="23"/>
      <c r="F391" s="23"/>
      <c r="H391" s="23"/>
      <c r="J391" s="23"/>
      <c r="L391" s="23"/>
      <c r="M391" s="23"/>
      <c r="N391" s="23"/>
      <c r="P391" s="23"/>
      <c r="R391" s="23"/>
      <c r="T391" s="23"/>
      <c r="V391" s="23"/>
      <c r="X391" s="23"/>
      <c r="Z391" s="23"/>
    </row>
    <row r="392" spans="1:26" ht="13.2">
      <c r="A392" s="23"/>
      <c r="B392" s="23"/>
      <c r="D392" s="23"/>
      <c r="F392" s="23"/>
      <c r="H392" s="23"/>
      <c r="J392" s="23"/>
      <c r="L392" s="23"/>
      <c r="M392" s="23"/>
      <c r="N392" s="23"/>
      <c r="P392" s="23"/>
      <c r="R392" s="23"/>
      <c r="T392" s="23"/>
      <c r="V392" s="23"/>
      <c r="X392" s="23"/>
      <c r="Z392" s="23"/>
    </row>
    <row r="393" spans="1:26" ht="13.2">
      <c r="A393" s="23"/>
      <c r="B393" s="23"/>
      <c r="D393" s="23"/>
      <c r="F393" s="23"/>
      <c r="H393" s="23"/>
      <c r="J393" s="23"/>
      <c r="L393" s="23"/>
      <c r="M393" s="23"/>
      <c r="N393" s="23"/>
      <c r="P393" s="23"/>
      <c r="R393" s="23"/>
      <c r="T393" s="23"/>
      <c r="V393" s="23"/>
      <c r="X393" s="23"/>
      <c r="Z393" s="23"/>
    </row>
    <row r="394" spans="1:26" ht="13.2">
      <c r="A394" s="23"/>
      <c r="B394" s="23"/>
      <c r="D394" s="23"/>
      <c r="F394" s="23"/>
      <c r="H394" s="23"/>
      <c r="J394" s="23"/>
      <c r="L394" s="23"/>
      <c r="M394" s="23"/>
      <c r="N394" s="23"/>
      <c r="P394" s="23"/>
      <c r="R394" s="23"/>
      <c r="T394" s="23"/>
      <c r="V394" s="23"/>
      <c r="X394" s="23"/>
      <c r="Z394" s="23"/>
    </row>
    <row r="395" spans="1:26" ht="13.2">
      <c r="A395" s="23"/>
      <c r="B395" s="23"/>
      <c r="D395" s="23"/>
      <c r="F395" s="23"/>
      <c r="H395" s="23"/>
      <c r="J395" s="23"/>
      <c r="L395" s="23"/>
      <c r="M395" s="23"/>
      <c r="N395" s="23"/>
      <c r="P395" s="23"/>
      <c r="R395" s="23"/>
      <c r="T395" s="23"/>
      <c r="V395" s="23"/>
      <c r="X395" s="23"/>
      <c r="Z395" s="23"/>
    </row>
    <row r="396" spans="1:26" ht="13.2">
      <c r="A396" s="23"/>
      <c r="B396" s="23"/>
      <c r="D396" s="23"/>
      <c r="F396" s="23"/>
      <c r="H396" s="23"/>
      <c r="J396" s="23"/>
      <c r="L396" s="23"/>
      <c r="M396" s="23"/>
      <c r="N396" s="23"/>
      <c r="P396" s="23"/>
      <c r="R396" s="23"/>
      <c r="T396" s="23"/>
      <c r="V396" s="23"/>
      <c r="X396" s="23"/>
      <c r="Z396" s="23"/>
    </row>
    <row r="397" spans="1:26" ht="13.2">
      <c r="A397" s="23"/>
      <c r="B397" s="23"/>
      <c r="D397" s="23"/>
      <c r="F397" s="23"/>
      <c r="H397" s="23"/>
      <c r="J397" s="23"/>
      <c r="L397" s="23"/>
      <c r="M397" s="23"/>
      <c r="N397" s="23"/>
      <c r="P397" s="23"/>
      <c r="R397" s="23"/>
      <c r="T397" s="23"/>
      <c r="V397" s="23"/>
      <c r="X397" s="23"/>
      <c r="Z397" s="23"/>
    </row>
    <row r="398" spans="1:26" ht="13.2">
      <c r="A398" s="23"/>
      <c r="B398" s="23"/>
      <c r="D398" s="23"/>
      <c r="F398" s="23"/>
      <c r="H398" s="23"/>
      <c r="J398" s="23"/>
      <c r="L398" s="23"/>
      <c r="M398" s="23"/>
      <c r="N398" s="23"/>
      <c r="P398" s="23"/>
      <c r="R398" s="23"/>
      <c r="T398" s="23"/>
      <c r="V398" s="23"/>
      <c r="X398" s="23"/>
      <c r="Z398" s="23"/>
    </row>
    <row r="399" spans="1:26" ht="13.2">
      <c r="A399" s="23"/>
      <c r="B399" s="23"/>
      <c r="D399" s="23"/>
      <c r="F399" s="23"/>
      <c r="H399" s="23"/>
      <c r="J399" s="23"/>
      <c r="L399" s="23"/>
      <c r="M399" s="23"/>
      <c r="N399" s="23"/>
      <c r="P399" s="23"/>
      <c r="R399" s="23"/>
      <c r="T399" s="23"/>
      <c r="V399" s="23"/>
      <c r="X399" s="23"/>
      <c r="Z399" s="23"/>
    </row>
    <row r="400" spans="1:26" ht="13.2">
      <c r="A400" s="23"/>
      <c r="B400" s="23"/>
      <c r="D400" s="23"/>
      <c r="F400" s="23"/>
      <c r="H400" s="23"/>
      <c r="J400" s="23"/>
      <c r="L400" s="23"/>
      <c r="M400" s="23"/>
      <c r="N400" s="23"/>
      <c r="P400" s="23"/>
      <c r="R400" s="23"/>
      <c r="T400" s="23"/>
      <c r="V400" s="23"/>
      <c r="X400" s="23"/>
      <c r="Z400" s="23"/>
    </row>
    <row r="401" spans="1:26" ht="13.2">
      <c r="A401" s="23"/>
      <c r="B401" s="23"/>
      <c r="D401" s="23"/>
      <c r="F401" s="23"/>
      <c r="H401" s="23"/>
      <c r="J401" s="23"/>
      <c r="L401" s="23"/>
      <c r="M401" s="23"/>
      <c r="N401" s="23"/>
      <c r="P401" s="23"/>
      <c r="R401" s="23"/>
      <c r="T401" s="23"/>
      <c r="V401" s="23"/>
      <c r="X401" s="23"/>
      <c r="Z401" s="23"/>
    </row>
    <row r="402" spans="1:26" ht="13.2">
      <c r="A402" s="23"/>
      <c r="B402" s="23"/>
      <c r="D402" s="23"/>
      <c r="F402" s="23"/>
      <c r="H402" s="23"/>
      <c r="J402" s="23"/>
      <c r="L402" s="23"/>
      <c r="M402" s="23"/>
      <c r="N402" s="23"/>
      <c r="P402" s="23"/>
      <c r="R402" s="23"/>
      <c r="T402" s="23"/>
      <c r="V402" s="23"/>
      <c r="X402" s="23"/>
      <c r="Z402" s="23"/>
    </row>
    <row r="403" spans="1:26" ht="13.2">
      <c r="A403" s="23"/>
      <c r="B403" s="23"/>
      <c r="D403" s="23"/>
      <c r="F403" s="23"/>
      <c r="H403" s="23"/>
      <c r="J403" s="23"/>
      <c r="L403" s="23"/>
      <c r="M403" s="23"/>
      <c r="N403" s="23"/>
      <c r="P403" s="23"/>
      <c r="R403" s="23"/>
      <c r="T403" s="23"/>
      <c r="V403" s="23"/>
      <c r="X403" s="23"/>
      <c r="Z403" s="23"/>
    </row>
    <row r="404" spans="1:26" ht="13.2">
      <c r="A404" s="23"/>
      <c r="B404" s="23"/>
      <c r="D404" s="23"/>
      <c r="F404" s="23"/>
      <c r="H404" s="23"/>
      <c r="J404" s="23"/>
      <c r="L404" s="23"/>
      <c r="M404" s="23"/>
      <c r="N404" s="23"/>
      <c r="P404" s="23"/>
      <c r="R404" s="23"/>
      <c r="T404" s="23"/>
      <c r="V404" s="23"/>
      <c r="X404" s="23"/>
      <c r="Z404" s="23"/>
    </row>
    <row r="405" spans="1:26" ht="13.2">
      <c r="A405" s="23"/>
      <c r="B405" s="23"/>
      <c r="D405" s="23"/>
      <c r="F405" s="23"/>
      <c r="H405" s="23"/>
      <c r="J405" s="23"/>
      <c r="L405" s="23"/>
      <c r="M405" s="23"/>
      <c r="N405" s="23"/>
      <c r="P405" s="23"/>
      <c r="R405" s="23"/>
      <c r="T405" s="23"/>
      <c r="V405" s="23"/>
      <c r="X405" s="23"/>
      <c r="Z405" s="23"/>
    </row>
    <row r="406" spans="1:26" ht="13.2">
      <c r="A406" s="23"/>
      <c r="B406" s="23"/>
      <c r="D406" s="23"/>
      <c r="F406" s="23"/>
      <c r="H406" s="23"/>
      <c r="J406" s="23"/>
      <c r="L406" s="23"/>
      <c r="M406" s="23"/>
      <c r="N406" s="23"/>
      <c r="P406" s="23"/>
      <c r="R406" s="23"/>
      <c r="T406" s="23"/>
      <c r="V406" s="23"/>
      <c r="X406" s="23"/>
      <c r="Z406" s="23"/>
    </row>
    <row r="407" spans="1:26" ht="13.2">
      <c r="A407" s="23"/>
      <c r="B407" s="23"/>
      <c r="D407" s="23"/>
      <c r="F407" s="23"/>
      <c r="H407" s="23"/>
      <c r="J407" s="23"/>
      <c r="L407" s="23"/>
      <c r="M407" s="23"/>
      <c r="N407" s="23"/>
      <c r="P407" s="23"/>
      <c r="R407" s="23"/>
      <c r="T407" s="23"/>
      <c r="V407" s="23"/>
      <c r="X407" s="23"/>
      <c r="Z407" s="23"/>
    </row>
    <row r="408" spans="1:26" ht="13.2">
      <c r="A408" s="23"/>
      <c r="B408" s="23"/>
      <c r="D408" s="23"/>
      <c r="F408" s="23"/>
      <c r="H408" s="23"/>
      <c r="J408" s="23"/>
      <c r="L408" s="23"/>
      <c r="M408" s="23"/>
      <c r="N408" s="23"/>
      <c r="P408" s="23"/>
      <c r="R408" s="23"/>
      <c r="T408" s="23"/>
      <c r="V408" s="23"/>
      <c r="X408" s="23"/>
      <c r="Z408" s="23"/>
    </row>
    <row r="409" spans="1:26" ht="13.2">
      <c r="A409" s="23"/>
      <c r="B409" s="23"/>
      <c r="D409" s="23"/>
      <c r="F409" s="23"/>
      <c r="H409" s="23"/>
      <c r="J409" s="23"/>
      <c r="L409" s="23"/>
      <c r="M409" s="23"/>
      <c r="N409" s="23"/>
      <c r="P409" s="23"/>
      <c r="R409" s="23"/>
      <c r="T409" s="23"/>
      <c r="V409" s="23"/>
      <c r="X409" s="23"/>
      <c r="Z409" s="23"/>
    </row>
    <row r="410" spans="1:26" ht="13.2">
      <c r="A410" s="23"/>
      <c r="B410" s="23"/>
      <c r="D410" s="23"/>
      <c r="F410" s="23"/>
      <c r="H410" s="23"/>
      <c r="J410" s="23"/>
      <c r="L410" s="23"/>
      <c r="M410" s="23"/>
      <c r="N410" s="23"/>
      <c r="P410" s="23"/>
      <c r="R410" s="23"/>
      <c r="T410" s="23"/>
      <c r="V410" s="23"/>
      <c r="X410" s="23"/>
      <c r="Z410" s="23"/>
    </row>
    <row r="411" spans="1:26" ht="13.2">
      <c r="A411" s="23"/>
      <c r="B411" s="23"/>
      <c r="D411" s="23"/>
      <c r="F411" s="23"/>
      <c r="H411" s="23"/>
      <c r="J411" s="23"/>
      <c r="L411" s="23"/>
      <c r="M411" s="23"/>
      <c r="N411" s="23"/>
      <c r="P411" s="23"/>
      <c r="R411" s="23"/>
      <c r="T411" s="23"/>
      <c r="V411" s="23"/>
      <c r="X411" s="23"/>
      <c r="Z411" s="23"/>
    </row>
    <row r="412" spans="1:26" ht="13.2">
      <c r="A412" s="23"/>
      <c r="B412" s="23"/>
      <c r="D412" s="23"/>
      <c r="F412" s="23"/>
      <c r="H412" s="23"/>
      <c r="J412" s="23"/>
      <c r="L412" s="23"/>
      <c r="M412" s="23"/>
      <c r="N412" s="23"/>
      <c r="P412" s="23"/>
      <c r="R412" s="23"/>
      <c r="T412" s="23"/>
      <c r="V412" s="23"/>
      <c r="X412" s="23"/>
      <c r="Z412" s="23"/>
    </row>
    <row r="413" spans="1:26" ht="13.2">
      <c r="A413" s="23"/>
      <c r="B413" s="23"/>
      <c r="D413" s="23"/>
      <c r="F413" s="23"/>
      <c r="H413" s="23"/>
      <c r="J413" s="23"/>
      <c r="L413" s="23"/>
      <c r="M413" s="23"/>
      <c r="N413" s="23"/>
      <c r="P413" s="23"/>
      <c r="R413" s="23"/>
      <c r="T413" s="23"/>
      <c r="V413" s="23"/>
      <c r="X413" s="23"/>
      <c r="Z413" s="23"/>
    </row>
    <row r="414" spans="1:26" ht="13.2">
      <c r="A414" s="23"/>
      <c r="B414" s="23"/>
      <c r="D414" s="23"/>
      <c r="F414" s="23"/>
      <c r="H414" s="23"/>
      <c r="J414" s="23"/>
      <c r="L414" s="23"/>
      <c r="M414" s="23"/>
      <c r="N414" s="23"/>
      <c r="P414" s="23"/>
      <c r="R414" s="23"/>
      <c r="T414" s="23"/>
      <c r="V414" s="23"/>
      <c r="X414" s="23"/>
      <c r="Z414" s="23"/>
    </row>
    <row r="415" spans="1:26" ht="13.2">
      <c r="A415" s="23"/>
      <c r="B415" s="23"/>
      <c r="D415" s="23"/>
      <c r="F415" s="23"/>
      <c r="H415" s="23"/>
      <c r="J415" s="23"/>
      <c r="L415" s="23"/>
      <c r="M415" s="23"/>
      <c r="N415" s="23"/>
      <c r="P415" s="23"/>
      <c r="R415" s="23"/>
      <c r="T415" s="23"/>
      <c r="V415" s="23"/>
      <c r="X415" s="23"/>
      <c r="Z415" s="23"/>
    </row>
    <row r="416" spans="1:26" ht="13.2">
      <c r="A416" s="23"/>
      <c r="B416" s="23"/>
      <c r="D416" s="23"/>
      <c r="F416" s="23"/>
      <c r="H416" s="23"/>
      <c r="J416" s="23"/>
      <c r="L416" s="23"/>
      <c r="M416" s="23"/>
      <c r="N416" s="23"/>
      <c r="P416" s="23"/>
      <c r="R416" s="23"/>
      <c r="T416" s="23"/>
      <c r="V416" s="23"/>
      <c r="X416" s="23"/>
      <c r="Z416" s="23"/>
    </row>
    <row r="417" spans="1:26" ht="13.2">
      <c r="A417" s="23"/>
      <c r="B417" s="23"/>
      <c r="D417" s="23"/>
      <c r="F417" s="23"/>
      <c r="H417" s="23"/>
      <c r="J417" s="23"/>
      <c r="L417" s="23"/>
      <c r="M417" s="23"/>
      <c r="N417" s="23"/>
      <c r="P417" s="23"/>
      <c r="R417" s="23"/>
      <c r="T417" s="23"/>
      <c r="V417" s="23"/>
      <c r="X417" s="23"/>
      <c r="Z417" s="23"/>
    </row>
    <row r="418" spans="1:26" ht="13.2">
      <c r="A418" s="23"/>
      <c r="B418" s="23"/>
      <c r="D418" s="23"/>
      <c r="F418" s="23"/>
      <c r="H418" s="23"/>
      <c r="J418" s="23"/>
      <c r="L418" s="23"/>
      <c r="M418" s="23"/>
      <c r="N418" s="23"/>
      <c r="P418" s="23"/>
      <c r="R418" s="23"/>
      <c r="T418" s="23"/>
      <c r="V418" s="23"/>
      <c r="X418" s="23"/>
      <c r="Z418" s="23"/>
    </row>
    <row r="419" spans="1:26" ht="13.2">
      <c r="A419" s="23"/>
      <c r="B419" s="23"/>
      <c r="D419" s="23"/>
      <c r="F419" s="23"/>
      <c r="H419" s="23"/>
      <c r="J419" s="23"/>
      <c r="L419" s="23"/>
      <c r="M419" s="23"/>
      <c r="N419" s="23"/>
      <c r="P419" s="23"/>
      <c r="R419" s="23"/>
      <c r="T419" s="23"/>
      <c r="V419" s="23"/>
      <c r="X419" s="23"/>
      <c r="Z419" s="23"/>
    </row>
    <row r="420" spans="1:26" ht="13.2">
      <c r="A420" s="23"/>
      <c r="B420" s="23"/>
      <c r="D420" s="23"/>
      <c r="F420" s="23"/>
      <c r="H420" s="23"/>
      <c r="J420" s="23"/>
      <c r="L420" s="23"/>
      <c r="M420" s="23"/>
      <c r="N420" s="23"/>
      <c r="P420" s="23"/>
      <c r="R420" s="23"/>
      <c r="T420" s="23"/>
      <c r="V420" s="23"/>
      <c r="X420" s="23"/>
      <c r="Z420" s="23"/>
    </row>
    <row r="421" spans="1:26" ht="13.2">
      <c r="A421" s="23"/>
      <c r="B421" s="23"/>
      <c r="D421" s="23"/>
      <c r="F421" s="23"/>
      <c r="H421" s="23"/>
      <c r="J421" s="23"/>
      <c r="L421" s="23"/>
      <c r="M421" s="23"/>
      <c r="N421" s="23"/>
      <c r="P421" s="23"/>
      <c r="R421" s="23"/>
      <c r="T421" s="23"/>
      <c r="V421" s="23"/>
      <c r="X421" s="23"/>
      <c r="Z421" s="23"/>
    </row>
    <row r="422" spans="1:26" ht="13.2">
      <c r="A422" s="23"/>
      <c r="B422" s="23"/>
      <c r="D422" s="23"/>
      <c r="F422" s="23"/>
      <c r="H422" s="23"/>
      <c r="J422" s="23"/>
      <c r="L422" s="23"/>
      <c r="M422" s="23"/>
      <c r="N422" s="23"/>
      <c r="P422" s="23"/>
      <c r="R422" s="23"/>
      <c r="T422" s="23"/>
      <c r="V422" s="23"/>
      <c r="X422" s="23"/>
      <c r="Z422" s="23"/>
    </row>
    <row r="423" spans="1:26" ht="13.2">
      <c r="A423" s="23"/>
      <c r="B423" s="23"/>
      <c r="D423" s="23"/>
      <c r="F423" s="23"/>
      <c r="H423" s="23"/>
      <c r="J423" s="23"/>
      <c r="L423" s="23"/>
      <c r="M423" s="23"/>
      <c r="N423" s="23"/>
      <c r="P423" s="23"/>
      <c r="R423" s="23"/>
      <c r="T423" s="23"/>
      <c r="V423" s="23"/>
      <c r="X423" s="23"/>
      <c r="Z423" s="23"/>
    </row>
    <row r="424" spans="1:26" ht="13.2">
      <c r="A424" s="23"/>
      <c r="B424" s="23"/>
      <c r="D424" s="23"/>
      <c r="F424" s="23"/>
      <c r="H424" s="23"/>
      <c r="J424" s="23"/>
      <c r="L424" s="23"/>
      <c r="M424" s="23"/>
      <c r="N424" s="23"/>
      <c r="P424" s="23"/>
      <c r="R424" s="23"/>
      <c r="T424" s="23"/>
      <c r="V424" s="23"/>
      <c r="X424" s="23"/>
      <c r="Z424" s="23"/>
    </row>
    <row r="425" spans="1:26" ht="13.2">
      <c r="A425" s="23"/>
      <c r="B425" s="23"/>
      <c r="D425" s="23"/>
      <c r="F425" s="23"/>
      <c r="H425" s="23"/>
      <c r="J425" s="23"/>
      <c r="L425" s="23"/>
      <c r="M425" s="23"/>
      <c r="N425" s="23"/>
      <c r="P425" s="23"/>
      <c r="R425" s="23"/>
      <c r="T425" s="23"/>
      <c r="V425" s="23"/>
      <c r="X425" s="23"/>
      <c r="Z425" s="23"/>
    </row>
    <row r="426" spans="1:26" ht="13.2">
      <c r="A426" s="23"/>
      <c r="B426" s="23"/>
      <c r="D426" s="23"/>
      <c r="F426" s="23"/>
      <c r="H426" s="23"/>
      <c r="J426" s="23"/>
      <c r="L426" s="23"/>
      <c r="M426" s="23"/>
      <c r="N426" s="23"/>
      <c r="P426" s="23"/>
      <c r="R426" s="23"/>
      <c r="T426" s="23"/>
      <c r="V426" s="23"/>
      <c r="X426" s="23"/>
      <c r="Z426" s="23"/>
    </row>
    <row r="427" spans="1:26" ht="13.2">
      <c r="A427" s="23"/>
      <c r="B427" s="23"/>
      <c r="D427" s="23"/>
      <c r="F427" s="23"/>
      <c r="H427" s="23"/>
      <c r="J427" s="23"/>
      <c r="L427" s="23"/>
      <c r="M427" s="23"/>
      <c r="N427" s="23"/>
      <c r="P427" s="23"/>
      <c r="R427" s="23"/>
      <c r="T427" s="23"/>
      <c r="V427" s="23"/>
      <c r="X427" s="23"/>
      <c r="Z427" s="23"/>
    </row>
    <row r="428" spans="1:26" ht="13.2">
      <c r="A428" s="23"/>
      <c r="B428" s="23"/>
      <c r="D428" s="23"/>
      <c r="F428" s="23"/>
      <c r="H428" s="23"/>
      <c r="J428" s="23"/>
      <c r="L428" s="23"/>
      <c r="M428" s="23"/>
      <c r="N428" s="23"/>
      <c r="P428" s="23"/>
      <c r="R428" s="23"/>
      <c r="T428" s="23"/>
      <c r="V428" s="23"/>
      <c r="X428" s="23"/>
      <c r="Z428" s="23"/>
    </row>
    <row r="429" spans="1:26" ht="13.2">
      <c r="A429" s="23"/>
      <c r="B429" s="23"/>
      <c r="D429" s="23"/>
      <c r="F429" s="23"/>
      <c r="H429" s="23"/>
      <c r="J429" s="23"/>
      <c r="L429" s="23"/>
      <c r="M429" s="23"/>
      <c r="N429" s="23"/>
      <c r="P429" s="23"/>
      <c r="R429" s="23"/>
      <c r="T429" s="23"/>
      <c r="V429" s="23"/>
      <c r="X429" s="23"/>
      <c r="Z429" s="23"/>
    </row>
    <row r="430" spans="1:26" ht="13.2">
      <c r="A430" s="23"/>
      <c r="B430" s="23"/>
      <c r="D430" s="23"/>
      <c r="F430" s="23"/>
      <c r="H430" s="23"/>
      <c r="J430" s="23"/>
      <c r="L430" s="23"/>
      <c r="M430" s="23"/>
      <c r="N430" s="23"/>
      <c r="P430" s="23"/>
      <c r="R430" s="23"/>
      <c r="T430" s="23"/>
      <c r="V430" s="23"/>
      <c r="X430" s="23"/>
      <c r="Z430" s="23"/>
    </row>
    <row r="431" spans="1:26" ht="13.2">
      <c r="A431" s="23"/>
      <c r="B431" s="23"/>
      <c r="D431" s="23"/>
      <c r="F431" s="23"/>
      <c r="H431" s="23"/>
      <c r="J431" s="23"/>
      <c r="L431" s="23"/>
      <c r="M431" s="23"/>
      <c r="N431" s="23"/>
      <c r="P431" s="23"/>
      <c r="R431" s="23"/>
      <c r="T431" s="23"/>
      <c r="V431" s="23"/>
      <c r="X431" s="23"/>
      <c r="Z431" s="23"/>
    </row>
    <row r="432" spans="1:26" ht="13.2">
      <c r="A432" s="23"/>
      <c r="B432" s="23"/>
      <c r="D432" s="23"/>
      <c r="F432" s="23"/>
      <c r="H432" s="23"/>
      <c r="J432" s="23"/>
      <c r="L432" s="23"/>
      <c r="M432" s="23"/>
      <c r="N432" s="23"/>
      <c r="P432" s="23"/>
      <c r="R432" s="23"/>
      <c r="T432" s="23"/>
      <c r="V432" s="23"/>
      <c r="X432" s="23"/>
      <c r="Z432" s="23"/>
    </row>
    <row r="433" spans="1:26" ht="13.2">
      <c r="A433" s="23"/>
      <c r="B433" s="23"/>
      <c r="D433" s="23"/>
      <c r="F433" s="23"/>
      <c r="H433" s="23"/>
      <c r="J433" s="23"/>
      <c r="L433" s="23"/>
      <c r="M433" s="23"/>
      <c r="N433" s="23"/>
      <c r="P433" s="23"/>
      <c r="R433" s="23"/>
      <c r="T433" s="23"/>
      <c r="V433" s="23"/>
      <c r="X433" s="23"/>
      <c r="Z433" s="23"/>
    </row>
    <row r="434" spans="1:26" ht="13.2">
      <c r="A434" s="23"/>
      <c r="B434" s="23"/>
      <c r="D434" s="23"/>
      <c r="F434" s="23"/>
      <c r="H434" s="23"/>
      <c r="J434" s="23"/>
      <c r="L434" s="23"/>
      <c r="M434" s="23"/>
      <c r="N434" s="23"/>
      <c r="P434" s="23"/>
      <c r="R434" s="23"/>
      <c r="T434" s="23"/>
      <c r="V434" s="23"/>
      <c r="X434" s="23"/>
      <c r="Z434" s="23"/>
    </row>
    <row r="435" spans="1:26" ht="13.2">
      <c r="A435" s="23"/>
      <c r="B435" s="23"/>
      <c r="D435" s="23"/>
      <c r="F435" s="23"/>
      <c r="H435" s="23"/>
      <c r="J435" s="23"/>
      <c r="L435" s="23"/>
      <c r="M435" s="23"/>
      <c r="N435" s="23"/>
      <c r="P435" s="23"/>
      <c r="R435" s="23"/>
      <c r="T435" s="23"/>
      <c r="V435" s="23"/>
      <c r="X435" s="23"/>
      <c r="Z435" s="23"/>
    </row>
    <row r="436" spans="1:26" ht="13.2">
      <c r="A436" s="23"/>
      <c r="B436" s="23"/>
      <c r="D436" s="23"/>
      <c r="F436" s="23"/>
      <c r="H436" s="23"/>
      <c r="J436" s="23"/>
      <c r="L436" s="23"/>
      <c r="M436" s="23"/>
      <c r="N436" s="23"/>
      <c r="P436" s="23"/>
      <c r="R436" s="23"/>
      <c r="T436" s="23"/>
      <c r="V436" s="23"/>
      <c r="X436" s="23"/>
      <c r="Z436" s="23"/>
    </row>
    <row r="437" spans="1:26" ht="13.2">
      <c r="A437" s="23"/>
      <c r="B437" s="23"/>
      <c r="D437" s="23"/>
      <c r="F437" s="23"/>
      <c r="H437" s="23"/>
      <c r="J437" s="23"/>
      <c r="L437" s="23"/>
      <c r="M437" s="23"/>
      <c r="N437" s="23"/>
      <c r="P437" s="23"/>
      <c r="R437" s="23"/>
      <c r="T437" s="23"/>
      <c r="V437" s="23"/>
      <c r="X437" s="23"/>
      <c r="Z437" s="23"/>
    </row>
    <row r="438" spans="1:26" ht="13.2">
      <c r="A438" s="23"/>
      <c r="B438" s="23"/>
      <c r="D438" s="23"/>
      <c r="F438" s="23"/>
      <c r="H438" s="23"/>
      <c r="J438" s="23"/>
      <c r="L438" s="23"/>
      <c r="M438" s="23"/>
      <c r="N438" s="23"/>
      <c r="P438" s="23"/>
      <c r="R438" s="23"/>
      <c r="T438" s="23"/>
      <c r="V438" s="23"/>
      <c r="X438" s="23"/>
      <c r="Z438" s="23"/>
    </row>
    <row r="439" spans="1:26" ht="13.2">
      <c r="A439" s="23"/>
      <c r="B439" s="23"/>
      <c r="D439" s="23"/>
      <c r="F439" s="23"/>
      <c r="H439" s="23"/>
      <c r="J439" s="23"/>
      <c r="L439" s="23"/>
      <c r="M439" s="23"/>
      <c r="N439" s="23"/>
      <c r="P439" s="23"/>
      <c r="R439" s="23"/>
      <c r="T439" s="23"/>
      <c r="V439" s="23"/>
      <c r="X439" s="23"/>
      <c r="Z439" s="23"/>
    </row>
    <row r="440" spans="1:26" ht="13.2">
      <c r="A440" s="23"/>
      <c r="B440" s="23"/>
      <c r="D440" s="23"/>
      <c r="F440" s="23"/>
      <c r="H440" s="23"/>
      <c r="J440" s="23"/>
      <c r="L440" s="23"/>
      <c r="M440" s="23"/>
      <c r="N440" s="23"/>
      <c r="P440" s="23"/>
      <c r="R440" s="23"/>
      <c r="T440" s="23"/>
      <c r="V440" s="23"/>
      <c r="X440" s="23"/>
      <c r="Z440" s="23"/>
    </row>
    <row r="441" spans="1:26" ht="13.2">
      <c r="A441" s="23"/>
      <c r="B441" s="23"/>
      <c r="D441" s="23"/>
      <c r="F441" s="23"/>
      <c r="H441" s="23"/>
      <c r="J441" s="23"/>
      <c r="L441" s="23"/>
      <c r="M441" s="23"/>
      <c r="N441" s="23"/>
      <c r="P441" s="23"/>
      <c r="R441" s="23"/>
      <c r="T441" s="23"/>
      <c r="V441" s="23"/>
      <c r="X441" s="23"/>
      <c r="Z441" s="23"/>
    </row>
    <row r="442" spans="1:26" ht="13.2">
      <c r="A442" s="23"/>
      <c r="B442" s="23"/>
      <c r="D442" s="23"/>
      <c r="F442" s="23"/>
      <c r="H442" s="23"/>
      <c r="J442" s="23"/>
      <c r="L442" s="23"/>
      <c r="M442" s="23"/>
      <c r="N442" s="23"/>
      <c r="P442" s="23"/>
      <c r="R442" s="23"/>
      <c r="T442" s="23"/>
      <c r="V442" s="23"/>
      <c r="X442" s="23"/>
      <c r="Z442" s="23"/>
    </row>
    <row r="443" spans="1:26" ht="13.2">
      <c r="A443" s="23"/>
      <c r="B443" s="23"/>
      <c r="D443" s="23"/>
      <c r="F443" s="23"/>
      <c r="H443" s="23"/>
      <c r="J443" s="23"/>
      <c r="L443" s="23"/>
      <c r="M443" s="23"/>
      <c r="N443" s="23"/>
      <c r="P443" s="23"/>
      <c r="R443" s="23"/>
      <c r="T443" s="23"/>
      <c r="V443" s="23"/>
      <c r="X443" s="23"/>
      <c r="Z443" s="23"/>
    </row>
    <row r="444" spans="1:26" ht="13.2">
      <c r="A444" s="23"/>
      <c r="B444" s="23"/>
      <c r="D444" s="23"/>
      <c r="F444" s="23"/>
      <c r="H444" s="23"/>
      <c r="J444" s="23"/>
      <c r="L444" s="23"/>
      <c r="M444" s="23"/>
      <c r="N444" s="23"/>
      <c r="P444" s="23"/>
      <c r="R444" s="23"/>
      <c r="T444" s="23"/>
      <c r="V444" s="23"/>
      <c r="X444" s="23"/>
      <c r="Z444" s="23"/>
    </row>
    <row r="445" spans="1:26" ht="13.2">
      <c r="A445" s="23"/>
      <c r="B445" s="23"/>
      <c r="D445" s="23"/>
      <c r="F445" s="23"/>
      <c r="H445" s="23"/>
      <c r="J445" s="23"/>
      <c r="L445" s="23"/>
      <c r="M445" s="23"/>
      <c r="N445" s="23"/>
      <c r="P445" s="23"/>
      <c r="R445" s="23"/>
      <c r="T445" s="23"/>
      <c r="V445" s="23"/>
      <c r="X445" s="23"/>
      <c r="Z445" s="23"/>
    </row>
    <row r="446" spans="1:26" ht="13.2">
      <c r="A446" s="23"/>
      <c r="B446" s="23"/>
      <c r="D446" s="23"/>
      <c r="F446" s="23"/>
      <c r="H446" s="23"/>
      <c r="J446" s="23"/>
      <c r="L446" s="23"/>
      <c r="M446" s="23"/>
      <c r="N446" s="23"/>
      <c r="P446" s="23"/>
      <c r="R446" s="23"/>
      <c r="T446" s="23"/>
      <c r="V446" s="23"/>
      <c r="X446" s="23"/>
      <c r="Z446" s="23"/>
    </row>
    <row r="447" spans="1:26" ht="13.2">
      <c r="A447" s="23"/>
      <c r="B447" s="23"/>
      <c r="D447" s="23"/>
      <c r="F447" s="23"/>
      <c r="H447" s="23"/>
      <c r="J447" s="23"/>
      <c r="L447" s="23"/>
      <c r="M447" s="23"/>
      <c r="N447" s="23"/>
      <c r="P447" s="23"/>
      <c r="R447" s="23"/>
      <c r="T447" s="23"/>
      <c r="V447" s="23"/>
      <c r="X447" s="23"/>
      <c r="Z447" s="23"/>
    </row>
    <row r="448" spans="1:26" ht="13.2">
      <c r="A448" s="23"/>
      <c r="B448" s="23"/>
      <c r="D448" s="23"/>
      <c r="F448" s="23"/>
      <c r="H448" s="23"/>
      <c r="J448" s="23"/>
      <c r="L448" s="23"/>
      <c r="M448" s="23"/>
      <c r="N448" s="23"/>
      <c r="P448" s="23"/>
      <c r="R448" s="23"/>
      <c r="T448" s="23"/>
      <c r="V448" s="23"/>
      <c r="X448" s="23"/>
      <c r="Z448" s="23"/>
    </row>
    <row r="449" spans="1:26" ht="13.2">
      <c r="A449" s="23"/>
      <c r="B449" s="23"/>
      <c r="D449" s="23"/>
      <c r="F449" s="23"/>
      <c r="H449" s="23"/>
      <c r="J449" s="23"/>
      <c r="L449" s="23"/>
      <c r="M449" s="23"/>
      <c r="N449" s="23"/>
      <c r="P449" s="23"/>
      <c r="R449" s="23"/>
      <c r="T449" s="23"/>
      <c r="V449" s="23"/>
      <c r="X449" s="23"/>
      <c r="Z449" s="23"/>
    </row>
    <row r="450" spans="1:26" ht="13.2">
      <c r="A450" s="23"/>
      <c r="B450" s="23"/>
      <c r="D450" s="23"/>
      <c r="F450" s="23"/>
      <c r="H450" s="23"/>
      <c r="J450" s="23"/>
      <c r="L450" s="23"/>
      <c r="M450" s="23"/>
      <c r="N450" s="23"/>
      <c r="P450" s="23"/>
      <c r="R450" s="23"/>
      <c r="T450" s="23"/>
      <c r="V450" s="23"/>
      <c r="X450" s="23"/>
      <c r="Z450" s="23"/>
    </row>
    <row r="451" spans="1:26" ht="13.2">
      <c r="A451" s="23"/>
      <c r="B451" s="23"/>
      <c r="D451" s="23"/>
      <c r="F451" s="23"/>
      <c r="H451" s="23"/>
      <c r="J451" s="23"/>
      <c r="L451" s="23"/>
      <c r="M451" s="23"/>
      <c r="N451" s="23"/>
      <c r="P451" s="23"/>
      <c r="R451" s="23"/>
      <c r="T451" s="23"/>
      <c r="V451" s="23"/>
      <c r="X451" s="23"/>
      <c r="Z451" s="23"/>
    </row>
    <row r="452" spans="1:26" ht="13.2">
      <c r="A452" s="23"/>
      <c r="B452" s="23"/>
      <c r="D452" s="23"/>
      <c r="F452" s="23"/>
      <c r="H452" s="23"/>
      <c r="J452" s="23"/>
      <c r="L452" s="23"/>
      <c r="M452" s="23"/>
      <c r="N452" s="23"/>
      <c r="P452" s="23"/>
      <c r="R452" s="23"/>
      <c r="T452" s="23"/>
      <c r="V452" s="23"/>
      <c r="X452" s="23"/>
      <c r="Z452" s="23"/>
    </row>
    <row r="453" spans="1:26" ht="13.2">
      <c r="A453" s="23"/>
      <c r="B453" s="23"/>
      <c r="D453" s="23"/>
      <c r="F453" s="23"/>
      <c r="H453" s="23"/>
      <c r="J453" s="23"/>
      <c r="L453" s="23"/>
      <c r="M453" s="23"/>
      <c r="N453" s="23"/>
      <c r="P453" s="23"/>
      <c r="R453" s="23"/>
      <c r="T453" s="23"/>
      <c r="V453" s="23"/>
      <c r="X453" s="23"/>
      <c r="Z453" s="23"/>
    </row>
    <row r="454" spans="1:26" ht="13.2">
      <c r="A454" s="23"/>
      <c r="B454" s="23"/>
      <c r="D454" s="23"/>
      <c r="F454" s="23"/>
      <c r="H454" s="23"/>
      <c r="J454" s="23"/>
      <c r="L454" s="23"/>
      <c r="M454" s="23"/>
      <c r="N454" s="23"/>
      <c r="P454" s="23"/>
      <c r="R454" s="23"/>
      <c r="T454" s="23"/>
      <c r="V454" s="23"/>
      <c r="X454" s="23"/>
      <c r="Z454" s="23"/>
    </row>
    <row r="455" spans="1:26" ht="13.2"/>
    <row r="456" spans="1:26" ht="13.2"/>
    <row r="457" spans="1:26" ht="13.2"/>
    <row r="458" spans="1:26" ht="13.2"/>
    <row r="459" spans="1:26" ht="13.2"/>
    <row r="460" spans="1:26" ht="13.2"/>
    <row r="461" spans="1:26" ht="13.2"/>
    <row r="462" spans="1:26" ht="13.2"/>
    <row r="463" spans="1:26" ht="13.2"/>
    <row r="464" spans="1:26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8"/>
  <sheetViews>
    <sheetView workbookViewId="0"/>
  </sheetViews>
  <sheetFormatPr defaultColWidth="12.6640625" defaultRowHeight="15.75" customHeight="1"/>
  <sheetData>
    <row r="1" spans="1:2">
      <c r="A1" s="5" t="s">
        <v>81</v>
      </c>
      <c r="B1" s="5" t="s">
        <v>81</v>
      </c>
    </row>
    <row r="2" spans="1:2">
      <c r="A2" s="5" t="e">
        <f t="shared" ref="A2:B2" si="0">OpenSolver_AdjNum=1</f>
        <v>#NAME?</v>
      </c>
      <c r="B2" s="5" t="e">
        <f t="shared" si="0"/>
        <v>#NAME?</v>
      </c>
    </row>
    <row r="3" spans="1:2">
      <c r="A3" s="5" t="e">
        <f>OpenSolver_ChosenSolver=Google</f>
        <v>#NAME?</v>
      </c>
      <c r="B3" s="5" t="e">
        <f>OpenSolver_ChosenSolver=NeosCBC</f>
        <v>#NAME?</v>
      </c>
    </row>
    <row r="4" spans="1:2">
      <c r="A4" s="5" t="e">
        <f t="shared" ref="A4:B4" si="1">OpenSolver_FastBuild=0</f>
        <v>#NAME?</v>
      </c>
      <c r="B4" s="5" t="e">
        <f t="shared" si="1"/>
        <v>#NAME?</v>
      </c>
    </row>
    <row r="5" spans="1:2">
      <c r="A5" s="5" t="e">
        <f t="shared" ref="A5:B5" si="2">OpenSolver_LinearityCheck=1</f>
        <v>#NAME?</v>
      </c>
      <c r="B5" s="5" t="e">
        <f t="shared" si="2"/>
        <v>#NAME?</v>
      </c>
    </row>
    <row r="6" spans="1:2">
      <c r="A6" s="5" t="s">
        <v>81</v>
      </c>
      <c r="B6" s="5" t="s">
        <v>81</v>
      </c>
    </row>
    <row r="7" spans="1:2">
      <c r="A7" s="5" t="s">
        <v>81</v>
      </c>
      <c r="B7" s="5" t="s">
        <v>81</v>
      </c>
    </row>
    <row r="8" spans="1:2">
      <c r="A8" s="5" t="s">
        <v>81</v>
      </c>
      <c r="B8" s="5" t="s">
        <v>81</v>
      </c>
    </row>
    <row r="9" spans="1:2">
      <c r="A9" s="5" t="e">
        <f t="shared" ref="A9:B9" si="3">solver_neg=1</f>
        <v>#NAME?</v>
      </c>
      <c r="B9" s="5" t="e">
        <f t="shared" si="3"/>
        <v>#NAME?</v>
      </c>
    </row>
    <row r="10" spans="1:2">
      <c r="A10" s="5" t="e">
        <f t="shared" ref="A10:B10" si="4">solver_num=2</f>
        <v>#NAME?</v>
      </c>
      <c r="B10" s="5" t="e">
        <f t="shared" si="4"/>
        <v>#NAME?</v>
      </c>
    </row>
    <row r="11" spans="1:2">
      <c r="A11" s="5" t="s">
        <v>81</v>
      </c>
      <c r="B11" s="5" t="s">
        <v>81</v>
      </c>
    </row>
    <row r="12" spans="1:2">
      <c r="A12" s="5" t="e">
        <f t="shared" ref="A12:B12" si="5">solver_rel1=3</f>
        <v>#NAME?</v>
      </c>
      <c r="B12" s="5" t="e">
        <f t="shared" si="5"/>
        <v>#NAME?</v>
      </c>
    </row>
    <row r="13" spans="1:2">
      <c r="A13" s="5" t="e">
        <f t="shared" ref="A13:B13" si="6">solver_rel2=2</f>
        <v>#NAME?</v>
      </c>
      <c r="B13" s="5" t="e">
        <f t="shared" si="6"/>
        <v>#NAME?</v>
      </c>
    </row>
    <row r="14" spans="1:2">
      <c r="A14" s="5" t="s">
        <v>81</v>
      </c>
      <c r="B14" s="5" t="s">
        <v>81</v>
      </c>
    </row>
    <row r="15" spans="1:2">
      <c r="A15" s="5" t="s">
        <v>81</v>
      </c>
      <c r="B15" s="5" t="s">
        <v>81</v>
      </c>
    </row>
    <row r="16" spans="1:2">
      <c r="A16" s="5" t="e">
        <f t="shared" ref="A16:B16" si="7">solver_sho=1</f>
        <v>#NAME?</v>
      </c>
      <c r="B16" s="5" t="e">
        <f t="shared" si="7"/>
        <v>#NAME?</v>
      </c>
    </row>
    <row r="17" spans="1:2">
      <c r="A17" s="5" t="e">
        <f t="shared" ref="A17:B17" si="8">solver_typ=1</f>
        <v>#NAME?</v>
      </c>
      <c r="B17" s="5" t="e">
        <f t="shared" si="8"/>
        <v>#NAME?</v>
      </c>
    </row>
    <row r="18" spans="1:2">
      <c r="A18" s="5" t="e">
        <f t="shared" ref="A18:B18" si="9">solver_val=0</f>
        <v>#NAME?</v>
      </c>
      <c r="B18" s="5" t="e">
        <f t="shared" si="9"/>
        <v>#NAME?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E1000"/>
  <sheetViews>
    <sheetView topLeftCell="X1" workbookViewId="0"/>
  </sheetViews>
  <sheetFormatPr defaultColWidth="12.6640625" defaultRowHeight="15.75" customHeight="1"/>
  <cols>
    <col min="1" max="2" width="12.6640625" customWidth="1"/>
    <col min="3" max="3" width="16.21875" customWidth="1"/>
    <col min="4" max="4" width="12.6640625" customWidth="1"/>
    <col min="5" max="5" width="14.44140625" customWidth="1"/>
    <col min="6" max="6" width="12.6640625" customWidth="1"/>
    <col min="14" max="14" width="15.21875" customWidth="1"/>
    <col min="21" max="21" width="14.88671875" customWidth="1"/>
  </cols>
  <sheetData>
    <row r="1" spans="1:31">
      <c r="A1" s="32" t="s">
        <v>0</v>
      </c>
      <c r="B1" s="33" t="s">
        <v>54</v>
      </c>
      <c r="C1" s="23" t="s">
        <v>55</v>
      </c>
      <c r="D1" s="23" t="s">
        <v>56</v>
      </c>
      <c r="E1" s="23" t="s">
        <v>57</v>
      </c>
      <c r="F1" s="23" t="s">
        <v>58</v>
      </c>
      <c r="H1" s="23" t="s">
        <v>59</v>
      </c>
      <c r="I1" s="23" t="s">
        <v>60</v>
      </c>
      <c r="K1" s="23" t="s">
        <v>61</v>
      </c>
      <c r="L1" s="34" t="s">
        <v>62</v>
      </c>
      <c r="M1" s="23" t="s">
        <v>63</v>
      </c>
      <c r="N1" s="23" t="s">
        <v>64</v>
      </c>
      <c r="P1" s="23" t="s">
        <v>65</v>
      </c>
      <c r="Q1" s="23" t="s">
        <v>66</v>
      </c>
      <c r="R1" s="23" t="s">
        <v>67</v>
      </c>
      <c r="T1" s="23" t="s">
        <v>68</v>
      </c>
      <c r="U1" s="23" t="s">
        <v>69</v>
      </c>
    </row>
    <row r="2" spans="1:31">
      <c r="A2" s="6">
        <v>45443</v>
      </c>
      <c r="B2" s="35">
        <v>657.52838134765602</v>
      </c>
      <c r="D2" s="24">
        <v>94.339401245117188</v>
      </c>
      <c r="F2" s="24">
        <v>381.16000366210938</v>
      </c>
      <c r="H2" s="36">
        <v>77.769599914550696</v>
      </c>
      <c r="J2" s="35"/>
      <c r="L2" s="36">
        <v>132.43699645996</v>
      </c>
      <c r="N2" s="24">
        <v>89.448097229003906</v>
      </c>
      <c r="P2" s="36">
        <v>16.490999221801701</v>
      </c>
      <c r="R2" s="24">
        <v>46.218284606933594</v>
      </c>
      <c r="T2" s="24">
        <v>77.769599914550781</v>
      </c>
    </row>
    <row r="3" spans="1:31">
      <c r="A3" s="12">
        <v>45446</v>
      </c>
      <c r="B3" s="35">
        <v>667.13879394531205</v>
      </c>
      <c r="C3" s="23">
        <f t="shared" ref="C3:C247" si="0">LN(B3/B2)</f>
        <v>1.4510182475003873E-2</v>
      </c>
      <c r="D3" s="24">
        <v>96.867599487304688</v>
      </c>
      <c r="E3" s="23">
        <f t="shared" ref="E3:E247" si="1">LN(D3/D2)</f>
        <v>2.6446161306746853E-2</v>
      </c>
      <c r="F3" s="24">
        <v>392.70181274414063</v>
      </c>
      <c r="G3" s="23">
        <f t="shared" ref="G3:G247" si="2">LN(F3/F2)</f>
        <v>2.9831333589775723E-2</v>
      </c>
      <c r="H3" s="36">
        <v>79.357398986816406</v>
      </c>
      <c r="I3" s="23">
        <f t="shared" ref="I3:I246" si="3">LN(H3/H2)</f>
        <v>2.0211079352409927E-2</v>
      </c>
      <c r="J3" s="35"/>
      <c r="K3" s="23" t="e">
        <f t="shared" ref="K3:K247" si="4">LN(J3/J2)</f>
        <v>#DIV/0!</v>
      </c>
      <c r="L3" s="36">
        <v>136.40199279785099</v>
      </c>
      <c r="M3" s="23">
        <f t="shared" ref="M3:M247" si="5">LN(L3/L2)</f>
        <v>2.9499321331896797E-2</v>
      </c>
      <c r="N3" s="24">
        <v>92.427101135253906</v>
      </c>
      <c r="O3" s="23">
        <f t="shared" ref="O3:O247" si="6">LN(N3/N2)</f>
        <v>3.2761700138898078E-2</v>
      </c>
      <c r="P3" s="36">
        <v>16.9930000305175</v>
      </c>
      <c r="Q3" s="23">
        <f t="shared" ref="Q3:Q247" si="7">LN(P3/P2)</f>
        <v>2.9986765990495864E-2</v>
      </c>
      <c r="R3" s="24">
        <v>47.401767730712891</v>
      </c>
      <c r="S3" s="23">
        <f t="shared" ref="S3:S247" si="8">LN(R3/R2)</f>
        <v>2.5284031398556527E-2</v>
      </c>
      <c r="T3" s="24">
        <v>79.357398986816406</v>
      </c>
      <c r="U3" s="23">
        <f t="shared" ref="U3:U247" si="9">LN(T3/T2)</f>
        <v>2.0211079352408838E-2</v>
      </c>
    </row>
    <row r="4" spans="1:31">
      <c r="A4" s="12">
        <v>45447</v>
      </c>
      <c r="B4" s="35">
        <v>646.87579345703102</v>
      </c>
      <c r="C4" s="23">
        <f t="shared" si="0"/>
        <v>-3.0843808089860914E-2</v>
      </c>
      <c r="D4" s="24">
        <v>91.740303039550781</v>
      </c>
      <c r="E4" s="23">
        <f t="shared" si="1"/>
        <v>-5.4383299959367019E-2</v>
      </c>
      <c r="F4" s="24">
        <v>366.81500244140625</v>
      </c>
      <c r="G4" s="23">
        <f t="shared" si="2"/>
        <v>-6.8192937255428382E-2</v>
      </c>
      <c r="H4" s="36">
        <v>76.033798217773395</v>
      </c>
      <c r="I4" s="23">
        <f t="shared" si="3"/>
        <v>-4.2783732753412088E-2</v>
      </c>
      <c r="J4" s="35"/>
      <c r="K4" s="23" t="e">
        <f t="shared" si="4"/>
        <v>#DIV/0!</v>
      </c>
      <c r="L4" s="36">
        <v>127.379997253417</v>
      </c>
      <c r="M4" s="23">
        <f t="shared" si="5"/>
        <v>-6.843163187645844E-2</v>
      </c>
      <c r="N4" s="24">
        <v>86.30419921875</v>
      </c>
      <c r="O4" s="23">
        <f t="shared" si="6"/>
        <v>-6.854198268046266E-2</v>
      </c>
      <c r="P4" s="36">
        <v>16.089000701904201</v>
      </c>
      <c r="Q4" s="23">
        <f t="shared" si="7"/>
        <v>-5.4665644052617098E-2</v>
      </c>
      <c r="R4" s="24">
        <v>44.255455017089844</v>
      </c>
      <c r="S4" s="23">
        <f t="shared" si="8"/>
        <v>-6.8680880824231627E-2</v>
      </c>
      <c r="T4" s="24">
        <v>76.033798217773438</v>
      </c>
      <c r="U4" s="23">
        <f t="shared" si="9"/>
        <v>-4.2783732753411623E-2</v>
      </c>
    </row>
    <row r="5" spans="1:31">
      <c r="A5" s="12">
        <v>45448</v>
      </c>
      <c r="B5" s="35">
        <v>660.18817138671795</v>
      </c>
      <c r="C5" s="23">
        <f t="shared" si="0"/>
        <v>2.0370599493333821E-2</v>
      </c>
      <c r="D5" s="24">
        <v>96.496902465820313</v>
      </c>
      <c r="E5" s="23">
        <f t="shared" si="1"/>
        <v>5.0549116622989304E-2</v>
      </c>
      <c r="F5" s="24">
        <v>378.83590698242188</v>
      </c>
      <c r="G5" s="23">
        <f t="shared" si="2"/>
        <v>3.2245507797635596E-2</v>
      </c>
      <c r="H5" s="36">
        <v>78.089599609375</v>
      </c>
      <c r="I5" s="23">
        <f t="shared" si="3"/>
        <v>2.6678925542016937E-2</v>
      </c>
      <c r="J5" s="35"/>
      <c r="K5" s="23" t="e">
        <f t="shared" si="4"/>
        <v>#DIV/0!</v>
      </c>
      <c r="L5" s="36">
        <v>131.83099365234301</v>
      </c>
      <c r="M5" s="23">
        <f t="shared" si="5"/>
        <v>3.4346027736866867E-2</v>
      </c>
      <c r="N5" s="24">
        <v>89.117202758789063</v>
      </c>
      <c r="O5" s="23">
        <f t="shared" si="6"/>
        <v>3.2074133037840388E-2</v>
      </c>
      <c r="P5" s="36">
        <v>16.625</v>
      </c>
      <c r="Q5" s="23">
        <f t="shared" si="7"/>
        <v>3.2771734246679972E-2</v>
      </c>
      <c r="R5" s="24">
        <v>46.046501159667969</v>
      </c>
      <c r="S5" s="23">
        <f t="shared" si="8"/>
        <v>3.9673139576153017E-2</v>
      </c>
      <c r="T5" s="24">
        <v>78.089599609375</v>
      </c>
      <c r="U5" s="23">
        <f t="shared" si="9"/>
        <v>2.6678925542016289E-2</v>
      </c>
      <c r="W5" s="23" t="s">
        <v>70</v>
      </c>
      <c r="X5" s="23" t="s">
        <v>71</v>
      </c>
      <c r="Z5" s="23" t="s">
        <v>72</v>
      </c>
    </row>
    <row r="6" spans="1:31">
      <c r="A6" s="12">
        <v>45449</v>
      </c>
      <c r="B6" s="35">
        <v>665.17028808593705</v>
      </c>
      <c r="C6" s="23">
        <f t="shared" si="0"/>
        <v>7.5181776380594239E-3</v>
      </c>
      <c r="D6" s="24">
        <v>98.37359619140625</v>
      </c>
      <c r="E6" s="23">
        <f t="shared" si="1"/>
        <v>1.9261527632778205E-2</v>
      </c>
      <c r="F6" s="24">
        <v>385.25689697265625</v>
      </c>
      <c r="G6" s="23">
        <f t="shared" si="2"/>
        <v>1.6807228409837723E-2</v>
      </c>
      <c r="H6" s="36">
        <v>78.815498352050696</v>
      </c>
      <c r="I6" s="23">
        <f t="shared" si="3"/>
        <v>9.2527767550796853E-3</v>
      </c>
      <c r="J6" s="35"/>
      <c r="K6" s="23" t="e">
        <f t="shared" si="4"/>
        <v>#DIV/0!</v>
      </c>
      <c r="L6" s="36">
        <v>134.85499572753901</v>
      </c>
      <c r="M6" s="23">
        <f t="shared" si="5"/>
        <v>2.2679344333580573E-2</v>
      </c>
      <c r="N6" s="24">
        <v>90.126701354980469</v>
      </c>
      <c r="O6" s="23">
        <f t="shared" si="6"/>
        <v>1.1264084822211419E-2</v>
      </c>
      <c r="P6" s="36">
        <v>16.768999099731399</v>
      </c>
      <c r="Q6" s="23">
        <f t="shared" si="7"/>
        <v>8.6243035365721303E-3</v>
      </c>
      <c r="R6" s="24">
        <v>46.8629150390625</v>
      </c>
      <c r="S6" s="23">
        <f t="shared" si="8"/>
        <v>1.7574857896770615E-2</v>
      </c>
      <c r="T6" s="24">
        <v>78.815498352050781</v>
      </c>
      <c r="U6" s="23">
        <f t="shared" si="9"/>
        <v>9.2527767550807851E-3</v>
      </c>
      <c r="W6" s="23">
        <f>C251</f>
        <v>0.13764899029097766</v>
      </c>
      <c r="X6" s="23">
        <v>0</v>
      </c>
      <c r="Z6" s="23">
        <f t="shared" ref="Z6:Z9" si="10">W6*X6</f>
        <v>0</v>
      </c>
    </row>
    <row r="7" spans="1:31">
      <c r="A7" s="12">
        <v>45450</v>
      </c>
      <c r="B7" s="35">
        <v>670.51708984375</v>
      </c>
      <c r="C7" s="23">
        <f t="shared" si="0"/>
        <v>8.0061104207248095E-3</v>
      </c>
      <c r="D7" s="24">
        <v>100.22830200195313</v>
      </c>
      <c r="E7" s="23">
        <f t="shared" si="1"/>
        <v>1.8678167214390973E-2</v>
      </c>
      <c r="F7" s="24">
        <v>391.327392578125</v>
      </c>
      <c r="G7" s="23">
        <f t="shared" si="2"/>
        <v>1.5634154169620655E-2</v>
      </c>
      <c r="H7" s="36">
        <v>79.765296936035099</v>
      </c>
      <c r="I7" s="23">
        <f t="shared" si="3"/>
        <v>1.1978877262223233E-2</v>
      </c>
      <c r="J7" s="35"/>
      <c r="K7" s="23" t="e">
        <f t="shared" si="4"/>
        <v>#DIV/0!</v>
      </c>
      <c r="L7" s="36">
        <v>136.76400756835901</v>
      </c>
      <c r="M7" s="23">
        <f t="shared" si="5"/>
        <v>1.4056772548875685E-2</v>
      </c>
      <c r="N7" s="24">
        <v>91.856201171875</v>
      </c>
      <c r="O7" s="23">
        <f t="shared" si="6"/>
        <v>1.9007850349551554E-2</v>
      </c>
      <c r="P7" s="36">
        <v>17.096000671386701</v>
      </c>
      <c r="Q7" s="23">
        <f t="shared" si="7"/>
        <v>1.931266720992228E-2</v>
      </c>
      <c r="R7" s="24">
        <v>47.467765808105469</v>
      </c>
      <c r="S7" s="23">
        <f t="shared" si="8"/>
        <v>1.2824227560086473E-2</v>
      </c>
      <c r="T7" s="24">
        <v>79.765296936035156</v>
      </c>
      <c r="U7" s="23">
        <f t="shared" si="9"/>
        <v>1.1978877262223015E-2</v>
      </c>
      <c r="W7" s="23">
        <f>E251</f>
        <v>0.21559877155901619</v>
      </c>
      <c r="X7" s="23">
        <v>0</v>
      </c>
      <c r="Z7" s="23">
        <f t="shared" si="10"/>
        <v>0</v>
      </c>
    </row>
    <row r="8" spans="1:31">
      <c r="A8" s="13">
        <v>45453</v>
      </c>
      <c r="B8" s="35">
        <v>671.83197021484295</v>
      </c>
      <c r="C8" s="23">
        <f t="shared" si="0"/>
        <v>1.9590743283644557E-3</v>
      </c>
      <c r="D8" s="24">
        <v>99.856399536132813</v>
      </c>
      <c r="E8" s="23">
        <f t="shared" si="1"/>
        <v>-3.7174545705147585E-3</v>
      </c>
      <c r="F8" s="24">
        <v>393.0845947265625</v>
      </c>
      <c r="G8" s="23">
        <f t="shared" si="2"/>
        <v>4.4803116634219578E-3</v>
      </c>
      <c r="H8" s="36">
        <v>80.150001525878906</v>
      </c>
      <c r="I8" s="23">
        <f t="shared" si="3"/>
        <v>4.8113637116393108E-3</v>
      </c>
      <c r="J8" s="35"/>
      <c r="K8" s="23" t="e">
        <f t="shared" si="4"/>
        <v>#DIV/0!</v>
      </c>
      <c r="L8" s="36">
        <v>137.64300537109301</v>
      </c>
      <c r="M8" s="23">
        <f t="shared" si="5"/>
        <v>6.4065477027780383E-3</v>
      </c>
      <c r="N8" s="24">
        <v>92.009696960449219</v>
      </c>
      <c r="O8" s="23">
        <f t="shared" si="6"/>
        <v>1.6696497370325605E-3</v>
      </c>
      <c r="P8" s="36">
        <v>17.100000381469702</v>
      </c>
      <c r="Q8" s="23">
        <f t="shared" si="7"/>
        <v>2.3392852837136513E-4</v>
      </c>
      <c r="R8" s="24">
        <v>47.729057312011719</v>
      </c>
      <c r="S8" s="23">
        <f t="shared" si="8"/>
        <v>5.4895142822035062E-3</v>
      </c>
      <c r="T8" s="24">
        <v>80.150001525878906</v>
      </c>
      <c r="U8" s="23">
        <f t="shared" si="9"/>
        <v>4.8113637116386481E-3</v>
      </c>
      <c r="W8" s="23">
        <f>I251</f>
        <v>0.16166850642599195</v>
      </c>
      <c r="X8" s="23">
        <v>0</v>
      </c>
      <c r="Z8" s="23">
        <f t="shared" si="10"/>
        <v>0</v>
      </c>
    </row>
    <row r="9" spans="1:31">
      <c r="A9" s="13">
        <v>45454</v>
      </c>
      <c r="B9" s="35">
        <v>671.77947998046795</v>
      </c>
      <c r="C9" s="23">
        <f t="shared" si="0"/>
        <v>-7.8133056091602912E-5</v>
      </c>
      <c r="D9" s="24">
        <v>100.69300079345703</v>
      </c>
      <c r="E9" s="23">
        <f t="shared" si="1"/>
        <v>8.343142475525301E-3</v>
      </c>
      <c r="F9" s="24">
        <v>395.53158569335938</v>
      </c>
      <c r="G9" s="23">
        <f t="shared" si="2"/>
        <v>6.2058042448478908E-3</v>
      </c>
      <c r="H9" s="36">
        <v>80.258598327636705</v>
      </c>
      <c r="I9" s="23">
        <f t="shared" si="3"/>
        <v>1.3540024468520337E-3</v>
      </c>
      <c r="J9" s="35"/>
      <c r="K9" s="23" t="e">
        <f t="shared" si="4"/>
        <v>#DIV/0!</v>
      </c>
      <c r="L9" s="36">
        <v>138.80499267578099</v>
      </c>
      <c r="M9" s="23">
        <f t="shared" si="5"/>
        <v>8.4066020091959244E-3</v>
      </c>
      <c r="N9" s="24">
        <v>92.120597839355469</v>
      </c>
      <c r="O9" s="23">
        <f t="shared" si="6"/>
        <v>1.2045914816676574E-3</v>
      </c>
      <c r="P9" s="36">
        <v>17.113000869750898</v>
      </c>
      <c r="Q9" s="23">
        <f t="shared" si="7"/>
        <v>7.5997360251723266E-4</v>
      </c>
      <c r="R9" s="24">
        <v>47.847496032714844</v>
      </c>
      <c r="S9" s="23">
        <f t="shared" si="8"/>
        <v>2.4784066213759718E-3</v>
      </c>
      <c r="T9" s="24">
        <v>80.258598327636719</v>
      </c>
      <c r="U9" s="23">
        <f t="shared" si="9"/>
        <v>1.3540024468520337E-3</v>
      </c>
      <c r="W9" s="23">
        <f>U251</f>
        <v>0.15918656325826319</v>
      </c>
      <c r="X9" s="23">
        <v>0</v>
      </c>
      <c r="Z9" s="23">
        <f t="shared" si="10"/>
        <v>0</v>
      </c>
    </row>
    <row r="10" spans="1:31">
      <c r="A10" s="13">
        <v>45455</v>
      </c>
      <c r="B10" s="35">
        <v>673.66107177734295</v>
      </c>
      <c r="C10" s="23">
        <f t="shared" si="0"/>
        <v>2.7969916932904853E-3</v>
      </c>
      <c r="D10" s="24">
        <v>101.427001953125</v>
      </c>
      <c r="E10" s="23">
        <f t="shared" si="1"/>
        <v>7.2630553765912756E-3</v>
      </c>
      <c r="F10" s="24">
        <v>397.83871459960938</v>
      </c>
      <c r="G10" s="23">
        <f t="shared" si="2"/>
        <v>5.8160367456678548E-3</v>
      </c>
      <c r="H10" s="36">
        <v>80.744796752929602</v>
      </c>
      <c r="I10" s="23">
        <f t="shared" si="3"/>
        <v>6.0396229902135662E-3</v>
      </c>
      <c r="J10" s="35"/>
      <c r="K10" s="23" t="e">
        <f t="shared" si="4"/>
        <v>#DIV/0!</v>
      </c>
      <c r="L10" s="36">
        <v>140.30799865722599</v>
      </c>
      <c r="M10" s="23">
        <f t="shared" si="5"/>
        <v>1.0769978870207619E-2</v>
      </c>
      <c r="N10" s="24">
        <v>92.561203002929688</v>
      </c>
      <c r="O10" s="23">
        <f t="shared" si="6"/>
        <v>4.7715150872001772E-3</v>
      </c>
      <c r="P10" s="36">
        <v>17.156000137329102</v>
      </c>
      <c r="Q10" s="23">
        <f t="shared" si="7"/>
        <v>2.5095152400603747E-3</v>
      </c>
      <c r="R10" s="24">
        <v>48.325771331787109</v>
      </c>
      <c r="S10" s="23">
        <f t="shared" si="8"/>
        <v>9.9461992927827331E-3</v>
      </c>
      <c r="T10" s="24">
        <v>80.744796752929688</v>
      </c>
      <c r="U10" s="23">
        <f t="shared" si="9"/>
        <v>6.0396229902144492E-3</v>
      </c>
      <c r="X10" s="5">
        <f>SUM(X6:X9)</f>
        <v>0</v>
      </c>
    </row>
    <row r="11" spans="1:31">
      <c r="A11" s="13">
        <v>45456</v>
      </c>
      <c r="B11" s="35">
        <v>674.055908203125</v>
      </c>
      <c r="C11" s="23">
        <f t="shared" si="0"/>
        <v>5.8593375752231047E-4</v>
      </c>
      <c r="D11" s="24">
        <v>102.35379791259766</v>
      </c>
      <c r="E11" s="23">
        <f t="shared" si="1"/>
        <v>9.0960713690194563E-3</v>
      </c>
      <c r="F11" s="24">
        <v>398.77880859375</v>
      </c>
      <c r="G11" s="23">
        <f t="shared" si="2"/>
        <v>2.3602152932329984E-3</v>
      </c>
      <c r="H11" s="36">
        <v>80.583900451660099</v>
      </c>
      <c r="I11" s="23">
        <f t="shared" si="3"/>
        <v>-1.9946402270947213E-3</v>
      </c>
      <c r="J11" s="35"/>
      <c r="K11" s="23" t="e">
        <f t="shared" si="4"/>
        <v>#DIV/0!</v>
      </c>
      <c r="L11" s="36">
        <v>141.68600463867099</v>
      </c>
      <c r="M11" s="23">
        <f t="shared" si="5"/>
        <v>9.7733776897674218E-3</v>
      </c>
      <c r="N11" s="24">
        <v>93.040000915527344</v>
      </c>
      <c r="O11" s="23">
        <f t="shared" si="6"/>
        <v>5.1594382430089764E-3</v>
      </c>
      <c r="P11" s="36">
        <v>17.212999343871999</v>
      </c>
      <c r="Q11" s="23">
        <f t="shared" si="7"/>
        <v>3.3168995118401643E-3</v>
      </c>
      <c r="R11" s="24">
        <v>48.823936462402344</v>
      </c>
      <c r="S11" s="23">
        <f t="shared" si="8"/>
        <v>1.0255707573740364E-2</v>
      </c>
      <c r="T11" s="24">
        <v>80.583900451660156</v>
      </c>
      <c r="U11" s="23">
        <f t="shared" si="9"/>
        <v>-1.9946402270950552E-3</v>
      </c>
      <c r="Y11" s="23" t="s">
        <v>29</v>
      </c>
      <c r="Z11" s="23">
        <f>SUM(Z6:Z9)</f>
        <v>0</v>
      </c>
    </row>
    <row r="12" spans="1:31">
      <c r="A12" s="13">
        <v>45457</v>
      </c>
      <c r="B12" s="35">
        <v>675.92437744140602</v>
      </c>
      <c r="C12" s="23">
        <f t="shared" si="0"/>
        <v>2.768144766653058E-3</v>
      </c>
      <c r="D12" s="24">
        <v>103.63120269775391</v>
      </c>
      <c r="E12" s="23">
        <f t="shared" si="1"/>
        <v>1.2403050291974064E-2</v>
      </c>
      <c r="F12" s="24">
        <v>401.07769775390625</v>
      </c>
      <c r="G12" s="23">
        <f t="shared" si="2"/>
        <v>5.7482697759311399E-3</v>
      </c>
      <c r="H12" s="36">
        <v>80.759803771972599</v>
      </c>
      <c r="I12" s="23">
        <f t="shared" si="3"/>
        <v>2.1804803708108883E-3</v>
      </c>
      <c r="J12" s="35"/>
      <c r="K12" s="23" t="e">
        <f t="shared" si="4"/>
        <v>#DIV/0!</v>
      </c>
      <c r="L12" s="36">
        <v>143.55499267578099</v>
      </c>
      <c r="M12" s="23">
        <f t="shared" si="5"/>
        <v>1.3104811737128704E-2</v>
      </c>
      <c r="N12" s="24">
        <v>93.656700134277344</v>
      </c>
      <c r="O12" s="23">
        <f t="shared" si="6"/>
        <v>6.6064526933602118E-3</v>
      </c>
      <c r="P12" s="36">
        <v>17.260999679565401</v>
      </c>
      <c r="Q12" s="23">
        <f t="shared" si="7"/>
        <v>2.784728669269538E-3</v>
      </c>
      <c r="R12" s="24">
        <v>49.470378875732422</v>
      </c>
      <c r="S12" s="23">
        <f t="shared" si="8"/>
        <v>1.3153390025716263E-2</v>
      </c>
      <c r="T12" s="24">
        <v>80.759803771972656</v>
      </c>
      <c r="U12" s="23">
        <f t="shared" si="9"/>
        <v>2.1804803708108883E-3</v>
      </c>
    </row>
    <row r="13" spans="1:31">
      <c r="A13" s="13">
        <v>45461</v>
      </c>
      <c r="B13" s="35">
        <v>676.56298828125</v>
      </c>
      <c r="C13" s="23">
        <f t="shared" si="0"/>
        <v>9.4435024457619062E-4</v>
      </c>
      <c r="D13" s="24">
        <v>105.32240295410156</v>
      </c>
      <c r="E13" s="23">
        <f t="shared" si="1"/>
        <v>1.6187681291559061E-2</v>
      </c>
      <c r="F13" s="24">
        <v>402.19180297851563</v>
      </c>
      <c r="G13" s="23">
        <f t="shared" si="2"/>
        <v>2.7739281473614865E-3</v>
      </c>
      <c r="H13" s="36">
        <v>80.962196350097599</v>
      </c>
      <c r="I13" s="23">
        <f t="shared" si="3"/>
        <v>2.5029703272982664E-3</v>
      </c>
      <c r="J13" s="35"/>
      <c r="K13" s="23" t="e">
        <f t="shared" si="4"/>
        <v>#DIV/0!</v>
      </c>
      <c r="L13" s="36">
        <v>145.02499389648401</v>
      </c>
      <c r="M13" s="23">
        <f t="shared" si="5"/>
        <v>1.0187913256670655E-2</v>
      </c>
      <c r="N13" s="24">
        <v>93.803001403808594</v>
      </c>
      <c r="O13" s="23">
        <f t="shared" si="6"/>
        <v>1.5608826647471755E-3</v>
      </c>
      <c r="P13" s="36">
        <v>17.343000411987301</v>
      </c>
      <c r="Q13" s="23">
        <f t="shared" si="7"/>
        <v>4.7393876832271618E-3</v>
      </c>
      <c r="R13" s="24">
        <v>49.651203155517578</v>
      </c>
      <c r="S13" s="23">
        <f t="shared" si="8"/>
        <v>3.6485390299773757E-3</v>
      </c>
      <c r="T13" s="24">
        <v>80.962196350097656</v>
      </c>
      <c r="U13" s="23">
        <f t="shared" si="9"/>
        <v>2.5029703272982664E-3</v>
      </c>
      <c r="Y13" s="23" t="s">
        <v>32</v>
      </c>
      <c r="Z13" s="23">
        <v>5.5E-2</v>
      </c>
      <c r="AE13" s="23">
        <f>SQRT(VARP(O3:O247)*252)</f>
        <v>0.1616673149590728</v>
      </c>
    </row>
    <row r="14" spans="1:31">
      <c r="A14" s="13">
        <v>45462</v>
      </c>
      <c r="B14" s="35">
        <v>675.3583984375</v>
      </c>
      <c r="C14" s="23">
        <f t="shared" si="0"/>
        <v>-1.7820417287067204E-3</v>
      </c>
      <c r="D14" s="24">
        <v>105.00299835205078</v>
      </c>
      <c r="E14" s="23">
        <f t="shared" si="1"/>
        <v>-3.0372446276638026E-3</v>
      </c>
      <c r="F14" s="24">
        <v>402.180908203125</v>
      </c>
      <c r="G14" s="23">
        <f t="shared" si="2"/>
        <v>-2.7088873702112925E-5</v>
      </c>
      <c r="H14" s="36">
        <v>81.007499694824205</v>
      </c>
      <c r="I14" s="23">
        <f t="shared" si="3"/>
        <v>5.5940520991595714E-4</v>
      </c>
      <c r="J14" s="35"/>
      <c r="K14" s="23" t="e">
        <f t="shared" si="4"/>
        <v>#DIV/0!</v>
      </c>
      <c r="L14" s="36">
        <v>143.75799560546801</v>
      </c>
      <c r="M14" s="23">
        <f t="shared" si="5"/>
        <v>-8.7747995322780357E-3</v>
      </c>
      <c r="N14" s="24">
        <v>93.58489990234375</v>
      </c>
      <c r="O14" s="23">
        <f t="shared" si="6"/>
        <v>-2.3278087691898518E-3</v>
      </c>
      <c r="P14" s="36">
        <v>17.320999145507798</v>
      </c>
      <c r="Q14" s="23">
        <f t="shared" si="7"/>
        <v>-1.2694016682857395E-3</v>
      </c>
      <c r="R14" s="24">
        <v>49.318489074707031</v>
      </c>
      <c r="S14" s="23">
        <f t="shared" si="8"/>
        <v>-6.723580254039109E-3</v>
      </c>
      <c r="T14" s="24">
        <v>81.007499694824219</v>
      </c>
      <c r="U14" s="23">
        <f t="shared" si="9"/>
        <v>5.5940520991551326E-4</v>
      </c>
      <c r="Y14" s="5">
        <v>0</v>
      </c>
      <c r="AC14" s="23" t="s">
        <v>73</v>
      </c>
      <c r="AD14" s="52">
        <f>(O251-Z13)/AE13</f>
        <v>0.3515451951661141</v>
      </c>
    </row>
    <row r="15" spans="1:31">
      <c r="A15" s="13">
        <v>45463</v>
      </c>
      <c r="B15" s="35">
        <v>677.09442138671795</v>
      </c>
      <c r="C15" s="23">
        <f t="shared" si="0"/>
        <v>2.5672228668221363E-3</v>
      </c>
      <c r="D15" s="24">
        <v>105.78350067138672</v>
      </c>
      <c r="E15" s="23">
        <f t="shared" si="1"/>
        <v>7.4056534937978254E-3</v>
      </c>
      <c r="F15" s="24">
        <v>404.89010620117188</v>
      </c>
      <c r="G15" s="23">
        <f t="shared" si="2"/>
        <v>6.71367977729782E-3</v>
      </c>
      <c r="H15" s="36">
        <v>81.335098266601506</v>
      </c>
      <c r="I15" s="23">
        <f t="shared" si="3"/>
        <v>4.035897177501269E-3</v>
      </c>
      <c r="J15" s="35"/>
      <c r="K15" s="23" t="e">
        <f t="shared" si="4"/>
        <v>#DIV/0!</v>
      </c>
      <c r="L15" s="36">
        <v>144.65199279785099</v>
      </c>
      <c r="M15" s="23">
        <f t="shared" si="5"/>
        <v>6.19950828088329E-3</v>
      </c>
      <c r="N15" s="24">
        <v>93.875297546386719</v>
      </c>
      <c r="O15" s="23">
        <f t="shared" si="6"/>
        <v>3.0982350417904226E-3</v>
      </c>
      <c r="P15" s="36">
        <v>17.350999832153299</v>
      </c>
      <c r="Q15" s="23">
        <f t="shared" si="7"/>
        <v>1.7305430905180952E-3</v>
      </c>
      <c r="R15" s="24">
        <v>49.660243988037109</v>
      </c>
      <c r="S15" s="23">
        <f t="shared" si="8"/>
        <v>6.9056505551884986E-3</v>
      </c>
      <c r="T15" s="24">
        <v>81.335098266601563</v>
      </c>
      <c r="U15" s="23">
        <f t="shared" si="9"/>
        <v>4.0358971775017113E-3</v>
      </c>
      <c r="Y15" s="5">
        <v>1</v>
      </c>
    </row>
    <row r="16" spans="1:31">
      <c r="A16" s="13">
        <v>45464</v>
      </c>
      <c r="B16" s="35">
        <v>675.8837890625</v>
      </c>
      <c r="C16" s="23">
        <f t="shared" si="0"/>
        <v>-1.7895818838263252E-3</v>
      </c>
      <c r="D16" s="24">
        <v>105.70439910888672</v>
      </c>
      <c r="E16" s="23">
        <f t="shared" si="1"/>
        <v>-7.4804815094190499E-4</v>
      </c>
      <c r="F16" s="24">
        <v>403.45089721679688</v>
      </c>
      <c r="G16" s="23">
        <f t="shared" si="2"/>
        <v>-3.5608994200563866E-3</v>
      </c>
      <c r="H16" s="36">
        <v>81.254203796386705</v>
      </c>
      <c r="I16" s="23">
        <f t="shared" si="3"/>
        <v>-9.9507748496842829E-4</v>
      </c>
      <c r="J16" s="35"/>
      <c r="K16" s="23" t="e">
        <f t="shared" si="4"/>
        <v>#DIV/0!</v>
      </c>
      <c r="L16" s="36">
        <v>144.11099243164</v>
      </c>
      <c r="M16" s="23">
        <f t="shared" si="5"/>
        <v>-3.7470245624453592E-3</v>
      </c>
      <c r="N16" s="24">
        <v>93.553703308105469</v>
      </c>
      <c r="O16" s="23">
        <f t="shared" si="6"/>
        <v>-3.4316413405665771E-3</v>
      </c>
      <c r="P16" s="36">
        <v>17.290000915527301</v>
      </c>
      <c r="Q16" s="23">
        <f t="shared" si="7"/>
        <v>-3.521779299472132E-3</v>
      </c>
      <c r="R16" s="24">
        <v>49.506546020507813</v>
      </c>
      <c r="S16" s="23">
        <f t="shared" si="8"/>
        <v>-3.0997895683783083E-3</v>
      </c>
      <c r="T16" s="24">
        <v>81.254203796386719</v>
      </c>
      <c r="U16" s="23">
        <f t="shared" si="9"/>
        <v>-9.9507748496887281E-4</v>
      </c>
      <c r="W16" s="23" t="s">
        <v>74</v>
      </c>
      <c r="X16" s="23">
        <f t="array" ref="X16">MMULT(TRANSPOSE(X6:X9), MMULT(Y21:AB24,X6:X9))</f>
        <v>0</v>
      </c>
    </row>
    <row r="17" spans="1:29">
      <c r="A17" s="13">
        <v>45467</v>
      </c>
      <c r="B17" s="35">
        <v>676.40008544921795</v>
      </c>
      <c r="C17" s="23">
        <f t="shared" si="0"/>
        <v>7.6359175988982802E-4</v>
      </c>
      <c r="D17" s="24">
        <v>106.52799987792969</v>
      </c>
      <c r="E17" s="23">
        <f t="shared" si="1"/>
        <v>7.7613494202264637E-3</v>
      </c>
      <c r="F17" s="24">
        <v>403.42190551757813</v>
      </c>
      <c r="G17" s="23">
        <f t="shared" si="2"/>
        <v>-7.1861882400769134E-5</v>
      </c>
      <c r="H17" s="36">
        <v>81.498298645019503</v>
      </c>
      <c r="I17" s="23">
        <f t="shared" si="3"/>
        <v>2.9995856038061231E-3</v>
      </c>
      <c r="J17" s="35"/>
      <c r="K17" s="23" t="e">
        <f t="shared" si="4"/>
        <v>#DIV/0!</v>
      </c>
      <c r="L17" s="36">
        <v>144.80099487304599</v>
      </c>
      <c r="M17" s="23">
        <f t="shared" si="5"/>
        <v>4.7765671458906674E-3</v>
      </c>
      <c r="N17" s="24">
        <v>93.73919677734375</v>
      </c>
      <c r="O17" s="23">
        <f t="shared" si="6"/>
        <v>1.9807854948314611E-3</v>
      </c>
      <c r="P17" s="36">
        <v>17.311000823974599</v>
      </c>
      <c r="Q17" s="23">
        <f t="shared" si="7"/>
        <v>1.2138325464573808E-3</v>
      </c>
      <c r="R17" s="24">
        <v>49.428791046142578</v>
      </c>
      <c r="S17" s="23">
        <f t="shared" si="8"/>
        <v>-1.5718345472804506E-3</v>
      </c>
      <c r="T17" s="24">
        <v>81.498298645019531</v>
      </c>
      <c r="U17" s="23">
        <f t="shared" si="9"/>
        <v>2.9995856038063443E-3</v>
      </c>
      <c r="W17" s="23" t="s">
        <v>75</v>
      </c>
      <c r="X17" s="23">
        <f>SQRT(X16)</f>
        <v>0</v>
      </c>
    </row>
    <row r="18" spans="1:29">
      <c r="A18" s="13">
        <v>45468</v>
      </c>
      <c r="B18" s="35">
        <v>677.50732421875</v>
      </c>
      <c r="C18" s="23">
        <f t="shared" si="0"/>
        <v>1.6356199965680311E-3</v>
      </c>
      <c r="D18" s="24">
        <v>106.08439636230469</v>
      </c>
      <c r="E18" s="23">
        <f t="shared" si="1"/>
        <v>-4.1728908302214249E-3</v>
      </c>
      <c r="F18" s="24">
        <v>404.57040405273438</v>
      </c>
      <c r="G18" s="23">
        <f t="shared" si="2"/>
        <v>2.8428471287297689E-3</v>
      </c>
      <c r="H18" s="36">
        <v>81.774200439453097</v>
      </c>
      <c r="I18" s="23">
        <f t="shared" si="3"/>
        <v>3.3796513018926012E-3</v>
      </c>
      <c r="J18" s="35"/>
      <c r="K18" s="23" t="e">
        <f t="shared" si="4"/>
        <v>#DIV/0!</v>
      </c>
      <c r="L18" s="36">
        <v>144.88999938964801</v>
      </c>
      <c r="M18" s="23">
        <f t="shared" si="5"/>
        <v>6.1447902189099642E-4</v>
      </c>
      <c r="N18" s="24">
        <v>94.381401062011719</v>
      </c>
      <c r="O18" s="23">
        <f t="shared" si="6"/>
        <v>6.8276072562329796E-3</v>
      </c>
      <c r="P18" s="36">
        <v>17.4239997863769</v>
      </c>
      <c r="Q18" s="23">
        <f t="shared" si="7"/>
        <v>6.506368737409559E-3</v>
      </c>
      <c r="R18" s="24">
        <v>49.388103485107422</v>
      </c>
      <c r="S18" s="23">
        <f t="shared" si="8"/>
        <v>-8.2349407006751356E-4</v>
      </c>
      <c r="T18" s="24">
        <v>81.774200439453125</v>
      </c>
      <c r="U18" s="23">
        <f t="shared" si="9"/>
        <v>3.3796513018926012E-3</v>
      </c>
      <c r="W18" s="23" t="s">
        <v>76</v>
      </c>
      <c r="X18" s="23">
        <f>SQRT(252)*X17</f>
        <v>0</v>
      </c>
    </row>
    <row r="19" spans="1:29">
      <c r="A19" s="13">
        <v>45469</v>
      </c>
      <c r="B19" s="35">
        <v>678.57550048828102</v>
      </c>
      <c r="C19" s="23">
        <f t="shared" si="0"/>
        <v>1.5753853245386654E-3</v>
      </c>
      <c r="D19" s="24">
        <v>106.42749786376953</v>
      </c>
      <c r="E19" s="23">
        <f t="shared" si="1"/>
        <v>3.2290126708180338E-3</v>
      </c>
      <c r="F19" s="24">
        <v>406.09500122070313</v>
      </c>
      <c r="G19" s="23">
        <f t="shared" si="2"/>
        <v>3.7613519844842979E-3</v>
      </c>
      <c r="H19" s="36">
        <v>81.768997192382798</v>
      </c>
      <c r="I19" s="23">
        <f t="shared" si="3"/>
        <v>-6.3631470429773262E-5</v>
      </c>
      <c r="J19" s="35"/>
      <c r="K19" s="23" t="e">
        <f t="shared" si="4"/>
        <v>#DIV/0!</v>
      </c>
      <c r="L19" s="36">
        <v>144.47000122070301</v>
      </c>
      <c r="M19" s="23">
        <f t="shared" si="5"/>
        <v>-2.9029476292951996E-3</v>
      </c>
      <c r="N19" s="24">
        <v>94.642997741699219</v>
      </c>
      <c r="O19" s="23">
        <f t="shared" si="6"/>
        <v>2.7678632848691094E-3</v>
      </c>
      <c r="P19" s="36">
        <v>17.537000656127901</v>
      </c>
      <c r="Q19" s="23">
        <f t="shared" si="7"/>
        <v>6.4644181707483386E-3</v>
      </c>
      <c r="R19" s="24">
        <v>49.195526123046875</v>
      </c>
      <c r="S19" s="23">
        <f t="shared" si="8"/>
        <v>-3.9068881472659623E-3</v>
      </c>
      <c r="T19" s="24">
        <v>81.768997192382813</v>
      </c>
      <c r="U19" s="23">
        <f t="shared" si="9"/>
        <v>-6.363147042999532E-5</v>
      </c>
      <c r="W19" s="23" t="s">
        <v>77</v>
      </c>
      <c r="X19" s="23" t="e">
        <f>(Z11-Z13)/X18</f>
        <v>#DIV/0!</v>
      </c>
    </row>
    <row r="20" spans="1:29">
      <c r="A20" s="13">
        <v>45470</v>
      </c>
      <c r="B20" s="35">
        <v>680.693603515625</v>
      </c>
      <c r="C20" s="23">
        <f t="shared" si="0"/>
        <v>3.1165348134452194E-3</v>
      </c>
      <c r="D20" s="24">
        <v>107.26059722900391</v>
      </c>
      <c r="E20" s="23">
        <f t="shared" si="1"/>
        <v>7.7973795016010898E-3</v>
      </c>
      <c r="F20" s="24">
        <v>407.33639526367188</v>
      </c>
      <c r="G20" s="23">
        <f t="shared" si="2"/>
        <v>3.0522426650573158E-3</v>
      </c>
      <c r="H20" s="36">
        <v>82.055702209472599</v>
      </c>
      <c r="I20" s="23">
        <f t="shared" si="3"/>
        <v>3.5001475459958825E-3</v>
      </c>
      <c r="J20" s="35"/>
      <c r="K20" s="23" t="e">
        <f t="shared" si="4"/>
        <v>#DIV/0!</v>
      </c>
      <c r="L20" s="36">
        <v>144.43600463867099</v>
      </c>
      <c r="M20" s="23">
        <f t="shared" si="5"/>
        <v>-2.3534700905795061E-4</v>
      </c>
      <c r="N20" s="24">
        <v>95.123703002929688</v>
      </c>
      <c r="O20" s="23">
        <f t="shared" si="6"/>
        <v>5.0662870518679856E-3</v>
      </c>
      <c r="P20" s="36">
        <v>17.672000885009702</v>
      </c>
      <c r="Q20" s="23">
        <f t="shared" si="7"/>
        <v>7.6685440965110034E-3</v>
      </c>
      <c r="R20" s="24">
        <v>49.155746459960938</v>
      </c>
      <c r="S20" s="23">
        <f t="shared" si="8"/>
        <v>-8.0893036176175968E-4</v>
      </c>
      <c r="T20" s="24">
        <v>82.055702209472656</v>
      </c>
      <c r="U20" s="23">
        <f t="shared" si="9"/>
        <v>3.5001475459963249E-3</v>
      </c>
      <c r="X20" s="53"/>
      <c r="Y20" s="54" t="s">
        <v>78</v>
      </c>
      <c r="Z20" s="54" t="s">
        <v>79</v>
      </c>
      <c r="AA20" s="54" t="s">
        <v>80</v>
      </c>
      <c r="AB20" s="54" t="s">
        <v>40</v>
      </c>
    </row>
    <row r="21" spans="1:29">
      <c r="A21" s="13">
        <v>45471</v>
      </c>
      <c r="B21" s="35">
        <v>680.08819580078102</v>
      </c>
      <c r="C21" s="23">
        <f t="shared" si="0"/>
        <v>-8.8979402148322293E-4</v>
      </c>
      <c r="D21" s="24">
        <v>108.30590057373047</v>
      </c>
      <c r="E21" s="23">
        <f t="shared" si="1"/>
        <v>9.6982745324737142E-3</v>
      </c>
      <c r="F21" s="24">
        <v>407.73159790039063</v>
      </c>
      <c r="G21" s="23">
        <f t="shared" si="2"/>
        <v>9.6974159457617701E-4</v>
      </c>
      <c r="H21" s="36">
        <v>81.938499450683594</v>
      </c>
      <c r="I21" s="23">
        <f t="shared" si="3"/>
        <v>-1.4293527156055482E-3</v>
      </c>
      <c r="J21" s="35"/>
      <c r="K21" s="23" t="e">
        <f t="shared" si="4"/>
        <v>#DIV/0!</v>
      </c>
      <c r="L21" s="36">
        <v>145.11199951171801</v>
      </c>
      <c r="M21" s="23">
        <f t="shared" si="5"/>
        <v>4.66931970904743E-3</v>
      </c>
      <c r="N21" s="24">
        <v>94.941596984863281</v>
      </c>
      <c r="O21" s="23">
        <f t="shared" si="6"/>
        <v>-1.916247456033339E-3</v>
      </c>
      <c r="P21" s="36">
        <v>17.688999176025298</v>
      </c>
      <c r="Q21" s="23">
        <f t="shared" si="7"/>
        <v>9.614146825923397E-4</v>
      </c>
      <c r="R21" s="24">
        <v>49.511970520019531</v>
      </c>
      <c r="S21" s="23">
        <f t="shared" si="8"/>
        <v>7.2207124825669697E-3</v>
      </c>
      <c r="T21" s="24">
        <v>81.938499450683594</v>
      </c>
      <c r="U21" s="23">
        <f t="shared" si="9"/>
        <v>-1.4293527156062152E-3</v>
      </c>
      <c r="X21" s="52" t="s">
        <v>78</v>
      </c>
      <c r="Y21" s="52">
        <f>VARP($C$3:$C$247)</f>
        <v>2.6304771104653489E-5</v>
      </c>
      <c r="Z21" s="52">
        <f>_xlfn.COVARIANCE.P(C3:C247,E3:E247)</f>
        <v>4.8548628111690863E-5</v>
      </c>
      <c r="AA21" s="52">
        <f>_xlfn.COVARIANCE.P(C3:C247,I3:I247)</f>
        <v>3.3261212596926566E-5</v>
      </c>
      <c r="AB21" s="52">
        <f>_xlfn.COVARIANCE.P(C3:C247,U3:U247)</f>
        <v>3.3152685474384249E-5</v>
      </c>
      <c r="AC21" s="40"/>
    </row>
    <row r="22" spans="1:29">
      <c r="A22" s="12">
        <v>45474</v>
      </c>
      <c r="B22" s="35">
        <v>682.048828125</v>
      </c>
      <c r="C22" s="23">
        <f t="shared" si="0"/>
        <v>2.8787613049261985E-3</v>
      </c>
      <c r="D22" s="24">
        <v>108.94249725341797</v>
      </c>
      <c r="E22" s="23">
        <f t="shared" si="1"/>
        <v>5.8605587715004088E-3</v>
      </c>
      <c r="F22" s="24">
        <v>410.00949096679688</v>
      </c>
      <c r="G22" s="23">
        <f t="shared" si="2"/>
        <v>5.5711984862521404E-3</v>
      </c>
      <c r="H22" s="36">
        <v>82.505401611328097</v>
      </c>
      <c r="I22" s="23">
        <f t="shared" si="3"/>
        <v>6.8948061044652315E-3</v>
      </c>
      <c r="J22" s="35"/>
      <c r="K22" s="23" t="e">
        <f t="shared" si="4"/>
        <v>#DIV/0!</v>
      </c>
      <c r="L22" s="36">
        <v>146.63299560546801</v>
      </c>
      <c r="M22" s="23">
        <f t="shared" si="5"/>
        <v>1.0426981779658097E-2</v>
      </c>
      <c r="N22" s="24">
        <v>95.699600219726563</v>
      </c>
      <c r="O22" s="23">
        <f t="shared" si="6"/>
        <v>7.952187045392467E-3</v>
      </c>
      <c r="P22" s="36">
        <v>17.770999908447202</v>
      </c>
      <c r="Q22" s="23">
        <f t="shared" si="7"/>
        <v>4.6249791713626849E-3</v>
      </c>
      <c r="R22" s="24">
        <v>50.134902954101563</v>
      </c>
      <c r="S22" s="23">
        <f t="shared" si="8"/>
        <v>1.250296225634958E-2</v>
      </c>
      <c r="T22" s="24">
        <v>82.505401611328125</v>
      </c>
      <c r="U22" s="23">
        <f t="shared" si="9"/>
        <v>6.8948061044656721E-3</v>
      </c>
      <c r="X22" s="55" t="s">
        <v>79</v>
      </c>
      <c r="Y22" s="55">
        <f>_xlfn.COVARIANCE.P(E3:E247,C3:C247)</f>
        <v>4.8548628111690863E-5</v>
      </c>
      <c r="Z22" s="52">
        <f>VARP($E$3:$E$247)</f>
        <v>1.6255758532583857E-4</v>
      </c>
      <c r="AA22" s="52">
        <f>_xlfn.COVARIANCE.P(E3:E247,I3:I247)</f>
        <v>6.9128112991718825E-5</v>
      </c>
      <c r="AB22" s="52">
        <f>_xlfn.COVARIANCE.P(E3:E247,U3:U247)</f>
        <v>6.8888504879127785E-5</v>
      </c>
    </row>
    <row r="23" spans="1:29">
      <c r="A23" s="12">
        <v>45475</v>
      </c>
      <c r="B23" s="35">
        <v>682.02307128906205</v>
      </c>
      <c r="C23" s="23">
        <f t="shared" si="0"/>
        <v>-3.7764630958381293E-5</v>
      </c>
      <c r="D23" s="24">
        <v>108.35759735107422</v>
      </c>
      <c r="E23" s="23">
        <f t="shared" si="1"/>
        <v>-5.3833507616606949E-3</v>
      </c>
      <c r="F23" s="24">
        <v>408.41180419921875</v>
      </c>
      <c r="G23" s="23">
        <f t="shared" si="2"/>
        <v>-3.9043187330773717E-3</v>
      </c>
      <c r="H23" s="36">
        <v>82.525497436523395</v>
      </c>
      <c r="I23" s="23">
        <f t="shared" si="3"/>
        <v>2.435401541233915E-4</v>
      </c>
      <c r="J23" s="35"/>
      <c r="K23" s="23" t="e">
        <f t="shared" si="4"/>
        <v>#DIV/0!</v>
      </c>
      <c r="L23" s="36">
        <v>146.641998291015</v>
      </c>
      <c r="M23" s="23">
        <f t="shared" si="5"/>
        <v>6.1394157273494536E-5</v>
      </c>
      <c r="N23" s="24">
        <v>95.5823974609375</v>
      </c>
      <c r="O23" s="23">
        <f t="shared" si="6"/>
        <v>-1.2254448915974682E-3</v>
      </c>
      <c r="P23" s="36">
        <v>17.770999908447202</v>
      </c>
      <c r="Q23" s="23">
        <f t="shared" si="7"/>
        <v>0</v>
      </c>
      <c r="R23" s="24">
        <v>49.898025512695313</v>
      </c>
      <c r="S23" s="23">
        <f t="shared" si="8"/>
        <v>-4.7359981916712491E-3</v>
      </c>
      <c r="T23" s="24">
        <v>82.525497436523438</v>
      </c>
      <c r="U23" s="23">
        <f t="shared" si="9"/>
        <v>2.4354015412361349E-4</v>
      </c>
      <c r="X23" s="55" t="s">
        <v>80</v>
      </c>
      <c r="Y23" s="55">
        <f>_xlfn.COVARIANCE.P(I3:I247,C3:C247)</f>
        <v>3.3261212596926566E-5</v>
      </c>
      <c r="Z23" s="52">
        <f>_xlfn.COVARIANCE.P(I3:I247,E3:E247)</f>
        <v>6.9128112991718825E-5</v>
      </c>
      <c r="AA23" s="52">
        <f>VARP($I$3:$I$247)</f>
        <v>5.4411410878546821E-5</v>
      </c>
      <c r="AB23" s="52">
        <f>_xlfn.COVARIANCE.P(I3:I247,U3:U247)</f>
        <v>5.4411410878546503E-5</v>
      </c>
    </row>
    <row r="24" spans="1:29">
      <c r="A24" s="12">
        <v>45476</v>
      </c>
      <c r="B24" s="35">
        <v>685.720703125</v>
      </c>
      <c r="C24" s="23">
        <f t="shared" si="0"/>
        <v>5.4069203799635215E-3</v>
      </c>
      <c r="D24" s="24">
        <v>109.18309783935547</v>
      </c>
      <c r="E24" s="23">
        <f t="shared" si="1"/>
        <v>7.5894255087719346E-3</v>
      </c>
      <c r="F24" s="24">
        <v>411.47650146484375</v>
      </c>
      <c r="G24" s="23">
        <f t="shared" si="2"/>
        <v>7.4759245085604629E-3</v>
      </c>
      <c r="H24" s="36">
        <v>83.287902832031193</v>
      </c>
      <c r="I24" s="23">
        <f t="shared" si="3"/>
        <v>9.1960090933585689E-3</v>
      </c>
      <c r="J24" s="35"/>
      <c r="K24" s="23" t="e">
        <f t="shared" si="4"/>
        <v>#DIV/0!</v>
      </c>
      <c r="L24" s="36">
        <v>148.32099914550699</v>
      </c>
      <c r="M24" s="23">
        <f t="shared" si="5"/>
        <v>1.1384607585045815E-2</v>
      </c>
      <c r="N24" s="24">
        <v>96.3988037109375</v>
      </c>
      <c r="O24" s="23">
        <f t="shared" si="6"/>
        <v>8.5051157756604896E-3</v>
      </c>
      <c r="P24" s="36">
        <v>17.853000640869102</v>
      </c>
      <c r="Q24" s="23">
        <f t="shared" si="7"/>
        <v>4.603687176281593E-3</v>
      </c>
      <c r="R24" s="24">
        <v>50.358219146728516</v>
      </c>
      <c r="S24" s="23">
        <f t="shared" si="8"/>
        <v>9.1804130043891385E-3</v>
      </c>
      <c r="T24" s="24">
        <v>83.28790283203125</v>
      </c>
      <c r="U24" s="23">
        <f t="shared" si="9"/>
        <v>9.1960090933587892E-3</v>
      </c>
      <c r="X24" s="56" t="s">
        <v>40</v>
      </c>
      <c r="Y24" s="55">
        <f>_xlfn.COVARIANCE.P(U3:U247,C3:C247)</f>
        <v>3.3152685474384249E-5</v>
      </c>
      <c r="Z24" s="52">
        <f>_xlfn.COVARIANCE.P(U3:U247,E3:E247)</f>
        <v>6.8888504879127785E-5</v>
      </c>
      <c r="AA24" s="52">
        <f>_xlfn.COVARIANCE.P(U3:U247,I3:I247)</f>
        <v>5.4411410878546503E-5</v>
      </c>
      <c r="AB24" s="52">
        <f>VARP($U$3:$U$247)</f>
        <v>5.4206920928706912E-5</v>
      </c>
    </row>
    <row r="25" spans="1:29">
      <c r="A25" s="12">
        <v>45477</v>
      </c>
      <c r="B25" s="35">
        <v>686.541015625</v>
      </c>
      <c r="C25" s="23">
        <f t="shared" si="0"/>
        <v>1.195562896643565E-3</v>
      </c>
      <c r="D25" s="24">
        <v>110.08889770507813</v>
      </c>
      <c r="E25" s="23">
        <f t="shared" si="1"/>
        <v>8.2619307214450502E-3</v>
      </c>
      <c r="F25" s="24">
        <v>412.39859008789063</v>
      </c>
      <c r="G25" s="23">
        <f t="shared" si="2"/>
        <v>2.2384194339971982E-3</v>
      </c>
      <c r="H25" s="36">
        <v>83.819000244140597</v>
      </c>
      <c r="I25" s="23">
        <f t="shared" si="3"/>
        <v>6.3564004900917206E-3</v>
      </c>
      <c r="J25" s="35"/>
      <c r="K25" s="23" t="e">
        <f t="shared" si="4"/>
        <v>#DIV/0!</v>
      </c>
      <c r="L25" s="36">
        <v>148.92199707031199</v>
      </c>
      <c r="M25" s="23">
        <f t="shared" si="5"/>
        <v>4.0438210584631158E-3</v>
      </c>
      <c r="N25" s="24">
        <v>96.668800354003906</v>
      </c>
      <c r="O25" s="23">
        <f t="shared" si="6"/>
        <v>2.7969147945178753E-3</v>
      </c>
      <c r="P25" s="36">
        <v>17.9270000457763</v>
      </c>
      <c r="Q25" s="23">
        <f t="shared" si="7"/>
        <v>4.1363615983631271E-3</v>
      </c>
      <c r="R25" s="24">
        <v>50.596908569335938</v>
      </c>
      <c r="S25" s="23">
        <f t="shared" si="8"/>
        <v>4.7286328642146894E-3</v>
      </c>
      <c r="T25" s="24">
        <v>83.819000244140625</v>
      </c>
      <c r="U25" s="23">
        <f t="shared" si="9"/>
        <v>6.35640049009128E-3</v>
      </c>
    </row>
    <row r="26" spans="1:29">
      <c r="A26" s="12">
        <v>45478</v>
      </c>
      <c r="B26" s="35">
        <v>688.984375</v>
      </c>
      <c r="C26" s="23">
        <f t="shared" si="0"/>
        <v>3.5526235451310458E-3</v>
      </c>
      <c r="D26" s="24">
        <v>109.98680114746094</v>
      </c>
      <c r="E26" s="23">
        <f t="shared" si="1"/>
        <v>-9.278313368885128E-4</v>
      </c>
      <c r="F26" s="24">
        <v>413.831787109375</v>
      </c>
      <c r="G26" s="23">
        <f t="shared" si="2"/>
        <v>3.4692465890765619E-3</v>
      </c>
      <c r="H26" s="36">
        <v>83.920501708984304</v>
      </c>
      <c r="I26" s="23">
        <f t="shared" si="3"/>
        <v>1.2102274783282506E-3</v>
      </c>
      <c r="J26" s="35"/>
      <c r="K26" s="23" t="e">
        <f t="shared" si="4"/>
        <v>#DIV/0!</v>
      </c>
      <c r="L26" s="36">
        <v>149.34100341796801</v>
      </c>
      <c r="M26" s="23">
        <f t="shared" si="5"/>
        <v>2.8096453305312174E-3</v>
      </c>
      <c r="N26" s="24">
        <v>96.829696655273438</v>
      </c>
      <c r="O26" s="23">
        <f t="shared" si="6"/>
        <v>1.6630241664740955E-3</v>
      </c>
      <c r="P26" s="36">
        <v>17.857000350952099</v>
      </c>
      <c r="Q26" s="23">
        <f t="shared" si="7"/>
        <v>-3.9123509577228925E-3</v>
      </c>
      <c r="R26" s="24">
        <v>50.765068054199219</v>
      </c>
      <c r="S26" s="23">
        <f t="shared" si="8"/>
        <v>3.3180023661551379E-3</v>
      </c>
      <c r="T26" s="24">
        <v>83.920501708984375</v>
      </c>
      <c r="U26" s="23">
        <f t="shared" si="9"/>
        <v>1.2102274783289159E-3</v>
      </c>
    </row>
    <row r="27" spans="1:29">
      <c r="A27" s="12">
        <v>45481</v>
      </c>
      <c r="B27" s="35">
        <v>689.47210693359295</v>
      </c>
      <c r="C27" s="23">
        <f t="shared" si="0"/>
        <v>7.0764940400905123E-4</v>
      </c>
      <c r="D27" s="24">
        <v>109.19619750976563</v>
      </c>
      <c r="E27" s="23">
        <f t="shared" si="1"/>
        <v>-7.2141276591699737E-3</v>
      </c>
      <c r="F27" s="24">
        <v>413.69189453125</v>
      </c>
      <c r="G27" s="23">
        <f t="shared" si="2"/>
        <v>-3.3809927754633971E-4</v>
      </c>
      <c r="H27" s="36">
        <v>83.978401184082003</v>
      </c>
      <c r="I27" s="23">
        <f t="shared" si="3"/>
        <v>6.8969452920967069E-4</v>
      </c>
      <c r="J27" s="35"/>
      <c r="K27" s="23" t="e">
        <f t="shared" si="4"/>
        <v>#DIV/0!</v>
      </c>
      <c r="L27" s="36">
        <v>148.49400329589801</v>
      </c>
      <c r="M27" s="23">
        <f t="shared" si="5"/>
        <v>-5.6877290201961042E-3</v>
      </c>
      <c r="N27" s="24">
        <v>96.864700317382813</v>
      </c>
      <c r="O27" s="23">
        <f t="shared" si="6"/>
        <v>3.6143185386384151E-4</v>
      </c>
      <c r="P27" s="36">
        <v>17.868999481201101</v>
      </c>
      <c r="Q27" s="23">
        <f t="shared" si="7"/>
        <v>6.7173099460135E-4</v>
      </c>
      <c r="R27" s="24">
        <v>50.5616455078125</v>
      </c>
      <c r="S27" s="23">
        <f t="shared" si="8"/>
        <v>-4.0151863714719552E-3</v>
      </c>
      <c r="T27" s="24">
        <v>83.978401184082031</v>
      </c>
      <c r="U27" s="23">
        <f t="shared" si="9"/>
        <v>6.8969452920922692E-4</v>
      </c>
    </row>
    <row r="28" spans="1:29">
      <c r="A28" s="12">
        <v>45482</v>
      </c>
      <c r="B28" s="35">
        <v>692.15020751953102</v>
      </c>
      <c r="C28" s="23">
        <f t="shared" si="0"/>
        <v>3.8767525858065311E-3</v>
      </c>
      <c r="D28" s="24">
        <v>110.01000213623047</v>
      </c>
      <c r="E28" s="23">
        <f t="shared" si="1"/>
        <v>7.4250488044705935E-3</v>
      </c>
      <c r="F28" s="24">
        <v>415.94219970703125</v>
      </c>
      <c r="G28" s="23">
        <f t="shared" si="2"/>
        <v>5.4248269449030948E-3</v>
      </c>
      <c r="H28" s="36">
        <v>84.363998413085895</v>
      </c>
      <c r="I28" s="23">
        <f t="shared" si="3"/>
        <v>4.5811144939273711E-3</v>
      </c>
      <c r="J28" s="35"/>
      <c r="K28" s="23" t="e">
        <f t="shared" si="4"/>
        <v>#DIV/0!</v>
      </c>
      <c r="L28" s="36">
        <v>149.15199279785099</v>
      </c>
      <c r="M28" s="23">
        <f t="shared" si="5"/>
        <v>4.4212963214373428E-3</v>
      </c>
      <c r="N28" s="24">
        <v>97.331100463867188</v>
      </c>
      <c r="O28" s="23">
        <f t="shared" si="6"/>
        <v>4.8034101805377056E-3</v>
      </c>
      <c r="P28" s="36">
        <v>17.982000350952099</v>
      </c>
      <c r="Q28" s="23">
        <f t="shared" si="7"/>
        <v>6.3039382163729797E-3</v>
      </c>
      <c r="R28" s="24">
        <v>50.850055694580078</v>
      </c>
      <c r="S28" s="23">
        <f t="shared" si="8"/>
        <v>5.6879228119173448E-3</v>
      </c>
      <c r="T28" s="24">
        <v>84.363998413085938</v>
      </c>
      <c r="U28" s="23">
        <f t="shared" si="9"/>
        <v>4.5811144939275922E-3</v>
      </c>
    </row>
    <row r="29" spans="1:29">
      <c r="A29" s="13">
        <v>45483</v>
      </c>
      <c r="B29" s="35">
        <v>692.70281982421795</v>
      </c>
      <c r="C29" s="23">
        <f t="shared" si="0"/>
        <v>7.9808084050372993E-4</v>
      </c>
      <c r="D29" s="24">
        <v>109.64559936523438</v>
      </c>
      <c r="E29" s="23">
        <f t="shared" si="1"/>
        <v>-3.3179495793225094E-3</v>
      </c>
      <c r="F29" s="24">
        <v>414.197998046875</v>
      </c>
      <c r="G29" s="23">
        <f t="shared" si="2"/>
        <v>-4.2021919466810921E-3</v>
      </c>
      <c r="H29" s="36">
        <v>84.197402954101506</v>
      </c>
      <c r="I29" s="23">
        <f t="shared" si="3"/>
        <v>-1.9766745159593099E-3</v>
      </c>
      <c r="J29" s="35"/>
      <c r="K29" s="23" t="e">
        <f t="shared" si="4"/>
        <v>#DIV/0!</v>
      </c>
      <c r="L29" s="36">
        <v>148.65800476074199</v>
      </c>
      <c r="M29" s="23">
        <f t="shared" si="5"/>
        <v>-3.3174741896706684E-3</v>
      </c>
      <c r="N29" s="24">
        <v>96.9844970703125</v>
      </c>
      <c r="O29" s="23">
        <f t="shared" si="6"/>
        <v>-3.5674311845488018E-3</v>
      </c>
      <c r="P29" s="36">
        <v>17.9039993286132</v>
      </c>
      <c r="Q29" s="23">
        <f t="shared" si="7"/>
        <v>-4.3471630091306427E-3</v>
      </c>
      <c r="R29" s="24">
        <v>50.758739471435547</v>
      </c>
      <c r="S29" s="23">
        <f t="shared" si="8"/>
        <v>-1.7974083361536712E-3</v>
      </c>
      <c r="T29" s="24">
        <v>84.197402954101563</v>
      </c>
      <c r="U29" s="23">
        <f t="shared" si="9"/>
        <v>-1.9766745159590874E-3</v>
      </c>
    </row>
    <row r="30" spans="1:29">
      <c r="A30" s="13">
        <v>45484</v>
      </c>
      <c r="B30" s="35">
        <v>693.34649658203102</v>
      </c>
      <c r="C30" s="23">
        <f t="shared" si="0"/>
        <v>9.2879350895636406E-4</v>
      </c>
      <c r="D30" s="24">
        <v>109.54920196533203</v>
      </c>
      <c r="E30" s="23">
        <f t="shared" si="1"/>
        <v>-8.7955923709693911E-4</v>
      </c>
      <c r="F30" s="24">
        <v>415.78350830078125</v>
      </c>
      <c r="G30" s="23">
        <f t="shared" si="2"/>
        <v>3.8205964118845142E-3</v>
      </c>
      <c r="H30" s="36">
        <v>84.009498596191406</v>
      </c>
      <c r="I30" s="23">
        <f t="shared" si="3"/>
        <v>-2.2342060205782391E-3</v>
      </c>
      <c r="J30" s="35"/>
      <c r="K30" s="23" t="e">
        <f t="shared" si="4"/>
        <v>#DIV/0!</v>
      </c>
      <c r="L30" s="36">
        <v>148.899002075195</v>
      </c>
      <c r="M30" s="23">
        <f t="shared" si="5"/>
        <v>1.6198399742714282E-3</v>
      </c>
      <c r="N30" s="24">
        <v>97.096000671386719</v>
      </c>
      <c r="O30" s="23">
        <f t="shared" si="6"/>
        <v>1.1490450059627756E-3</v>
      </c>
      <c r="P30" s="36">
        <v>17.9300003051757</v>
      </c>
      <c r="Q30" s="23">
        <f t="shared" si="7"/>
        <v>1.4511905671314527E-3</v>
      </c>
      <c r="R30" s="24">
        <v>50.831974029541016</v>
      </c>
      <c r="S30" s="23">
        <f t="shared" si="8"/>
        <v>1.4417571895604959E-3</v>
      </c>
      <c r="T30" s="24">
        <v>84.009498596191406</v>
      </c>
      <c r="U30" s="23">
        <f t="shared" si="9"/>
        <v>-2.2342060205789065E-3</v>
      </c>
    </row>
    <row r="31" spans="1:29">
      <c r="A31" s="13">
        <v>45485</v>
      </c>
      <c r="B31" s="35">
        <v>694.24279785156205</v>
      </c>
      <c r="C31" s="23">
        <f t="shared" si="0"/>
        <v>1.2918828327435281E-3</v>
      </c>
      <c r="D31" s="24">
        <v>110.54859924316406</v>
      </c>
      <c r="E31" s="23">
        <f t="shared" si="1"/>
        <v>9.0814550706849947E-3</v>
      </c>
      <c r="F31" s="24">
        <v>416.2080078125</v>
      </c>
      <c r="G31" s="23">
        <f t="shared" si="2"/>
        <v>1.0204420125288953E-3</v>
      </c>
      <c r="H31" s="36">
        <v>84.106796264648395</v>
      </c>
      <c r="I31" s="23">
        <f t="shared" si="3"/>
        <v>1.1575044453716462E-3</v>
      </c>
      <c r="J31" s="35"/>
      <c r="K31" s="23" t="e">
        <f t="shared" si="4"/>
        <v>#DIV/0!</v>
      </c>
      <c r="L31" s="36">
        <v>149.22799682617099</v>
      </c>
      <c r="M31" s="23">
        <f t="shared" si="5"/>
        <v>2.2070787666880246E-3</v>
      </c>
      <c r="N31" s="24">
        <v>97.378501892089844</v>
      </c>
      <c r="O31" s="23">
        <f t="shared" si="6"/>
        <v>2.9052797738224681E-3</v>
      </c>
      <c r="P31" s="36">
        <v>18.047000885009702</v>
      </c>
      <c r="Q31" s="23">
        <f t="shared" si="7"/>
        <v>6.5042103808814365E-3</v>
      </c>
      <c r="R31" s="24">
        <v>50.858192443847656</v>
      </c>
      <c r="S31" s="23">
        <f t="shared" si="8"/>
        <v>5.1565290522869746E-4</v>
      </c>
      <c r="T31" s="24">
        <v>84.106796264648438</v>
      </c>
      <c r="U31" s="23">
        <f t="shared" si="9"/>
        <v>1.1575044453720896E-3</v>
      </c>
    </row>
    <row r="32" spans="1:29">
      <c r="A32" s="13">
        <v>45488</v>
      </c>
      <c r="B32" s="35">
        <v>696.02288818359295</v>
      </c>
      <c r="C32" s="23">
        <f t="shared" si="0"/>
        <v>2.5607929803351539E-3</v>
      </c>
      <c r="D32" s="24">
        <v>111.49349975585938</v>
      </c>
      <c r="E32" s="23">
        <f t="shared" si="1"/>
        <v>8.5110546229210538E-3</v>
      </c>
      <c r="F32" s="24">
        <v>418.96688842773438</v>
      </c>
      <c r="G32" s="23">
        <f t="shared" si="2"/>
        <v>6.6067374937651491E-3</v>
      </c>
      <c r="H32" s="36">
        <v>84.311798095703097</v>
      </c>
      <c r="I32" s="23">
        <f t="shared" si="3"/>
        <v>2.4344334790108555E-3</v>
      </c>
      <c r="J32" s="35"/>
      <c r="K32" s="23" t="e">
        <f t="shared" si="4"/>
        <v>#DIV/0!</v>
      </c>
      <c r="L32" s="36">
        <v>149.98800659179599</v>
      </c>
      <c r="M32" s="23">
        <f t="shared" si="5"/>
        <v>5.0800183905995253E-3</v>
      </c>
      <c r="N32" s="24">
        <v>97.767097473144531</v>
      </c>
      <c r="O32" s="23">
        <f t="shared" si="6"/>
        <v>3.982627289112901E-3</v>
      </c>
      <c r="P32" s="36">
        <v>18.086000442504801</v>
      </c>
      <c r="Q32" s="23">
        <f t="shared" si="7"/>
        <v>2.1586677666728129E-3</v>
      </c>
      <c r="R32" s="24">
        <v>51.222549438476563</v>
      </c>
      <c r="S32" s="23">
        <f t="shared" si="8"/>
        <v>7.1386342852668306E-3</v>
      </c>
      <c r="T32" s="24">
        <v>84.311798095703125</v>
      </c>
      <c r="U32" s="23">
        <f t="shared" si="9"/>
        <v>2.4344334790106338E-3</v>
      </c>
    </row>
    <row r="33" spans="1:21">
      <c r="A33" s="13">
        <v>45489</v>
      </c>
      <c r="B33" s="35">
        <v>697.19580078125</v>
      </c>
      <c r="C33" s="23">
        <f t="shared" si="0"/>
        <v>1.6837455369321146E-3</v>
      </c>
      <c r="D33" s="24">
        <v>111.36540222167969</v>
      </c>
      <c r="E33" s="23">
        <f t="shared" si="1"/>
        <v>-1.1495843078308317E-3</v>
      </c>
      <c r="F33" s="24">
        <v>420.11550903320313</v>
      </c>
      <c r="G33" s="23">
        <f t="shared" si="2"/>
        <v>2.7378034062160487E-3</v>
      </c>
      <c r="H33" s="36">
        <v>84.305900573730398</v>
      </c>
      <c r="I33" s="23">
        <f t="shared" si="3"/>
        <v>-6.9951399190524151E-5</v>
      </c>
      <c r="J33" s="35"/>
      <c r="K33" s="23" t="e">
        <f t="shared" si="4"/>
        <v>#DIV/0!</v>
      </c>
      <c r="L33" s="36">
        <v>150.072006225585</v>
      </c>
      <c r="M33" s="23">
        <f t="shared" si="5"/>
        <v>5.5988557218659908E-4</v>
      </c>
      <c r="N33" s="24">
        <v>97.471298217773438</v>
      </c>
      <c r="O33" s="23">
        <f t="shared" si="6"/>
        <v>-3.0301363689581623E-3</v>
      </c>
      <c r="P33" s="36">
        <v>18.099000930786101</v>
      </c>
      <c r="Q33" s="23">
        <f t="shared" si="7"/>
        <v>7.1855676922912622E-4</v>
      </c>
      <c r="R33" s="24">
        <v>51.270469665527344</v>
      </c>
      <c r="S33" s="23">
        <f t="shared" si="8"/>
        <v>9.3509257433301333E-4</v>
      </c>
      <c r="T33" s="24">
        <v>84.305900573730469</v>
      </c>
      <c r="U33" s="23">
        <f t="shared" si="9"/>
        <v>-6.9951399189968998E-5</v>
      </c>
    </row>
    <row r="34" spans="1:21">
      <c r="A34" s="13">
        <v>45491</v>
      </c>
      <c r="B34" s="35">
        <v>698.25787353515602</v>
      </c>
      <c r="C34" s="23">
        <f t="shared" si="0"/>
        <v>1.5221902074254912E-3</v>
      </c>
      <c r="D34" s="24">
        <v>110.84839630126953</v>
      </c>
      <c r="E34" s="23">
        <f t="shared" si="1"/>
        <v>-4.6532380682412404E-3</v>
      </c>
      <c r="F34" s="24">
        <v>419.9849853515625</v>
      </c>
      <c r="G34" s="23">
        <f t="shared" si="2"/>
        <v>-3.1073349810717171E-4</v>
      </c>
      <c r="H34" s="36">
        <v>84.000198364257798</v>
      </c>
      <c r="I34" s="23">
        <f t="shared" si="3"/>
        <v>-3.6326971819142569E-3</v>
      </c>
      <c r="J34" s="35"/>
      <c r="K34" s="23" t="e">
        <f t="shared" si="4"/>
        <v>#DIV/0!</v>
      </c>
      <c r="L34" s="36">
        <v>148.82600402832</v>
      </c>
      <c r="M34" s="23">
        <f t="shared" si="5"/>
        <v>-8.3373550317081442E-3</v>
      </c>
      <c r="N34" s="24">
        <v>97.705497741699219</v>
      </c>
      <c r="O34" s="23">
        <f t="shared" si="6"/>
        <v>2.3998717181335648E-3</v>
      </c>
      <c r="P34" s="36">
        <v>18.1679992675781</v>
      </c>
      <c r="Q34" s="23">
        <f t="shared" si="7"/>
        <v>3.8050249351926626E-3</v>
      </c>
      <c r="R34" s="24">
        <v>51.055294036865234</v>
      </c>
      <c r="S34" s="23">
        <f t="shared" si="8"/>
        <v>-4.2057041754562999E-3</v>
      </c>
      <c r="T34" s="24">
        <v>84.000198364257813</v>
      </c>
      <c r="U34" s="23">
        <f t="shared" si="9"/>
        <v>-3.6326971819149257E-3</v>
      </c>
    </row>
    <row r="35" spans="1:21">
      <c r="A35" s="13">
        <v>45492</v>
      </c>
      <c r="B35" s="35">
        <v>692.08502197265602</v>
      </c>
      <c r="C35" s="23">
        <f t="shared" si="0"/>
        <v>-8.8796686664944589E-3</v>
      </c>
      <c r="D35" s="24">
        <v>109.35160064697266</v>
      </c>
      <c r="E35" s="23">
        <f t="shared" si="1"/>
        <v>-1.3595083822928034E-2</v>
      </c>
      <c r="F35" s="24">
        <v>413.20260620117188</v>
      </c>
      <c r="G35" s="23">
        <f t="shared" si="2"/>
        <v>-1.6280916889810766E-2</v>
      </c>
      <c r="H35" s="36">
        <v>83.261901855468693</v>
      </c>
      <c r="I35" s="23">
        <f t="shared" si="3"/>
        <v>-8.8280764469311854E-3</v>
      </c>
      <c r="J35" s="35"/>
      <c r="K35" s="23" t="e">
        <f t="shared" si="4"/>
        <v>#DIV/0!</v>
      </c>
      <c r="L35" s="36">
        <v>145.72799682617099</v>
      </c>
      <c r="M35" s="23">
        <f t="shared" si="5"/>
        <v>-2.1036016723240666E-2</v>
      </c>
      <c r="N35" s="24">
        <v>96.40899658203125</v>
      </c>
      <c r="O35" s="23">
        <f t="shared" si="6"/>
        <v>-1.3358306329154353E-2</v>
      </c>
      <c r="P35" s="36">
        <v>17.944999694824201</v>
      </c>
      <c r="Q35" s="23">
        <f t="shared" si="7"/>
        <v>-1.2350256896017412E-2</v>
      </c>
      <c r="R35" s="24">
        <v>50.098739624023438</v>
      </c>
      <c r="S35" s="23">
        <f t="shared" si="8"/>
        <v>-1.8913391639475627E-2</v>
      </c>
      <c r="T35" s="24">
        <v>83.26190185546875</v>
      </c>
      <c r="U35" s="23">
        <f t="shared" si="9"/>
        <v>-8.8280764469306251E-3</v>
      </c>
    </row>
    <row r="36" spans="1:21">
      <c r="A36" s="13">
        <v>45495</v>
      </c>
      <c r="B36" s="35">
        <v>693.28271484375</v>
      </c>
      <c r="C36" s="23">
        <f t="shared" si="0"/>
        <v>1.7290617323555144E-3</v>
      </c>
      <c r="D36" s="24">
        <v>110.24040222167969</v>
      </c>
      <c r="E36" s="23">
        <f t="shared" si="1"/>
        <v>8.0950710107923901E-3</v>
      </c>
      <c r="F36" s="24">
        <v>414.70089721679688</v>
      </c>
      <c r="G36" s="23">
        <f t="shared" si="2"/>
        <v>3.6194861965392817E-3</v>
      </c>
      <c r="H36" s="36">
        <v>83.782897949218693</v>
      </c>
      <c r="I36" s="23">
        <f t="shared" si="3"/>
        <v>6.2378210361024857E-3</v>
      </c>
      <c r="J36" s="35"/>
      <c r="K36" s="23" t="e">
        <f t="shared" si="4"/>
        <v>#DIV/0!</v>
      </c>
      <c r="L36" s="36">
        <v>147.42399597167901</v>
      </c>
      <c r="M36" s="23">
        <f t="shared" si="5"/>
        <v>1.1570912766631638E-2</v>
      </c>
      <c r="N36" s="24">
        <v>96.701301574707031</v>
      </c>
      <c r="O36" s="23">
        <f t="shared" si="6"/>
        <v>3.0273394915602209E-3</v>
      </c>
      <c r="P36" s="36">
        <v>17.961999893188398</v>
      </c>
      <c r="Q36" s="23">
        <f t="shared" si="7"/>
        <v>9.4690170883027051E-4</v>
      </c>
      <c r="R36" s="24">
        <v>50.753318786621094</v>
      </c>
      <c r="S36" s="23">
        <f t="shared" si="8"/>
        <v>1.2981160024766793E-2</v>
      </c>
      <c r="T36" s="24">
        <v>83.78289794921875</v>
      </c>
      <c r="U36" s="23">
        <f t="shared" si="9"/>
        <v>6.2378210361022646E-3</v>
      </c>
    </row>
    <row r="37" spans="1:21">
      <c r="A37" s="13">
        <v>45496</v>
      </c>
      <c r="B37" s="35">
        <v>689.63171386718705</v>
      </c>
      <c r="C37" s="23">
        <f t="shared" si="0"/>
        <v>-5.2801668466265833E-3</v>
      </c>
      <c r="D37" s="24">
        <v>110.18409729003906</v>
      </c>
      <c r="E37" s="23">
        <f t="shared" si="1"/>
        <v>-5.1087726627449331E-4</v>
      </c>
      <c r="F37" s="24">
        <v>413.93460083007813</v>
      </c>
      <c r="G37" s="23">
        <f t="shared" si="2"/>
        <v>-1.8495384447564213E-3</v>
      </c>
      <c r="H37" s="36">
        <v>83.840400695800696</v>
      </c>
      <c r="I37" s="23">
        <f t="shared" si="3"/>
        <v>6.8609494387114524E-4</v>
      </c>
      <c r="J37" s="35"/>
      <c r="K37" s="23" t="e">
        <f t="shared" si="4"/>
        <v>#DIV/0!</v>
      </c>
      <c r="L37" s="36">
        <v>146.90699768066401</v>
      </c>
      <c r="M37" s="23">
        <f t="shared" si="5"/>
        <v>-3.5130437084429341E-3</v>
      </c>
      <c r="N37" s="24">
        <v>96.544502258300781</v>
      </c>
      <c r="O37" s="23">
        <f t="shared" si="6"/>
        <v>-1.6227969529653704E-3</v>
      </c>
      <c r="P37" s="36">
        <v>17.9270000457763</v>
      </c>
      <c r="Q37" s="23">
        <f t="shared" si="7"/>
        <v>-1.9504504760412896E-3</v>
      </c>
      <c r="R37" s="24">
        <v>50.608661651611328</v>
      </c>
      <c r="S37" s="23">
        <f t="shared" si="8"/>
        <v>-2.8542700644316153E-3</v>
      </c>
      <c r="T37" s="24">
        <v>83.840400695800781</v>
      </c>
      <c r="U37" s="23">
        <f t="shared" si="9"/>
        <v>6.8609494387136718E-4</v>
      </c>
    </row>
    <row r="38" spans="1:21">
      <c r="A38" s="13">
        <v>45497</v>
      </c>
      <c r="B38" s="35">
        <v>691.09661865234295</v>
      </c>
      <c r="C38" s="23">
        <f t="shared" si="0"/>
        <v>2.1219313029355643E-3</v>
      </c>
      <c r="D38" s="24">
        <v>111.57949829101563</v>
      </c>
      <c r="E38" s="23">
        <f t="shared" si="1"/>
        <v>1.258474740868735E-2</v>
      </c>
      <c r="F38" s="24">
        <v>416.168701171875</v>
      </c>
      <c r="G38" s="23">
        <f t="shared" si="2"/>
        <v>5.3827173812602304E-3</v>
      </c>
      <c r="H38" s="36">
        <v>83.311096191406193</v>
      </c>
      <c r="I38" s="23">
        <f t="shared" si="3"/>
        <v>-6.3332519714657878E-3</v>
      </c>
      <c r="J38" s="35"/>
      <c r="K38" s="23" t="e">
        <f t="shared" si="4"/>
        <v>#DIV/0!</v>
      </c>
      <c r="L38" s="36">
        <v>147.69500732421801</v>
      </c>
      <c r="M38" s="23">
        <f t="shared" si="5"/>
        <v>5.3496684306288981E-3</v>
      </c>
      <c r="N38" s="24">
        <v>96.761703491210938</v>
      </c>
      <c r="O38" s="23">
        <f t="shared" si="6"/>
        <v>2.2472255712011266E-3</v>
      </c>
      <c r="P38" s="36">
        <v>17.9270000457763</v>
      </c>
      <c r="Q38" s="23">
        <f t="shared" si="7"/>
        <v>0</v>
      </c>
      <c r="R38" s="24">
        <v>51.194526672363281</v>
      </c>
      <c r="S38" s="23">
        <f t="shared" si="8"/>
        <v>1.1509884871160236E-2</v>
      </c>
      <c r="T38" s="24">
        <v>83.31109619140625</v>
      </c>
      <c r="U38" s="23">
        <f t="shared" si="9"/>
        <v>-6.3332519714661235E-3</v>
      </c>
    </row>
    <row r="39" spans="1:21">
      <c r="A39" s="13">
        <v>45498</v>
      </c>
      <c r="B39" s="35">
        <v>689.96569824218705</v>
      </c>
      <c r="C39" s="23">
        <f t="shared" si="0"/>
        <v>-1.6377547183855381E-3</v>
      </c>
      <c r="D39" s="24">
        <v>110.95500183105469</v>
      </c>
      <c r="E39" s="23">
        <f t="shared" si="1"/>
        <v>-5.6125957906284392E-3</v>
      </c>
      <c r="F39" s="24">
        <v>417.63778686523438</v>
      </c>
      <c r="G39" s="23">
        <f t="shared" si="2"/>
        <v>3.5238085445501439E-3</v>
      </c>
      <c r="H39" s="36">
        <v>82.956497192382798</v>
      </c>
      <c r="I39" s="23">
        <f t="shared" si="3"/>
        <v>-4.2654077012725397E-3</v>
      </c>
      <c r="J39" s="35"/>
      <c r="K39" s="23" t="e">
        <f t="shared" si="4"/>
        <v>#DIV/0!</v>
      </c>
      <c r="L39" s="36">
        <v>147.46699523925699</v>
      </c>
      <c r="M39" s="23">
        <f t="shared" si="5"/>
        <v>-1.5449964991185151E-3</v>
      </c>
      <c r="N39" s="24">
        <v>96.7322998046875</v>
      </c>
      <c r="O39" s="23">
        <f t="shared" si="6"/>
        <v>-3.039234937405975E-4</v>
      </c>
      <c r="P39" s="36">
        <v>17.9179992675781</v>
      </c>
      <c r="Q39" s="23">
        <f t="shared" si="7"/>
        <v>-5.022055271190764E-4</v>
      </c>
      <c r="R39" s="24">
        <v>51.050769805908203</v>
      </c>
      <c r="S39" s="23">
        <f t="shared" si="8"/>
        <v>-2.8120014540449936E-3</v>
      </c>
      <c r="T39" s="24">
        <v>82.956497192382813</v>
      </c>
      <c r="U39" s="23">
        <f t="shared" si="9"/>
        <v>-4.2654077012730966E-3</v>
      </c>
    </row>
    <row r="40" spans="1:21">
      <c r="A40" s="13">
        <v>45499</v>
      </c>
      <c r="B40" s="35">
        <v>694.27917480468705</v>
      </c>
      <c r="C40" s="23">
        <f t="shared" si="0"/>
        <v>6.2322651261666456E-3</v>
      </c>
      <c r="D40" s="24">
        <v>112.08480072021484</v>
      </c>
      <c r="E40" s="23">
        <f t="shared" si="1"/>
        <v>1.013100387918903E-2</v>
      </c>
      <c r="F40" s="24">
        <v>422.93389892578125</v>
      </c>
      <c r="G40" s="23">
        <f t="shared" si="2"/>
        <v>1.2601381257097557E-2</v>
      </c>
      <c r="H40" s="36">
        <v>84.010597229003906</v>
      </c>
      <c r="I40" s="23">
        <f t="shared" si="3"/>
        <v>1.2626608194179807E-2</v>
      </c>
      <c r="J40" s="35"/>
      <c r="K40" s="23" t="e">
        <f t="shared" si="4"/>
        <v>#DIV/0!</v>
      </c>
      <c r="L40" s="36">
        <v>150.48699951171801</v>
      </c>
      <c r="M40" s="23">
        <f t="shared" si="5"/>
        <v>2.0272308824008402E-2</v>
      </c>
      <c r="N40" s="24">
        <v>98.31109619140625</v>
      </c>
      <c r="O40" s="23">
        <f t="shared" si="6"/>
        <v>1.6189534253989939E-2</v>
      </c>
      <c r="P40" s="36">
        <v>18.1840000152587</v>
      </c>
      <c r="Q40" s="23">
        <f t="shared" si="7"/>
        <v>1.4736334090304027E-2</v>
      </c>
      <c r="R40" s="24">
        <v>51.859951019287109</v>
      </c>
      <c r="S40" s="23">
        <f t="shared" si="8"/>
        <v>1.5726211683755389E-2</v>
      </c>
      <c r="T40" s="24">
        <v>84.010597229003906</v>
      </c>
      <c r="U40" s="23">
        <f t="shared" si="9"/>
        <v>1.2626608194179587E-2</v>
      </c>
    </row>
    <row r="41" spans="1:21">
      <c r="A41" s="13">
        <v>45502</v>
      </c>
      <c r="B41" s="35">
        <v>694.57269287109295</v>
      </c>
      <c r="C41" s="23">
        <f t="shared" si="0"/>
        <v>4.2267728849579934E-4</v>
      </c>
      <c r="D41" s="24">
        <v>112.75160217285156</v>
      </c>
      <c r="E41" s="23">
        <f t="shared" si="1"/>
        <v>5.9314541507912728E-3</v>
      </c>
      <c r="F41" s="24">
        <v>424.53131103515625</v>
      </c>
      <c r="G41" s="23">
        <f t="shared" si="2"/>
        <v>3.7698633110832699E-3</v>
      </c>
      <c r="H41" s="36">
        <v>84.230300903320298</v>
      </c>
      <c r="I41" s="23">
        <f t="shared" si="3"/>
        <v>2.6117763474336067E-3</v>
      </c>
      <c r="J41" s="35"/>
      <c r="K41" s="23" t="e">
        <f t="shared" si="4"/>
        <v>#DIV/0!</v>
      </c>
      <c r="L41" s="36">
        <v>151.56799316406199</v>
      </c>
      <c r="M41" s="23">
        <f t="shared" si="5"/>
        <v>7.1576255558661048E-3</v>
      </c>
      <c r="N41" s="24">
        <v>98.483901977539063</v>
      </c>
      <c r="O41" s="23">
        <f t="shared" si="6"/>
        <v>1.7562014497853424E-3</v>
      </c>
      <c r="P41" s="36">
        <v>18.257999420166001</v>
      </c>
      <c r="Q41" s="23">
        <f t="shared" si="7"/>
        <v>4.0612209957138108E-3</v>
      </c>
      <c r="R41" s="24">
        <v>52.123050689697266</v>
      </c>
      <c r="S41" s="23">
        <f t="shared" si="8"/>
        <v>5.0604469488898006E-3</v>
      </c>
      <c r="T41" s="24">
        <v>84.230300903320313</v>
      </c>
      <c r="U41" s="23">
        <f t="shared" si="9"/>
        <v>2.6117763474336067E-3</v>
      </c>
    </row>
    <row r="42" spans="1:21">
      <c r="A42" s="13">
        <v>45503</v>
      </c>
      <c r="B42" s="35">
        <v>696.63092041015602</v>
      </c>
      <c r="C42" s="23">
        <f t="shared" si="0"/>
        <v>2.958918480510545E-3</v>
      </c>
      <c r="D42" s="24">
        <v>113.2947998046875</v>
      </c>
      <c r="E42" s="23">
        <f t="shared" si="1"/>
        <v>4.8060811644615549E-3</v>
      </c>
      <c r="F42" s="24">
        <v>425.66119384765625</v>
      </c>
      <c r="G42" s="23">
        <f t="shared" si="2"/>
        <v>2.6579473970884922E-3</v>
      </c>
      <c r="H42" s="36">
        <v>84.454902648925696</v>
      </c>
      <c r="I42" s="23">
        <f t="shared" si="3"/>
        <v>2.6629707123596541E-3</v>
      </c>
      <c r="J42" s="35"/>
      <c r="K42" s="23" t="e">
        <f t="shared" si="4"/>
        <v>#DIV/0!</v>
      </c>
      <c r="L42" s="36">
        <v>151.71200561523401</v>
      </c>
      <c r="M42" s="23">
        <f t="shared" si="5"/>
        <v>9.4969970044686677E-4</v>
      </c>
      <c r="N42" s="24">
        <v>98.680198669433594</v>
      </c>
      <c r="O42" s="23">
        <f t="shared" si="6"/>
        <v>1.9912018071060683E-3</v>
      </c>
      <c r="P42" s="36">
        <v>18.291999816894499</v>
      </c>
      <c r="Q42" s="23">
        <f t="shared" si="7"/>
        <v>1.8604874005838199E-3</v>
      </c>
      <c r="R42" s="24">
        <v>52.328281402587891</v>
      </c>
      <c r="S42" s="23">
        <f t="shared" si="8"/>
        <v>3.9296957326622733E-3</v>
      </c>
      <c r="T42" s="24">
        <v>84.454902648925781</v>
      </c>
      <c r="U42" s="23">
        <f t="shared" si="9"/>
        <v>2.6629707123605397E-3</v>
      </c>
    </row>
    <row r="43" spans="1:21">
      <c r="A43" s="13">
        <v>45504</v>
      </c>
      <c r="B43" s="35">
        <v>700.21490478515602</v>
      </c>
      <c r="C43" s="23">
        <f t="shared" si="0"/>
        <v>5.1315502041078863E-3</v>
      </c>
      <c r="D43" s="24">
        <v>113.84960174560547</v>
      </c>
      <c r="E43" s="23">
        <f t="shared" si="1"/>
        <v>4.8850250362547695E-3</v>
      </c>
      <c r="F43" s="24">
        <v>427.802001953125</v>
      </c>
      <c r="G43" s="23">
        <f t="shared" si="2"/>
        <v>5.0167660561764938E-3</v>
      </c>
      <c r="H43" s="36">
        <v>84.901298522949205</v>
      </c>
      <c r="I43" s="23">
        <f t="shared" si="3"/>
        <v>5.2716925006606108E-3</v>
      </c>
      <c r="J43" s="35"/>
      <c r="K43" s="23" t="e">
        <f t="shared" si="4"/>
        <v>#DIV/0!</v>
      </c>
      <c r="L43" s="36">
        <v>152.07400512695301</v>
      </c>
      <c r="M43" s="23">
        <f t="shared" si="5"/>
        <v>2.3832544637460633E-3</v>
      </c>
      <c r="N43" s="24">
        <v>99.038002014160156</v>
      </c>
      <c r="O43" s="23">
        <f t="shared" si="6"/>
        <v>3.6193302799439621E-3</v>
      </c>
      <c r="P43" s="36">
        <v>18.3710002899169</v>
      </c>
      <c r="Q43" s="23">
        <f t="shared" si="7"/>
        <v>4.3095543223580996E-3</v>
      </c>
      <c r="R43" s="24">
        <v>52.601325988769531</v>
      </c>
      <c r="S43" s="23">
        <f t="shared" si="8"/>
        <v>5.2043500258848107E-3</v>
      </c>
      <c r="T43" s="24">
        <v>84.901298522949219</v>
      </c>
      <c r="U43" s="23">
        <f t="shared" si="9"/>
        <v>5.2716925006597278E-3</v>
      </c>
    </row>
    <row r="44" spans="1:21">
      <c r="A44" s="12">
        <v>45505</v>
      </c>
      <c r="B44" s="35">
        <v>700.78948974609295</v>
      </c>
      <c r="C44" s="23">
        <f t="shared" si="0"/>
        <v>8.2024723890252837E-4</v>
      </c>
      <c r="D44" s="24">
        <v>113.12539672851563</v>
      </c>
      <c r="E44" s="23">
        <f t="shared" si="1"/>
        <v>-6.3813854349716636E-3</v>
      </c>
      <c r="F44" s="24">
        <v>427.40509033203125</v>
      </c>
      <c r="G44" s="23">
        <f t="shared" si="2"/>
        <v>-9.2822347516181012E-4</v>
      </c>
      <c r="H44" s="36">
        <v>85.3406982421875</v>
      </c>
      <c r="I44" s="23">
        <f t="shared" si="3"/>
        <v>5.1620716780849596E-3</v>
      </c>
      <c r="J44" s="35"/>
      <c r="K44" s="23" t="e">
        <f t="shared" si="4"/>
        <v>#DIV/0!</v>
      </c>
      <c r="L44" s="36">
        <v>151.36700439453099</v>
      </c>
      <c r="M44" s="23">
        <f t="shared" si="5"/>
        <v>-4.6598975721331599E-3</v>
      </c>
      <c r="N44" s="24">
        <v>99.190498352050781</v>
      </c>
      <c r="O44" s="23">
        <f t="shared" si="6"/>
        <v>1.5385917533771035E-3</v>
      </c>
      <c r="P44" s="36">
        <v>18.392000198364201</v>
      </c>
      <c r="Q44" s="23">
        <f t="shared" si="7"/>
        <v>1.1424481382069252E-3</v>
      </c>
      <c r="R44" s="24">
        <v>52.246910095214844</v>
      </c>
      <c r="S44" s="23">
        <f t="shared" si="8"/>
        <v>-6.7605761753173829E-3</v>
      </c>
      <c r="T44" s="24">
        <v>85.3406982421875</v>
      </c>
      <c r="U44" s="23">
        <f t="shared" si="9"/>
        <v>5.1620716780847392E-3</v>
      </c>
    </row>
    <row r="45" spans="1:21">
      <c r="A45" s="12">
        <v>45506</v>
      </c>
      <c r="B45" s="35">
        <v>696.87829589843705</v>
      </c>
      <c r="C45" s="23">
        <f t="shared" si="0"/>
        <v>-5.5967578236314642E-3</v>
      </c>
      <c r="D45" s="24">
        <v>112.68710327148438</v>
      </c>
      <c r="E45" s="23">
        <f t="shared" si="1"/>
        <v>-3.8819286570197613E-3</v>
      </c>
      <c r="F45" s="24">
        <v>423.34060668945313</v>
      </c>
      <c r="G45" s="23">
        <f t="shared" si="2"/>
        <v>-9.5551810163960645E-3</v>
      </c>
      <c r="H45" s="36">
        <v>84.446601867675696</v>
      </c>
      <c r="I45" s="23">
        <f t="shared" si="3"/>
        <v>-1.0532055562003945E-2</v>
      </c>
      <c r="J45" s="35"/>
      <c r="K45" s="23" t="e">
        <f t="shared" si="4"/>
        <v>#DIV/0!</v>
      </c>
      <c r="L45" s="36">
        <v>149.05700683593699</v>
      </c>
      <c r="M45" s="23">
        <f t="shared" si="5"/>
        <v>-1.5378551635245387E-2</v>
      </c>
      <c r="N45" s="24">
        <v>98.399200439453125</v>
      </c>
      <c r="O45" s="23">
        <f t="shared" si="6"/>
        <v>-8.0095485520628763E-3</v>
      </c>
      <c r="P45" s="36">
        <v>18.165000915527301</v>
      </c>
      <c r="Q45" s="23">
        <f t="shared" si="7"/>
        <v>-1.2419082172446593E-2</v>
      </c>
      <c r="R45" s="24">
        <v>51.617649078369141</v>
      </c>
      <c r="S45" s="23">
        <f t="shared" si="8"/>
        <v>-1.2117101753671561E-2</v>
      </c>
      <c r="T45" s="24">
        <v>84.446601867675781</v>
      </c>
      <c r="U45" s="23">
        <f t="shared" si="9"/>
        <v>-1.0532055562002936E-2</v>
      </c>
    </row>
    <row r="46" spans="1:21">
      <c r="A46" s="12">
        <v>45509</v>
      </c>
      <c r="B46" s="35">
        <v>686.48876953125</v>
      </c>
      <c r="C46" s="23">
        <f t="shared" si="0"/>
        <v>-1.5020918125656115E-2</v>
      </c>
      <c r="D46" s="24">
        <v>109.65879821777344</v>
      </c>
      <c r="E46" s="23">
        <f t="shared" si="1"/>
        <v>-2.724126960023086E-2</v>
      </c>
      <c r="F46" s="24">
        <v>411.69320678710938</v>
      </c>
      <c r="G46" s="23">
        <f t="shared" si="2"/>
        <v>-2.7898643549049144E-2</v>
      </c>
      <c r="H46" s="36">
        <v>82.247901916503906</v>
      </c>
      <c r="I46" s="23">
        <f t="shared" si="3"/>
        <v>-2.6381523344606632E-2</v>
      </c>
      <c r="J46" s="35"/>
      <c r="K46" s="23" t="e">
        <f t="shared" si="4"/>
        <v>#DIV/0!</v>
      </c>
      <c r="L46" s="36">
        <v>143.92599487304599</v>
      </c>
      <c r="M46" s="23">
        <f t="shared" si="5"/>
        <v>-3.5029586009723244E-2</v>
      </c>
      <c r="N46" s="24">
        <v>95.699501037597656</v>
      </c>
      <c r="O46" s="23">
        <f t="shared" si="6"/>
        <v>-2.7819593782770664E-2</v>
      </c>
      <c r="P46" s="36">
        <v>17.69700050354</v>
      </c>
      <c r="Q46" s="23">
        <f t="shared" si="7"/>
        <v>-2.6101553931328438E-2</v>
      </c>
      <c r="R46" s="24">
        <v>50.154792785644531</v>
      </c>
      <c r="S46" s="23">
        <f t="shared" si="8"/>
        <v>-2.8749571561513122E-2</v>
      </c>
      <c r="T46" s="24">
        <v>82.247901916503906</v>
      </c>
      <c r="U46" s="23">
        <f t="shared" si="9"/>
        <v>-2.6381523344607659E-2</v>
      </c>
    </row>
    <row r="47" spans="1:21">
      <c r="A47" s="12">
        <v>45510</v>
      </c>
      <c r="B47" s="35">
        <v>685.12322998046795</v>
      </c>
      <c r="C47" s="23">
        <f t="shared" si="0"/>
        <v>-1.9911461877365551E-3</v>
      </c>
      <c r="D47" s="24">
        <v>109.07890319824219</v>
      </c>
      <c r="E47" s="23">
        <f t="shared" si="1"/>
        <v>-5.3022078438730849E-3</v>
      </c>
      <c r="F47" s="24">
        <v>411.03970336914063</v>
      </c>
      <c r="G47" s="23">
        <f t="shared" si="2"/>
        <v>-1.5886165421095905E-3</v>
      </c>
      <c r="H47" s="36">
        <v>82.185699462890597</v>
      </c>
      <c r="I47" s="23">
        <f t="shared" si="3"/>
        <v>-7.565662499456065E-4</v>
      </c>
      <c r="J47" s="35"/>
      <c r="K47" s="23" t="e">
        <f t="shared" si="4"/>
        <v>#DIV/0!</v>
      </c>
      <c r="L47" s="36">
        <v>143.33999633789</v>
      </c>
      <c r="M47" s="23">
        <f t="shared" si="5"/>
        <v>-4.0798379614527935E-3</v>
      </c>
      <c r="N47" s="24">
        <v>95.164199829101563</v>
      </c>
      <c r="O47" s="23">
        <f t="shared" si="6"/>
        <v>-5.6092657704762171E-3</v>
      </c>
      <c r="P47" s="36">
        <v>17.642000198364201</v>
      </c>
      <c r="Q47" s="23">
        <f t="shared" si="7"/>
        <v>-3.1127280620212769E-3</v>
      </c>
      <c r="R47" s="24">
        <v>49.943233489990234</v>
      </c>
      <c r="S47" s="23">
        <f t="shared" si="8"/>
        <v>-4.2270485949917362E-3</v>
      </c>
      <c r="T47" s="24">
        <v>82.185699462890625</v>
      </c>
      <c r="U47" s="23">
        <f t="shared" si="9"/>
        <v>-7.565662499452731E-4</v>
      </c>
    </row>
    <row r="48" spans="1:21">
      <c r="A48" s="12">
        <v>45511</v>
      </c>
      <c r="B48" s="35">
        <v>690.22161865234295</v>
      </c>
      <c r="C48" s="23">
        <f t="shared" si="0"/>
        <v>7.4140126103843899E-3</v>
      </c>
      <c r="D48" s="24">
        <v>111.83660125732422</v>
      </c>
      <c r="E48" s="23">
        <f t="shared" si="1"/>
        <v>2.4967385788437987E-2</v>
      </c>
      <c r="F48" s="24">
        <v>417.76638793945313</v>
      </c>
      <c r="G48" s="23">
        <f t="shared" si="2"/>
        <v>1.6232584063234756E-2</v>
      </c>
      <c r="H48" s="36">
        <v>83.418601989746094</v>
      </c>
      <c r="I48" s="23">
        <f t="shared" si="3"/>
        <v>1.4890015478114416E-2</v>
      </c>
      <c r="J48" s="35"/>
      <c r="K48" s="23" t="e">
        <f t="shared" si="4"/>
        <v>#DIV/0!</v>
      </c>
      <c r="L48" s="36">
        <v>146.48100280761699</v>
      </c>
      <c r="M48" s="23">
        <f t="shared" si="5"/>
        <v>2.1676341363264986E-2</v>
      </c>
      <c r="N48" s="24">
        <v>96.561698913574219</v>
      </c>
      <c r="O48" s="23">
        <f t="shared" si="6"/>
        <v>1.4578352160362934E-2</v>
      </c>
      <c r="P48" s="36">
        <v>17.861000061035099</v>
      </c>
      <c r="Q48" s="23">
        <f t="shared" si="7"/>
        <v>1.2337134259137544E-2</v>
      </c>
      <c r="R48" s="24">
        <v>50.896167755126953</v>
      </c>
      <c r="S48" s="23">
        <f t="shared" si="8"/>
        <v>1.8900600786503248E-2</v>
      </c>
      <c r="T48" s="24">
        <v>83.418601989746094</v>
      </c>
      <c r="U48" s="23">
        <f t="shared" si="9"/>
        <v>1.4890015478113978E-2</v>
      </c>
    </row>
    <row r="49" spans="1:21">
      <c r="A49" s="12">
        <v>45512</v>
      </c>
      <c r="B49" s="35">
        <v>688.36602783203102</v>
      </c>
      <c r="C49" s="23">
        <f t="shared" si="0"/>
        <v>-2.6920188145609669E-3</v>
      </c>
      <c r="D49" s="24">
        <v>110.84339904785156</v>
      </c>
      <c r="E49" s="23">
        <f t="shared" si="1"/>
        <v>-8.9205029127511926E-3</v>
      </c>
      <c r="F49" s="24">
        <v>415.46578979492188</v>
      </c>
      <c r="G49" s="23">
        <f t="shared" si="2"/>
        <v>-5.5221198896814837E-3</v>
      </c>
      <c r="H49" s="36">
        <v>83.282997131347599</v>
      </c>
      <c r="I49" s="23">
        <f t="shared" si="3"/>
        <v>-1.6269176663457447E-3</v>
      </c>
      <c r="J49" s="35"/>
      <c r="K49" s="23" t="e">
        <f t="shared" si="4"/>
        <v>#DIV/0!</v>
      </c>
      <c r="L49" s="36">
        <v>146.07099914550699</v>
      </c>
      <c r="M49" s="23">
        <f t="shared" si="5"/>
        <v>-2.8029473584594154E-3</v>
      </c>
      <c r="N49" s="24">
        <v>95.903602600097656</v>
      </c>
      <c r="O49" s="23">
        <f t="shared" si="6"/>
        <v>-6.8386236173715509E-3</v>
      </c>
      <c r="P49" s="36">
        <v>17.7600002288818</v>
      </c>
      <c r="Q49" s="23">
        <f t="shared" si="7"/>
        <v>-5.6708178880612537E-3</v>
      </c>
      <c r="R49" s="24">
        <v>50.651149749755859</v>
      </c>
      <c r="S49" s="23">
        <f t="shared" si="8"/>
        <v>-4.8257007053857685E-3</v>
      </c>
      <c r="T49" s="24">
        <v>83.282997131347656</v>
      </c>
      <c r="U49" s="23">
        <f t="shared" si="9"/>
        <v>-1.6269176663450775E-3</v>
      </c>
    </row>
    <row r="50" spans="1:21">
      <c r="A50" s="12">
        <v>45513</v>
      </c>
      <c r="B50" s="35">
        <v>691.51837158203102</v>
      </c>
      <c r="C50" s="23">
        <f t="shared" si="0"/>
        <v>4.5690048170887263E-3</v>
      </c>
      <c r="D50" s="24">
        <v>111.52870178222656</v>
      </c>
      <c r="E50" s="23">
        <f t="shared" si="1"/>
        <v>6.1635870809211056E-3</v>
      </c>
      <c r="F50" s="24">
        <v>418.95849609375</v>
      </c>
      <c r="G50" s="23">
        <f t="shared" si="2"/>
        <v>8.3715844715295893E-3</v>
      </c>
      <c r="H50" s="36">
        <v>83.838798522949205</v>
      </c>
      <c r="I50" s="23">
        <f t="shared" si="3"/>
        <v>6.6514776074338916E-3</v>
      </c>
      <c r="J50" s="35"/>
      <c r="K50" s="23" t="e">
        <f t="shared" si="4"/>
        <v>#DIV/0!</v>
      </c>
      <c r="L50" s="36">
        <v>147.56799316406199</v>
      </c>
      <c r="M50" s="23">
        <f t="shared" si="5"/>
        <v>1.019624114721345E-2</v>
      </c>
      <c r="N50" s="24">
        <v>96.691497802734375</v>
      </c>
      <c r="O50" s="23">
        <f t="shared" si="6"/>
        <v>8.181927747743567E-3</v>
      </c>
      <c r="P50" s="36">
        <v>17.965000152587798</v>
      </c>
      <c r="Q50" s="23">
        <f t="shared" si="7"/>
        <v>1.1476678607584587E-2</v>
      </c>
      <c r="R50" s="24">
        <v>50.882606506347656</v>
      </c>
      <c r="S50" s="23">
        <f t="shared" si="8"/>
        <v>4.5592158914752757E-3</v>
      </c>
      <c r="T50" s="24">
        <v>83.838798522949219</v>
      </c>
      <c r="U50" s="23">
        <f t="shared" si="9"/>
        <v>6.6514776074332298E-3</v>
      </c>
    </row>
    <row r="51" spans="1:21">
      <c r="A51" s="13">
        <v>45516</v>
      </c>
      <c r="B51" s="35">
        <v>692.70880126953102</v>
      </c>
      <c r="C51" s="23">
        <f t="shared" si="0"/>
        <v>1.7199922156211527E-3</v>
      </c>
      <c r="D51" s="24">
        <v>111.71620178222656</v>
      </c>
      <c r="E51" s="23">
        <f t="shared" si="1"/>
        <v>1.6797699843911647E-3</v>
      </c>
      <c r="F51" s="24">
        <v>420.50009155273438</v>
      </c>
      <c r="G51" s="23">
        <f t="shared" si="2"/>
        <v>3.6728367894395806E-3</v>
      </c>
      <c r="H51" s="36">
        <v>83.717201232910099</v>
      </c>
      <c r="I51" s="23">
        <f t="shared" si="3"/>
        <v>-1.4514229459163018E-3</v>
      </c>
      <c r="J51" s="35"/>
      <c r="K51" s="23" t="e">
        <f t="shared" si="4"/>
        <v>#DIV/0!</v>
      </c>
      <c r="L51" s="36">
        <v>147.95500183105401</v>
      </c>
      <c r="M51" s="23">
        <f t="shared" si="5"/>
        <v>2.6191456826288977E-3</v>
      </c>
      <c r="N51" s="24">
        <v>96.443099975585938</v>
      </c>
      <c r="O51" s="23">
        <f t="shared" si="6"/>
        <v>-2.5722782657126545E-3</v>
      </c>
      <c r="P51" s="36">
        <v>17.912000656127901</v>
      </c>
      <c r="Q51" s="23">
        <f t="shared" si="7"/>
        <v>-2.9545131320111253E-3</v>
      </c>
      <c r="R51" s="24">
        <v>50.680988311767578</v>
      </c>
      <c r="S51" s="23">
        <f t="shared" si="8"/>
        <v>-3.9702899407366224E-3</v>
      </c>
      <c r="T51" s="24">
        <v>83.717201232910156</v>
      </c>
      <c r="U51" s="23">
        <f t="shared" si="9"/>
        <v>-1.4514229459157459E-3</v>
      </c>
    </row>
    <row r="52" spans="1:21">
      <c r="A52" s="13">
        <v>45517</v>
      </c>
      <c r="B52" s="35">
        <v>689.10931396484295</v>
      </c>
      <c r="C52" s="23">
        <f t="shared" si="0"/>
        <v>-5.2097962914713445E-3</v>
      </c>
      <c r="D52" s="24">
        <v>111.06379699707031</v>
      </c>
      <c r="E52" s="23">
        <f t="shared" si="1"/>
        <v>-5.8569589167434318E-3</v>
      </c>
      <c r="F52" s="24">
        <v>415.84249877929688</v>
      </c>
      <c r="G52" s="23">
        <f t="shared" si="2"/>
        <v>-1.1138117269206096E-2</v>
      </c>
      <c r="H52" s="36">
        <v>83.102897644042898</v>
      </c>
      <c r="I52" s="23">
        <f t="shared" si="3"/>
        <v>-7.3648963133265662E-3</v>
      </c>
      <c r="J52" s="35"/>
      <c r="K52" s="23" t="e">
        <f t="shared" si="4"/>
        <v>#DIV/0!</v>
      </c>
      <c r="L52" s="36">
        <v>147.29200744628901</v>
      </c>
      <c r="M52" s="23">
        <f t="shared" si="5"/>
        <v>-4.491124233781979E-3</v>
      </c>
      <c r="N52" s="24">
        <v>95.362998962402344</v>
      </c>
      <c r="O52" s="23">
        <f t="shared" si="6"/>
        <v>-1.1262545208425522E-2</v>
      </c>
      <c r="P52" s="36">
        <v>17.806999206542901</v>
      </c>
      <c r="Q52" s="23">
        <f t="shared" si="7"/>
        <v>-5.8793220666282031E-3</v>
      </c>
      <c r="R52" s="24">
        <v>50.266902923583984</v>
      </c>
      <c r="S52" s="23">
        <f t="shared" si="8"/>
        <v>-8.2039893182553839E-3</v>
      </c>
      <c r="T52" s="24">
        <v>83.102897644042969</v>
      </c>
      <c r="U52" s="23">
        <f t="shared" si="9"/>
        <v>-7.3648963133263424E-3</v>
      </c>
    </row>
    <row r="53" spans="1:21">
      <c r="A53" s="13">
        <v>45518</v>
      </c>
      <c r="B53" s="35">
        <v>688.24542236328102</v>
      </c>
      <c r="C53" s="23">
        <f t="shared" si="0"/>
        <v>-1.2544215256383526E-3</v>
      </c>
      <c r="D53" s="24">
        <v>111.10579681396484</v>
      </c>
      <c r="E53" s="23">
        <f t="shared" si="1"/>
        <v>3.7808789829780321E-4</v>
      </c>
      <c r="F53" s="24">
        <v>414.91488647460938</v>
      </c>
      <c r="G53" s="23">
        <f t="shared" si="2"/>
        <v>-2.2331735032584204E-3</v>
      </c>
      <c r="H53" s="36">
        <v>82.998100280761705</v>
      </c>
      <c r="I53" s="23">
        <f t="shared" si="3"/>
        <v>-1.261851265145328E-3</v>
      </c>
      <c r="J53" s="35"/>
      <c r="K53" s="23" t="e">
        <f t="shared" si="4"/>
        <v>#DIV/0!</v>
      </c>
      <c r="L53" s="36">
        <v>146.83700561523401</v>
      </c>
      <c r="M53" s="23">
        <f t="shared" si="5"/>
        <v>-3.0938953574546212E-3</v>
      </c>
      <c r="N53" s="24">
        <v>95.378303527832031</v>
      </c>
      <c r="O53" s="23">
        <f t="shared" si="6"/>
        <v>1.6047458272254448E-4</v>
      </c>
      <c r="P53" s="36">
        <v>17.840999603271399</v>
      </c>
      <c r="Q53" s="23">
        <f t="shared" si="7"/>
        <v>1.9075632952042939E-3</v>
      </c>
      <c r="R53" s="24">
        <v>50.180107116699219</v>
      </c>
      <c r="S53" s="23">
        <f t="shared" si="8"/>
        <v>-1.7281913807551984E-3</v>
      </c>
      <c r="T53" s="24">
        <v>82.998100280761719</v>
      </c>
      <c r="U53" s="23">
        <f t="shared" si="9"/>
        <v>-1.261851265145995E-3</v>
      </c>
    </row>
    <row r="54" spans="1:21">
      <c r="A54" s="13">
        <v>45520</v>
      </c>
      <c r="B54" s="35">
        <v>693.648193359375</v>
      </c>
      <c r="C54" s="23">
        <f t="shared" si="0"/>
        <v>7.8194131055581845E-3</v>
      </c>
      <c r="D54" s="24">
        <v>112.95770263671875</v>
      </c>
      <c r="E54" s="23">
        <f t="shared" si="1"/>
        <v>1.6530563862596694E-2</v>
      </c>
      <c r="F54" s="24">
        <v>421.54251098632813</v>
      </c>
      <c r="G54" s="23">
        <f t="shared" si="2"/>
        <v>1.5847222424790953E-2</v>
      </c>
      <c r="H54" s="36">
        <v>84.380798339843693</v>
      </c>
      <c r="I54" s="23">
        <f t="shared" si="3"/>
        <v>1.6522148545258217E-2</v>
      </c>
      <c r="J54" s="35"/>
      <c r="K54" s="23" t="e">
        <f t="shared" si="4"/>
        <v>#DIV/0!</v>
      </c>
      <c r="L54" s="36">
        <v>149.44599914550699</v>
      </c>
      <c r="M54" s="23">
        <f t="shared" si="5"/>
        <v>1.7611951588975345E-2</v>
      </c>
      <c r="N54" s="24">
        <v>96.879600524902344</v>
      </c>
      <c r="O54" s="23">
        <f t="shared" si="6"/>
        <v>1.5617849579291796E-2</v>
      </c>
      <c r="P54" s="36">
        <v>18.097999572753899</v>
      </c>
      <c r="Q54" s="23">
        <f t="shared" si="7"/>
        <v>1.4302254165913564E-2</v>
      </c>
      <c r="R54" s="24">
        <v>50.853675842285156</v>
      </c>
      <c r="S54" s="23">
        <f t="shared" si="8"/>
        <v>1.3333732247219964E-2</v>
      </c>
      <c r="T54" s="24">
        <v>84.38079833984375</v>
      </c>
      <c r="U54" s="23">
        <f t="shared" si="9"/>
        <v>1.6522148545258873E-2</v>
      </c>
    </row>
    <row r="55" spans="1:21">
      <c r="A55" s="13">
        <v>45523</v>
      </c>
      <c r="B55" s="35">
        <v>695.70422363281205</v>
      </c>
      <c r="C55" s="23">
        <f t="shared" si="0"/>
        <v>2.9596979847026309E-3</v>
      </c>
      <c r="D55" s="24">
        <v>113.03230285644531</v>
      </c>
      <c r="E55" s="23">
        <f t="shared" si="1"/>
        <v>6.6020815631616131E-4</v>
      </c>
      <c r="F55" s="24">
        <v>423.6007080078125</v>
      </c>
      <c r="G55" s="23">
        <f t="shared" si="2"/>
        <v>4.8706563435878016E-3</v>
      </c>
      <c r="H55" s="36">
        <v>84.681900024414006</v>
      </c>
      <c r="I55" s="23">
        <f t="shared" si="3"/>
        <v>3.5620158183593104E-3</v>
      </c>
      <c r="J55" s="35"/>
      <c r="K55" s="23" t="e">
        <f t="shared" si="4"/>
        <v>#DIV/0!</v>
      </c>
      <c r="L55" s="36">
        <v>149.40499877929599</v>
      </c>
      <c r="M55" s="23">
        <f t="shared" si="5"/>
        <v>-2.743866793346918E-4</v>
      </c>
      <c r="N55" s="24">
        <v>97.06109619140625</v>
      </c>
      <c r="O55" s="23">
        <f t="shared" si="6"/>
        <v>1.8716620344289682E-3</v>
      </c>
      <c r="P55" s="36">
        <v>18.163000106811499</v>
      </c>
      <c r="Q55" s="23">
        <f t="shared" si="7"/>
        <v>3.5851523264495829E-3</v>
      </c>
      <c r="R55" s="24">
        <v>51.003753662109375</v>
      </c>
      <c r="S55" s="23">
        <f t="shared" si="8"/>
        <v>2.946823401255105E-3</v>
      </c>
      <c r="T55" s="24">
        <v>84.681900024414063</v>
      </c>
      <c r="U55" s="23">
        <f t="shared" si="9"/>
        <v>3.5620158183593104E-3</v>
      </c>
    </row>
    <row r="56" spans="1:21">
      <c r="A56" s="13">
        <v>45524</v>
      </c>
      <c r="B56" s="35">
        <v>698.54962158203102</v>
      </c>
      <c r="C56" s="23">
        <f t="shared" si="0"/>
        <v>4.081612411168673E-3</v>
      </c>
      <c r="D56" s="24">
        <v>113.93299865722656</v>
      </c>
      <c r="E56" s="23">
        <f t="shared" si="1"/>
        <v>7.9369006892368518E-3</v>
      </c>
      <c r="F56" s="24">
        <v>425.650390625</v>
      </c>
      <c r="G56" s="23">
        <f t="shared" si="2"/>
        <v>4.8270449113296966E-3</v>
      </c>
      <c r="H56" s="36">
        <v>85.160697937011705</v>
      </c>
      <c r="I56" s="23">
        <f t="shared" si="3"/>
        <v>5.6381518736732857E-3</v>
      </c>
      <c r="J56" s="35"/>
      <c r="K56" s="23" t="e">
        <f t="shared" si="4"/>
        <v>#DIV/0!</v>
      </c>
      <c r="L56" s="36">
        <v>150.29800415039</v>
      </c>
      <c r="M56" s="23">
        <f t="shared" si="5"/>
        <v>5.959286394497389E-3</v>
      </c>
      <c r="N56" s="24">
        <v>97.612503051757813</v>
      </c>
      <c r="O56" s="23">
        <f t="shared" si="6"/>
        <v>5.6649523831253119E-3</v>
      </c>
      <c r="P56" s="36">
        <v>18.2590007781982</v>
      </c>
      <c r="Q56" s="23">
        <f t="shared" si="7"/>
        <v>5.2715881265488346E-3</v>
      </c>
      <c r="R56" s="24">
        <v>51.46575927734375</v>
      </c>
      <c r="S56" s="23">
        <f t="shared" si="8"/>
        <v>9.0174869118657443E-3</v>
      </c>
      <c r="T56" s="24">
        <v>85.160697937011719</v>
      </c>
      <c r="U56" s="23">
        <f t="shared" si="9"/>
        <v>5.6381518736728442E-3</v>
      </c>
    </row>
    <row r="57" spans="1:21">
      <c r="A57" s="13">
        <v>45525</v>
      </c>
      <c r="B57" s="35">
        <v>699.72021484375</v>
      </c>
      <c r="C57" s="23">
        <f t="shared" si="0"/>
        <v>1.6743456873596671E-3</v>
      </c>
      <c r="D57" s="24">
        <v>113.81590270996094</v>
      </c>
      <c r="E57" s="23">
        <f t="shared" si="1"/>
        <v>-1.0282899884969778E-3</v>
      </c>
      <c r="F57" s="24">
        <v>427.002197265625</v>
      </c>
      <c r="G57" s="23">
        <f t="shared" si="2"/>
        <v>3.1708289927914277E-3</v>
      </c>
      <c r="H57" s="36">
        <v>85.312400817871094</v>
      </c>
      <c r="I57" s="23">
        <f t="shared" si="3"/>
        <v>1.7797872158417675E-3</v>
      </c>
      <c r="J57" s="35"/>
      <c r="K57" s="23" t="e">
        <f t="shared" si="4"/>
        <v>#DIV/0!</v>
      </c>
      <c r="L57" s="36">
        <v>151.23199462890599</v>
      </c>
      <c r="M57" s="23">
        <f t="shared" si="5"/>
        <v>6.1950284839443065E-3</v>
      </c>
      <c r="N57" s="24">
        <v>97.832603454589844</v>
      </c>
      <c r="O57" s="23">
        <f t="shared" si="6"/>
        <v>2.2522998893262365E-3</v>
      </c>
      <c r="P57" s="36">
        <v>18.271999359130799</v>
      </c>
      <c r="Q57" s="23">
        <f t="shared" si="7"/>
        <v>7.116466251850935E-4</v>
      </c>
      <c r="R57" s="24">
        <v>51.695404052734375</v>
      </c>
      <c r="S57" s="23">
        <f t="shared" si="8"/>
        <v>4.4521629517868507E-3</v>
      </c>
      <c r="T57" s="24">
        <v>85.312400817871094</v>
      </c>
      <c r="U57" s="23">
        <f t="shared" si="9"/>
        <v>1.7797872158415459E-3</v>
      </c>
    </row>
    <row r="58" spans="1:21">
      <c r="A58" s="13">
        <v>45526</v>
      </c>
      <c r="B58" s="35">
        <v>700.36370849609295</v>
      </c>
      <c r="C58" s="23">
        <f t="shared" si="0"/>
        <v>9.1922160797169731E-4</v>
      </c>
      <c r="D58" s="24">
        <v>115.22689819335938</v>
      </c>
      <c r="E58" s="23">
        <f t="shared" si="1"/>
        <v>1.2320957721322483E-2</v>
      </c>
      <c r="F58" s="24">
        <v>427.53799438476563</v>
      </c>
      <c r="G58" s="23">
        <f t="shared" si="2"/>
        <v>1.2540011449161878E-3</v>
      </c>
      <c r="H58" s="36">
        <v>85.277603149414006</v>
      </c>
      <c r="I58" s="23">
        <f t="shared" si="3"/>
        <v>-4.0796844047676702E-4</v>
      </c>
      <c r="J58" s="35"/>
      <c r="K58" s="23" t="e">
        <f t="shared" si="4"/>
        <v>#DIV/0!</v>
      </c>
      <c r="L58" s="36">
        <v>151.87899780273401</v>
      </c>
      <c r="M58" s="23">
        <f t="shared" si="5"/>
        <v>4.2690906804840299E-3</v>
      </c>
      <c r="N58" s="24">
        <v>97.973800659179688</v>
      </c>
      <c r="O58" s="23">
        <f t="shared" si="6"/>
        <v>1.4422125742293381E-3</v>
      </c>
      <c r="P58" s="36">
        <v>18.340999603271399</v>
      </c>
      <c r="Q58" s="23">
        <f t="shared" si="7"/>
        <v>3.7691709384397006E-3</v>
      </c>
      <c r="R58" s="24">
        <v>51.905158996582031</v>
      </c>
      <c r="S58" s="23">
        <f t="shared" si="8"/>
        <v>4.0493067659946834E-3</v>
      </c>
      <c r="T58" s="24">
        <v>85.277603149414063</v>
      </c>
      <c r="U58" s="23">
        <f t="shared" si="9"/>
        <v>-4.0796844047610062E-4</v>
      </c>
    </row>
    <row r="59" spans="1:21">
      <c r="A59" s="13">
        <v>45527</v>
      </c>
      <c r="B59" s="35">
        <v>701.256103515625</v>
      </c>
      <c r="C59" s="23">
        <f t="shared" si="0"/>
        <v>1.2733768921762299E-3</v>
      </c>
      <c r="D59" s="24">
        <v>114.57170104980469</v>
      </c>
      <c r="E59" s="23">
        <f t="shared" si="1"/>
        <v>-5.7023752201850776E-3</v>
      </c>
      <c r="F59" s="24">
        <v>426.21121215820313</v>
      </c>
      <c r="G59" s="23">
        <f t="shared" si="2"/>
        <v>-3.1081335935857395E-3</v>
      </c>
      <c r="H59" s="36">
        <v>85.411903381347599</v>
      </c>
      <c r="I59" s="23">
        <f t="shared" si="3"/>
        <v>1.573620574304626E-3</v>
      </c>
      <c r="J59" s="35"/>
      <c r="K59" s="23" t="e">
        <f t="shared" si="4"/>
        <v>#DIV/0!</v>
      </c>
      <c r="L59" s="36">
        <v>151.274002075195</v>
      </c>
      <c r="M59" s="23">
        <f t="shared" si="5"/>
        <v>-3.9913610022844813E-3</v>
      </c>
      <c r="N59" s="24">
        <v>97.938499450683594</v>
      </c>
      <c r="O59" s="23">
        <f t="shared" si="6"/>
        <v>-3.6037766754153382E-4</v>
      </c>
      <c r="P59" s="36">
        <v>18.340999603271399</v>
      </c>
      <c r="Q59" s="23">
        <f t="shared" si="7"/>
        <v>0</v>
      </c>
      <c r="R59" s="24">
        <v>51.721622467041016</v>
      </c>
      <c r="S59" s="23">
        <f t="shared" si="8"/>
        <v>-3.5422642460022765E-3</v>
      </c>
      <c r="T59" s="24">
        <v>85.411903381347656</v>
      </c>
      <c r="U59" s="23">
        <f t="shared" si="9"/>
        <v>1.573620574304626E-3</v>
      </c>
    </row>
    <row r="60" spans="1:21">
      <c r="A60" s="13">
        <v>45530</v>
      </c>
      <c r="B60" s="35">
        <v>704.92138671875</v>
      </c>
      <c r="C60" s="23">
        <f t="shared" si="0"/>
        <v>5.2131278297868327E-3</v>
      </c>
      <c r="D60" s="24">
        <v>115.51069641113281</v>
      </c>
      <c r="E60" s="23">
        <f t="shared" si="1"/>
        <v>8.1622982454759418E-3</v>
      </c>
      <c r="F60" s="24">
        <v>428.05050659179688</v>
      </c>
      <c r="G60" s="23">
        <f t="shared" si="2"/>
        <v>4.3061680873791412E-3</v>
      </c>
      <c r="H60" s="36">
        <v>85.762199401855398</v>
      </c>
      <c r="I60" s="23">
        <f t="shared" si="3"/>
        <v>4.0928680660530774E-3</v>
      </c>
      <c r="J60" s="35"/>
      <c r="K60" s="23" t="e">
        <f t="shared" si="4"/>
        <v>#DIV/0!</v>
      </c>
      <c r="L60" s="36">
        <v>151.98100280761699</v>
      </c>
      <c r="M60" s="23">
        <f t="shared" si="5"/>
        <v>4.6627557795491633E-3</v>
      </c>
      <c r="N60" s="24">
        <v>98.626800537109375</v>
      </c>
      <c r="O60" s="23">
        <f t="shared" si="6"/>
        <v>7.0033103471252231E-3</v>
      </c>
      <c r="P60" s="36">
        <v>18.454000473022401</v>
      </c>
      <c r="Q60" s="23">
        <f t="shared" si="7"/>
        <v>6.1422054506779632E-3</v>
      </c>
      <c r="R60" s="24">
        <v>52.033538818359375</v>
      </c>
      <c r="S60" s="23">
        <f t="shared" si="8"/>
        <v>6.0125643317536781E-3</v>
      </c>
      <c r="T60" s="24">
        <v>85.762199401855469</v>
      </c>
      <c r="U60" s="23">
        <f t="shared" si="9"/>
        <v>4.0928680660532986E-3</v>
      </c>
    </row>
    <row r="61" spans="1:21">
      <c r="A61" s="13">
        <v>45531</v>
      </c>
      <c r="B61" s="35">
        <v>707.015380859375</v>
      </c>
      <c r="C61" s="23">
        <f t="shared" si="0"/>
        <v>2.9661323707194038E-3</v>
      </c>
      <c r="D61" s="24">
        <v>115.54609680175781</v>
      </c>
      <c r="E61" s="23">
        <f t="shared" si="1"/>
        <v>3.0642155471593841E-4</v>
      </c>
      <c r="F61" s="24">
        <v>429.76690673828125</v>
      </c>
      <c r="G61" s="23">
        <f t="shared" si="2"/>
        <v>4.0017896824977419E-3</v>
      </c>
      <c r="H61" s="36">
        <v>85.711898803710895</v>
      </c>
      <c r="I61" s="23">
        <f t="shared" si="3"/>
        <v>-5.8668452102880048E-4</v>
      </c>
      <c r="J61" s="35"/>
      <c r="K61" s="23" t="e">
        <f t="shared" si="4"/>
        <v>#DIV/0!</v>
      </c>
      <c r="L61" s="36">
        <v>152.44500732421801</v>
      </c>
      <c r="M61" s="23">
        <f t="shared" si="5"/>
        <v>3.0483917962263883E-3</v>
      </c>
      <c r="N61" s="24">
        <v>98.874702453613281</v>
      </c>
      <c r="O61" s="23">
        <f t="shared" si="6"/>
        <v>2.5103813686486801E-3</v>
      </c>
      <c r="P61" s="36">
        <v>18.471000671386701</v>
      </c>
      <c r="Q61" s="23">
        <f t="shared" si="7"/>
        <v>9.2079615645617634E-4</v>
      </c>
      <c r="R61" s="24">
        <v>52.098640441894531</v>
      </c>
      <c r="S61" s="23">
        <f t="shared" si="8"/>
        <v>1.2503653045458946E-3</v>
      </c>
      <c r="T61" s="24">
        <v>85.711898803710938</v>
      </c>
      <c r="U61" s="23">
        <f t="shared" si="9"/>
        <v>-5.8668452102913376E-4</v>
      </c>
    </row>
    <row r="62" spans="1:21">
      <c r="A62" s="13">
        <v>45532</v>
      </c>
      <c r="B62" s="35">
        <v>706.41668701171795</v>
      </c>
      <c r="C62" s="23">
        <f t="shared" si="0"/>
        <v>-8.4714914437137418E-4</v>
      </c>
      <c r="D62" s="24">
        <v>115.82340240478516</v>
      </c>
      <c r="E62" s="23">
        <f t="shared" si="1"/>
        <v>2.3970811776094746E-3</v>
      </c>
      <c r="F62" s="24">
        <v>429.51058959960938</v>
      </c>
      <c r="G62" s="23">
        <f t="shared" si="2"/>
        <v>-5.9658759217265692E-4</v>
      </c>
      <c r="H62" s="36">
        <v>85.525100708007798</v>
      </c>
      <c r="I62" s="23">
        <f t="shared" si="3"/>
        <v>-2.1817500929453802E-3</v>
      </c>
      <c r="J62" s="35"/>
      <c r="K62" s="23" t="e">
        <f t="shared" si="4"/>
        <v>#DIV/0!</v>
      </c>
      <c r="L62" s="36">
        <v>152.51400756835901</v>
      </c>
      <c r="M62" s="23">
        <f t="shared" si="5"/>
        <v>4.5252143369336572E-4</v>
      </c>
      <c r="N62" s="24">
        <v>98.778900146484375</v>
      </c>
      <c r="O62" s="23">
        <f t="shared" si="6"/>
        <v>-9.6939608862162032E-4</v>
      </c>
      <c r="P62" s="36">
        <v>18.5489997863769</v>
      </c>
      <c r="Q62" s="23">
        <f t="shared" si="7"/>
        <v>4.21389678251713E-3</v>
      </c>
      <c r="R62" s="24">
        <v>52.020881652832031</v>
      </c>
      <c r="S62" s="23">
        <f t="shared" si="8"/>
        <v>-1.493645033219692E-3</v>
      </c>
      <c r="T62" s="24">
        <v>85.525100708007813</v>
      </c>
      <c r="U62" s="23">
        <f t="shared" si="9"/>
        <v>-2.1817500929457142E-3</v>
      </c>
    </row>
    <row r="63" spans="1:21">
      <c r="A63" s="13">
        <v>45533</v>
      </c>
      <c r="B63" s="35">
        <v>707.403076171875</v>
      </c>
      <c r="C63" s="23">
        <f t="shared" si="0"/>
        <v>1.3953537019152989E-3</v>
      </c>
      <c r="D63" s="24">
        <v>115.65280151367188</v>
      </c>
      <c r="E63" s="23">
        <f t="shared" si="1"/>
        <v>-1.4740255725190848E-3</v>
      </c>
      <c r="F63" s="24">
        <v>429.65570068359375</v>
      </c>
      <c r="G63" s="23">
        <f t="shared" si="2"/>
        <v>3.377951090617715E-4</v>
      </c>
      <c r="H63" s="36">
        <v>85.624397277832003</v>
      </c>
      <c r="I63" s="23">
        <f t="shared" si="3"/>
        <v>1.1603490764965775E-3</v>
      </c>
      <c r="J63" s="35"/>
      <c r="K63" s="23" t="e">
        <f t="shared" si="4"/>
        <v>#DIV/0!</v>
      </c>
      <c r="L63" s="36">
        <v>152.35200500488199</v>
      </c>
      <c r="M63" s="23">
        <f t="shared" si="5"/>
        <v>-1.0627788736310749E-3</v>
      </c>
      <c r="N63" s="24">
        <v>98.912696838378906</v>
      </c>
      <c r="O63" s="23">
        <f t="shared" si="6"/>
        <v>1.3535902826803362E-3</v>
      </c>
      <c r="P63" s="36">
        <v>18.570999145507798</v>
      </c>
      <c r="Q63" s="23">
        <f t="shared" si="7"/>
        <v>1.1853104708842179E-3</v>
      </c>
      <c r="R63" s="24">
        <v>51.830116271972656</v>
      </c>
      <c r="S63" s="23">
        <f t="shared" si="8"/>
        <v>-3.6738326878969158E-3</v>
      </c>
      <c r="T63" s="24">
        <v>85.624397277832031</v>
      </c>
      <c r="U63" s="23">
        <f t="shared" si="9"/>
        <v>1.1603490764967993E-3</v>
      </c>
    </row>
    <row r="64" spans="1:21">
      <c r="A64" s="13">
        <v>45534</v>
      </c>
      <c r="B64" s="35">
        <v>708.85437011718705</v>
      </c>
      <c r="C64" s="23">
        <f t="shared" si="0"/>
        <v>2.0494783022836555E-3</v>
      </c>
      <c r="D64" s="24">
        <v>115.77940368652344</v>
      </c>
      <c r="E64" s="23">
        <f t="shared" si="1"/>
        <v>1.094075782328072E-3</v>
      </c>
      <c r="F64" s="24">
        <v>431.66799926757813</v>
      </c>
      <c r="G64" s="23">
        <f t="shared" si="2"/>
        <v>4.6725806925047852E-3</v>
      </c>
      <c r="H64" s="36">
        <v>85.886802673339801</v>
      </c>
      <c r="I64" s="23">
        <f t="shared" si="3"/>
        <v>3.059923787218657E-3</v>
      </c>
      <c r="J64" s="35"/>
      <c r="K64" s="23" t="e">
        <f t="shared" si="4"/>
        <v>#DIV/0!</v>
      </c>
      <c r="L64" s="36">
        <v>153.60299682617099</v>
      </c>
      <c r="M64" s="23">
        <f t="shared" si="5"/>
        <v>8.1776652474061639E-3</v>
      </c>
      <c r="N64" s="24">
        <v>99.39959716796875</v>
      </c>
      <c r="O64" s="23">
        <f t="shared" si="6"/>
        <v>4.9104500595412255E-3</v>
      </c>
      <c r="P64" s="36">
        <v>18.645000457763601</v>
      </c>
      <c r="Q64" s="23">
        <f t="shared" si="7"/>
        <v>3.9768599835967545E-3</v>
      </c>
      <c r="R64" s="24">
        <v>52.249626159667969</v>
      </c>
      <c r="S64" s="23">
        <f t="shared" si="8"/>
        <v>8.0613604478859974E-3</v>
      </c>
      <c r="T64" s="24">
        <v>85.886802673339844</v>
      </c>
      <c r="U64" s="23">
        <f t="shared" si="9"/>
        <v>3.059923787218657E-3</v>
      </c>
    </row>
    <row r="65" spans="1:21">
      <c r="A65" s="12">
        <v>45537</v>
      </c>
      <c r="B65" s="35">
        <v>710.151611328125</v>
      </c>
      <c r="C65" s="23">
        <f t="shared" si="0"/>
        <v>1.828380696470174E-3</v>
      </c>
      <c r="D65" s="24">
        <v>116.70860290527344</v>
      </c>
      <c r="E65" s="23">
        <f t="shared" si="1"/>
        <v>7.9935664650252845E-3</v>
      </c>
      <c r="F65" s="24">
        <v>431.37991333007813</v>
      </c>
      <c r="G65" s="23">
        <f t="shared" si="2"/>
        <v>-6.6760128608087165E-4</v>
      </c>
      <c r="H65" s="36">
        <v>86.386802673339801</v>
      </c>
      <c r="I65" s="23">
        <f t="shared" si="3"/>
        <v>5.8047360528586719E-3</v>
      </c>
      <c r="J65" s="35"/>
      <c r="K65" s="23" t="e">
        <f t="shared" si="4"/>
        <v>#DIV/0!</v>
      </c>
      <c r="L65" s="36">
        <v>153.42799377441401</v>
      </c>
      <c r="M65" s="23">
        <f t="shared" si="5"/>
        <v>-1.1399700751152349E-3</v>
      </c>
      <c r="N65" s="24">
        <v>99.522697448730469</v>
      </c>
      <c r="O65" s="23">
        <f t="shared" si="6"/>
        <v>1.2376721946929226E-3</v>
      </c>
      <c r="P65" s="36">
        <v>18.666000366210898</v>
      </c>
      <c r="Q65" s="23">
        <f t="shared" si="7"/>
        <v>1.1256685803652188E-3</v>
      </c>
      <c r="R65" s="24">
        <v>52.315624237060547</v>
      </c>
      <c r="S65" s="23">
        <f t="shared" si="8"/>
        <v>1.2623330581830389E-3</v>
      </c>
      <c r="T65" s="24">
        <v>86.386802673339844</v>
      </c>
      <c r="U65" s="23">
        <f t="shared" si="9"/>
        <v>5.8047360528586719E-3</v>
      </c>
    </row>
    <row r="66" spans="1:21">
      <c r="A66" s="12">
        <v>45538</v>
      </c>
      <c r="B66" s="35">
        <v>710.29547119140602</v>
      </c>
      <c r="C66" s="23">
        <f t="shared" si="0"/>
        <v>2.0255575240115775E-4</v>
      </c>
      <c r="D66" s="24">
        <v>117.59449768066406</v>
      </c>
      <c r="E66" s="23">
        <f t="shared" si="1"/>
        <v>7.5619912389871978E-3</v>
      </c>
      <c r="F66" s="24">
        <v>431.43280029296875</v>
      </c>
      <c r="G66" s="23">
        <f t="shared" si="2"/>
        <v>1.2259198809162227E-4</v>
      </c>
      <c r="H66" s="36">
        <v>86.413902282714801</v>
      </c>
      <c r="I66" s="23">
        <f t="shared" si="3"/>
        <v>3.1365160928090429E-4</v>
      </c>
      <c r="J66" s="35"/>
      <c r="K66" s="23" t="e">
        <f t="shared" si="4"/>
        <v>#DIV/0!</v>
      </c>
      <c r="L66" s="36">
        <v>154.48699951171801</v>
      </c>
      <c r="M66" s="23">
        <f t="shared" si="5"/>
        <v>6.8785862069626986E-3</v>
      </c>
      <c r="N66" s="24">
        <v>99.680496215820313</v>
      </c>
      <c r="O66" s="23">
        <f t="shared" si="6"/>
        <v>1.5842999019572519E-3</v>
      </c>
      <c r="P66" s="36">
        <v>18.683000564575099</v>
      </c>
      <c r="Q66" s="23">
        <f t="shared" si="7"/>
        <v>9.1034293365673815E-4</v>
      </c>
      <c r="R66" s="24">
        <v>52.60675048828125</v>
      </c>
      <c r="S66" s="23">
        <f t="shared" si="8"/>
        <v>5.5493787497627933E-3</v>
      </c>
      <c r="T66" s="24">
        <v>86.413902282714844</v>
      </c>
      <c r="U66" s="23">
        <f t="shared" si="9"/>
        <v>3.1365160928090429E-4</v>
      </c>
    </row>
    <row r="67" spans="1:21">
      <c r="A67" s="12">
        <v>45539</v>
      </c>
      <c r="B67" s="35">
        <v>709.96722412109295</v>
      </c>
      <c r="C67" s="23">
        <f t="shared" si="0"/>
        <v>-4.622343137517872E-4</v>
      </c>
      <c r="D67" s="24">
        <v>117.29499816894531</v>
      </c>
      <c r="E67" s="23">
        <f t="shared" si="1"/>
        <v>-2.5501325458900429E-3</v>
      </c>
      <c r="F67" s="24">
        <v>431.25250244140625</v>
      </c>
      <c r="G67" s="23">
        <f t="shared" si="2"/>
        <v>-4.1799217771794448E-4</v>
      </c>
      <c r="H67" s="36">
        <v>86.208297729492102</v>
      </c>
      <c r="I67" s="23">
        <f t="shared" si="3"/>
        <v>-2.3821345161226326E-3</v>
      </c>
      <c r="J67" s="35"/>
      <c r="K67" s="23" t="e">
        <f t="shared" si="4"/>
        <v>#DIV/0!</v>
      </c>
      <c r="L67" s="36">
        <v>154.22599792480401</v>
      </c>
      <c r="M67" s="23">
        <f t="shared" si="5"/>
        <v>-1.6909015899437578E-3</v>
      </c>
      <c r="N67" s="24">
        <v>99.206703186035156</v>
      </c>
      <c r="O67" s="23">
        <f t="shared" si="6"/>
        <v>-4.7644486670541542E-3</v>
      </c>
      <c r="P67" s="36">
        <v>18.617000579833899</v>
      </c>
      <c r="Q67" s="23">
        <f t="shared" si="7"/>
        <v>-3.5388767611944333E-3</v>
      </c>
      <c r="R67" s="24">
        <v>52.542560577392578</v>
      </c>
      <c r="S67" s="23">
        <f t="shared" si="8"/>
        <v>-1.2209289478349119E-3</v>
      </c>
      <c r="T67" s="24">
        <v>86.208297729492188</v>
      </c>
      <c r="U67" s="23">
        <f t="shared" si="9"/>
        <v>-2.3821345161221877E-3</v>
      </c>
    </row>
    <row r="68" spans="1:21">
      <c r="A68" s="12">
        <v>45540</v>
      </c>
      <c r="B68" s="35">
        <v>711.15521240234295</v>
      </c>
      <c r="C68" s="23">
        <f t="shared" si="0"/>
        <v>1.671901769257538E-3</v>
      </c>
      <c r="D68" s="24">
        <v>117.52320098876953</v>
      </c>
      <c r="E68" s="23">
        <f t="shared" si="1"/>
        <v>1.943655921770793E-3</v>
      </c>
      <c r="F68" s="24">
        <v>431.59689331054688</v>
      </c>
      <c r="G68" s="23">
        <f t="shared" si="2"/>
        <v>7.9826419100254269E-4</v>
      </c>
      <c r="H68" s="36">
        <v>86.2322998046875</v>
      </c>
      <c r="I68" s="23">
        <f t="shared" si="3"/>
        <v>2.7838079539998617E-4</v>
      </c>
      <c r="J68" s="35"/>
      <c r="K68" s="23" t="e">
        <f t="shared" si="4"/>
        <v>#DIV/0!</v>
      </c>
      <c r="L68" s="36">
        <v>154.60400390625</v>
      </c>
      <c r="M68" s="23">
        <f t="shared" si="5"/>
        <v>2.4479886537978105E-3</v>
      </c>
      <c r="N68" s="24">
        <v>99.356903076171875</v>
      </c>
      <c r="O68" s="23">
        <f t="shared" si="6"/>
        <v>1.5128645335539469E-3</v>
      </c>
      <c r="P68" s="36">
        <v>18.625999450683501</v>
      </c>
      <c r="Q68" s="23">
        <f t="shared" si="7"/>
        <v>4.8325167238696173E-4</v>
      </c>
      <c r="R68" s="24">
        <v>52.943981170654297</v>
      </c>
      <c r="S68" s="23">
        <f t="shared" si="8"/>
        <v>7.6108766921973211E-3</v>
      </c>
      <c r="T68" s="24">
        <v>86.2322998046875</v>
      </c>
      <c r="U68" s="23">
        <f t="shared" si="9"/>
        <v>2.7838079539887627E-4</v>
      </c>
    </row>
    <row r="69" spans="1:21">
      <c r="A69" s="12">
        <v>45541</v>
      </c>
      <c r="B69" s="35">
        <v>708.15460205078102</v>
      </c>
      <c r="C69" s="23">
        <f t="shared" si="0"/>
        <v>-4.2282731951652141E-3</v>
      </c>
      <c r="D69" s="24">
        <v>116.91889953613281</v>
      </c>
      <c r="E69" s="23">
        <f t="shared" si="1"/>
        <v>-5.1552412270253981E-3</v>
      </c>
      <c r="F69" s="24">
        <v>426.8529052734375</v>
      </c>
      <c r="G69" s="23">
        <f t="shared" si="2"/>
        <v>-1.1052565539231911E-2</v>
      </c>
      <c r="H69" s="36">
        <v>85.139297485351506</v>
      </c>
      <c r="I69" s="23">
        <f t="shared" si="3"/>
        <v>-1.2756106117133964E-2</v>
      </c>
      <c r="J69" s="35"/>
      <c r="K69" s="23" t="e">
        <f t="shared" si="4"/>
        <v>#DIV/0!</v>
      </c>
      <c r="L69" s="36">
        <v>152.593994140625</v>
      </c>
      <c r="M69" s="23">
        <f t="shared" si="5"/>
        <v>-1.3086273106778998E-2</v>
      </c>
      <c r="N69" s="24">
        <v>98.075996398925781</v>
      </c>
      <c r="O69" s="23">
        <f t="shared" si="6"/>
        <v>-1.2975797376525568E-2</v>
      </c>
      <c r="P69" s="36">
        <v>18.4209995269775</v>
      </c>
      <c r="Q69" s="23">
        <f t="shared" si="7"/>
        <v>-1.1067132115903709E-2</v>
      </c>
      <c r="R69" s="24">
        <v>52.481983184814453</v>
      </c>
      <c r="S69" s="23">
        <f t="shared" si="8"/>
        <v>-8.7644622661201942E-3</v>
      </c>
      <c r="T69" s="24">
        <v>85.139297485351563</v>
      </c>
      <c r="U69" s="23">
        <f t="shared" si="9"/>
        <v>-1.2756106117133289E-2</v>
      </c>
    </row>
    <row r="70" spans="1:21">
      <c r="A70" s="12">
        <v>45544</v>
      </c>
      <c r="B70" s="35">
        <v>707.96911621093705</v>
      </c>
      <c r="C70" s="23">
        <f t="shared" si="0"/>
        <v>-2.6196276287552227E-4</v>
      </c>
      <c r="D70" s="24">
        <v>116.96510314941406</v>
      </c>
      <c r="E70" s="23">
        <f t="shared" si="1"/>
        <v>3.9509853903449535E-4</v>
      </c>
      <c r="F70" s="24">
        <v>426.34030151367188</v>
      </c>
      <c r="G70" s="23">
        <f t="shared" si="2"/>
        <v>-1.2016125242577497E-3</v>
      </c>
      <c r="H70" s="36">
        <v>85.053497314453097</v>
      </c>
      <c r="I70" s="23">
        <f t="shared" si="3"/>
        <v>-1.0082703943854034E-3</v>
      </c>
      <c r="J70" s="35"/>
      <c r="K70" s="23" t="e">
        <f t="shared" si="4"/>
        <v>#DIV/0!</v>
      </c>
      <c r="L70" s="36">
        <v>152.41600036621</v>
      </c>
      <c r="M70" s="23">
        <f t="shared" si="5"/>
        <v>-1.1671341780658008E-3</v>
      </c>
      <c r="N70" s="24">
        <v>98.467498779296875</v>
      </c>
      <c r="O70" s="23">
        <f t="shared" si="6"/>
        <v>3.9838804924108191E-3</v>
      </c>
      <c r="P70" s="36">
        <v>18.454999923706001</v>
      </c>
      <c r="Q70" s="23">
        <f t="shared" si="7"/>
        <v>1.8440398562640371E-3</v>
      </c>
      <c r="R70" s="24">
        <v>52.227924346923828</v>
      </c>
      <c r="S70" s="23">
        <f t="shared" si="8"/>
        <v>-4.8526322375442308E-3</v>
      </c>
      <c r="T70" s="24">
        <v>85.053497314453125</v>
      </c>
      <c r="U70" s="23">
        <f t="shared" si="9"/>
        <v>-1.0082703943857367E-3</v>
      </c>
    </row>
    <row r="71" spans="1:21">
      <c r="A71" s="13">
        <v>45545</v>
      </c>
      <c r="B71" s="35">
        <v>709.07647705078102</v>
      </c>
      <c r="C71" s="23">
        <f t="shared" si="0"/>
        <v>1.5629152237902275E-3</v>
      </c>
      <c r="D71" s="24">
        <v>118.42500305175781</v>
      </c>
      <c r="E71" s="23">
        <f t="shared" si="1"/>
        <v>1.2404247951279054E-2</v>
      </c>
      <c r="F71" s="24">
        <v>428.89950561523438</v>
      </c>
      <c r="G71" s="23">
        <f t="shared" si="2"/>
        <v>5.9847816225115013E-3</v>
      </c>
      <c r="H71" s="36">
        <v>85.650299072265597</v>
      </c>
      <c r="I71" s="23">
        <f t="shared" si="3"/>
        <v>6.9922778755933572E-3</v>
      </c>
      <c r="J71" s="35"/>
      <c r="K71" s="23" t="e">
        <f t="shared" si="4"/>
        <v>#DIV/0!</v>
      </c>
      <c r="L71" s="36">
        <v>153.45899963378901</v>
      </c>
      <c r="M71" s="23">
        <f t="shared" si="5"/>
        <v>6.8198009647067424E-3</v>
      </c>
      <c r="N71" s="24">
        <v>99.231903076171875</v>
      </c>
      <c r="O71" s="23">
        <f t="shared" si="6"/>
        <v>7.7330340806972264E-3</v>
      </c>
      <c r="P71" s="36">
        <v>18.576999664306602</v>
      </c>
      <c r="Q71" s="23">
        <f t="shared" si="7"/>
        <v>6.5889059909834801E-3</v>
      </c>
      <c r="R71" s="24">
        <v>52.844532012939453</v>
      </c>
      <c r="S71" s="23">
        <f t="shared" si="8"/>
        <v>1.1736943549315574E-2</v>
      </c>
      <c r="T71" s="24">
        <v>85.650299072265625</v>
      </c>
      <c r="U71" s="23">
        <f t="shared" si="9"/>
        <v>6.9922778755933572E-3</v>
      </c>
    </row>
    <row r="72" spans="1:21">
      <c r="A72" s="13">
        <v>45546</v>
      </c>
      <c r="B72" s="35">
        <v>708.01739501953102</v>
      </c>
      <c r="C72" s="23">
        <f t="shared" si="0"/>
        <v>-1.4947241665594986E-3</v>
      </c>
      <c r="D72" s="24">
        <v>118.70149993896484</v>
      </c>
      <c r="E72" s="23">
        <f t="shared" si="1"/>
        <v>2.3320633419789726E-3</v>
      </c>
      <c r="F72" s="24">
        <v>426.34548950195313</v>
      </c>
      <c r="G72" s="23">
        <f t="shared" si="2"/>
        <v>-5.9726130409871519E-3</v>
      </c>
      <c r="H72" s="36">
        <v>85.702903747558594</v>
      </c>
      <c r="I72" s="23">
        <f t="shared" si="3"/>
        <v>6.1399117238453583E-4</v>
      </c>
      <c r="J72" s="35"/>
      <c r="K72" s="23" t="e">
        <f t="shared" si="4"/>
        <v>#DIV/0!</v>
      </c>
      <c r="L72" s="36">
        <v>152.80000305175699</v>
      </c>
      <c r="M72" s="23">
        <f t="shared" si="5"/>
        <v>-4.3035312812056466E-3</v>
      </c>
      <c r="N72" s="24">
        <v>98.77239990234375</v>
      </c>
      <c r="O72" s="23">
        <f t="shared" si="6"/>
        <v>-4.6413536656195334E-3</v>
      </c>
      <c r="P72" s="36">
        <v>18.458999633788999</v>
      </c>
      <c r="Q72" s="23">
        <f t="shared" si="7"/>
        <v>-6.3722017515840008E-3</v>
      </c>
      <c r="R72" s="24">
        <v>52.573295593261719</v>
      </c>
      <c r="S72" s="23">
        <f t="shared" si="8"/>
        <v>-5.1459420931219387E-3</v>
      </c>
      <c r="T72" s="24">
        <v>85.702903747558594</v>
      </c>
      <c r="U72" s="23">
        <f t="shared" si="9"/>
        <v>6.13991172384314E-4</v>
      </c>
    </row>
    <row r="73" spans="1:21">
      <c r="A73" s="13">
        <v>45547</v>
      </c>
      <c r="B73" s="35">
        <v>714.46441650390602</v>
      </c>
      <c r="C73" s="23">
        <f t="shared" si="0"/>
        <v>9.0645315472915565E-3</v>
      </c>
      <c r="D73" s="24">
        <v>120.3927001953125</v>
      </c>
      <c r="E73" s="23">
        <f t="shared" si="1"/>
        <v>1.4146963508298411E-2</v>
      </c>
      <c r="F73" s="24">
        <v>431.12008666992188</v>
      </c>
      <c r="G73" s="23">
        <f t="shared" si="2"/>
        <v>1.1136648859102677E-2</v>
      </c>
      <c r="H73" s="36">
        <v>86.698097229003906</v>
      </c>
      <c r="I73" s="23">
        <f t="shared" si="3"/>
        <v>1.1545229205018669E-2</v>
      </c>
      <c r="J73" s="35"/>
      <c r="K73" s="23" t="e">
        <f t="shared" si="4"/>
        <v>#DIV/0!</v>
      </c>
      <c r="L73" s="36">
        <v>154.43099975585901</v>
      </c>
      <c r="M73" s="23">
        <f t="shared" si="5"/>
        <v>1.0617496354145124E-2</v>
      </c>
      <c r="N73" s="24">
        <v>100.23729705810547</v>
      </c>
      <c r="O73" s="23">
        <f t="shared" si="6"/>
        <v>1.4722133008301866E-2</v>
      </c>
      <c r="P73" s="36">
        <v>18.790000915527301</v>
      </c>
      <c r="Q73" s="23">
        <f t="shared" si="7"/>
        <v>1.7772825562244916E-2</v>
      </c>
      <c r="R73" s="24">
        <v>53.164588928222656</v>
      </c>
      <c r="S73" s="23">
        <f t="shared" si="8"/>
        <v>1.1184250587935943E-2</v>
      </c>
      <c r="T73" s="24">
        <v>86.698097229003906</v>
      </c>
      <c r="U73" s="23">
        <f t="shared" si="9"/>
        <v>1.1545229205018669E-2</v>
      </c>
    </row>
    <row r="74" spans="1:21">
      <c r="A74" s="13">
        <v>45548</v>
      </c>
      <c r="B74" s="35">
        <v>715.74932861328102</v>
      </c>
      <c r="C74" s="23">
        <f t="shared" si="0"/>
        <v>1.7968117834976486E-3</v>
      </c>
      <c r="D74" s="24">
        <v>121.25250244140625</v>
      </c>
      <c r="E74" s="23">
        <f t="shared" si="1"/>
        <v>7.1162668669952694E-3</v>
      </c>
      <c r="F74" s="24">
        <v>432.41229248046875</v>
      </c>
      <c r="G74" s="23">
        <f t="shared" si="2"/>
        <v>2.992839194637636E-3</v>
      </c>
      <c r="H74" s="36">
        <v>86.689399719238196</v>
      </c>
      <c r="I74" s="23">
        <f t="shared" si="3"/>
        <v>-1.003245323461548E-4</v>
      </c>
      <c r="J74" s="35"/>
      <c r="K74" s="23" t="e">
        <f t="shared" si="4"/>
        <v>#DIV/0!</v>
      </c>
      <c r="L74" s="36">
        <v>156.121002197265</v>
      </c>
      <c r="M74" s="23">
        <f t="shared" si="5"/>
        <v>1.0883968636452957E-2</v>
      </c>
      <c r="N74" s="24">
        <v>100.08899688720703</v>
      </c>
      <c r="O74" s="23">
        <f t="shared" si="6"/>
        <v>-1.4805864479288579E-3</v>
      </c>
      <c r="P74" s="36">
        <v>18.7859992980957</v>
      </c>
      <c r="Q74" s="23">
        <f t="shared" si="7"/>
        <v>-2.1298794038633579E-4</v>
      </c>
      <c r="R74" s="24">
        <v>53.390617370605469</v>
      </c>
      <c r="S74" s="23">
        <f t="shared" si="8"/>
        <v>4.2424727847583553E-3</v>
      </c>
      <c r="T74" s="24">
        <v>86.689399719238281</v>
      </c>
      <c r="U74" s="23">
        <f t="shared" si="9"/>
        <v>-1.0032453234526654E-4</v>
      </c>
    </row>
    <row r="75" spans="1:21">
      <c r="A75" s="13">
        <v>45551</v>
      </c>
      <c r="B75" s="35">
        <v>717.16607666015602</v>
      </c>
      <c r="C75" s="23">
        <f t="shared" si="0"/>
        <v>1.9774349599623407E-3</v>
      </c>
      <c r="D75" s="24">
        <v>120.57959747314453</v>
      </c>
      <c r="E75" s="23">
        <f t="shared" si="1"/>
        <v>-5.5650734965008919E-3</v>
      </c>
      <c r="F75" s="24">
        <v>433.01568603515625</v>
      </c>
      <c r="G75" s="23">
        <f t="shared" si="2"/>
        <v>1.3944399012739332E-3</v>
      </c>
      <c r="H75" s="36">
        <v>87.036598205566406</v>
      </c>
      <c r="I75" s="23">
        <f t="shared" si="3"/>
        <v>3.9970868233047329E-3</v>
      </c>
      <c r="J75" s="35"/>
      <c r="K75" s="23" t="e">
        <f t="shared" si="4"/>
        <v>#DIV/0!</v>
      </c>
      <c r="L75" s="36">
        <v>156.02900695800699</v>
      </c>
      <c r="M75" s="23">
        <f t="shared" si="5"/>
        <v>-5.8942969228440183E-4</v>
      </c>
      <c r="N75" s="24">
        <v>100.11399841308594</v>
      </c>
      <c r="O75" s="23">
        <f t="shared" si="6"/>
        <v>2.4976175777355401E-4</v>
      </c>
      <c r="P75" s="36">
        <v>18.811000823974599</v>
      </c>
      <c r="Q75" s="23">
        <f t="shared" si="7"/>
        <v>1.3299747045252162E-3</v>
      </c>
      <c r="R75" s="24">
        <v>53.342697143554688</v>
      </c>
      <c r="S75" s="23">
        <f t="shared" si="8"/>
        <v>-8.9794326145982482E-4</v>
      </c>
      <c r="T75" s="24">
        <v>87.036598205566406</v>
      </c>
      <c r="U75" s="23">
        <f t="shared" si="9"/>
        <v>3.9970868233036271E-3</v>
      </c>
    </row>
    <row r="76" spans="1:21">
      <c r="A76" s="13">
        <v>45552</v>
      </c>
      <c r="B76" s="35">
        <v>716.57940673828102</v>
      </c>
      <c r="C76" s="23">
        <f t="shared" si="0"/>
        <v>-8.1837391839901846E-4</v>
      </c>
      <c r="D76" s="24">
        <v>121.02110290527344</v>
      </c>
      <c r="E76" s="23">
        <f t="shared" si="1"/>
        <v>3.6548397657873021E-3</v>
      </c>
      <c r="F76" s="24">
        <v>432.61599731445313</v>
      </c>
      <c r="G76" s="23">
        <f t="shared" si="2"/>
        <v>-9.2346146009910236E-4</v>
      </c>
      <c r="H76" s="36">
        <v>87.082298278808594</v>
      </c>
      <c r="I76" s="23">
        <f t="shared" si="3"/>
        <v>5.2492951901617492E-4</v>
      </c>
      <c r="J76" s="35"/>
      <c r="K76" s="23" t="e">
        <f t="shared" si="4"/>
        <v>#DIV/0!</v>
      </c>
      <c r="L76" s="36">
        <v>156.04800415039</v>
      </c>
      <c r="M76" s="23">
        <f t="shared" si="5"/>
        <v>1.2174682357407134E-4</v>
      </c>
      <c r="N76" s="24">
        <v>100.06529998779297</v>
      </c>
      <c r="O76" s="23">
        <f t="shared" si="6"/>
        <v>-4.865480760766812E-4</v>
      </c>
      <c r="P76" s="36">
        <v>18.836999893188398</v>
      </c>
      <c r="Q76" s="23">
        <f t="shared" si="7"/>
        <v>1.3811662160841103E-3</v>
      </c>
      <c r="R76" s="24">
        <v>53.410507202148438</v>
      </c>
      <c r="S76" s="23">
        <f t="shared" si="8"/>
        <v>1.2704080993063591E-3</v>
      </c>
      <c r="T76" s="24">
        <v>87.082298278808594</v>
      </c>
      <c r="U76" s="23">
        <f t="shared" si="9"/>
        <v>5.2492951901617492E-4</v>
      </c>
    </row>
    <row r="77" spans="1:21">
      <c r="A77" s="13">
        <v>45553</v>
      </c>
      <c r="B77" s="35">
        <v>715.709228515625</v>
      </c>
      <c r="C77" s="23">
        <f t="shared" si="0"/>
        <v>-1.2150879484783142E-3</v>
      </c>
      <c r="D77" s="24">
        <v>119.81400299072266</v>
      </c>
      <c r="E77" s="23">
        <f t="shared" si="1"/>
        <v>-1.0024369315226213E-2</v>
      </c>
      <c r="F77" s="24">
        <v>431.49081420898438</v>
      </c>
      <c r="G77" s="23">
        <f t="shared" si="2"/>
        <v>-2.6042700425466954E-3</v>
      </c>
      <c r="H77" s="36">
        <v>87.296897888183594</v>
      </c>
      <c r="I77" s="23">
        <f t="shared" si="3"/>
        <v>2.4612995406451624E-3</v>
      </c>
      <c r="J77" s="35"/>
      <c r="K77" s="23" t="e">
        <f t="shared" si="4"/>
        <v>#DIV/0!</v>
      </c>
      <c r="L77" s="36">
        <v>154.31100463867099</v>
      </c>
      <c r="M77" s="23">
        <f t="shared" si="5"/>
        <v>-1.1193602242482082E-2</v>
      </c>
      <c r="N77" s="24">
        <v>99.968002319335938</v>
      </c>
      <c r="O77" s="23">
        <f t="shared" si="6"/>
        <v>-9.7281477642087845E-4</v>
      </c>
      <c r="P77" s="36">
        <v>18.8059997558593</v>
      </c>
      <c r="Q77" s="23">
        <f t="shared" si="7"/>
        <v>-1.6470602569527092E-3</v>
      </c>
      <c r="R77" s="24">
        <v>52.827354431152344</v>
      </c>
      <c r="S77" s="23">
        <f t="shared" si="8"/>
        <v>-1.097835779123197E-2</v>
      </c>
      <c r="T77" s="24">
        <v>87.296897888183594</v>
      </c>
      <c r="U77" s="23">
        <f t="shared" si="9"/>
        <v>2.4612995406451624E-3</v>
      </c>
    </row>
    <row r="78" spans="1:21">
      <c r="A78" s="13">
        <v>45554</v>
      </c>
      <c r="B78" s="35">
        <v>718.16778564453102</v>
      </c>
      <c r="C78" s="23">
        <f t="shared" si="0"/>
        <v>3.4292474374838164E-3</v>
      </c>
      <c r="D78" s="24">
        <v>120.14240264892578</v>
      </c>
      <c r="E78" s="23">
        <f t="shared" si="1"/>
        <v>2.7371627138703392E-3</v>
      </c>
      <c r="F78" s="24">
        <v>429.88778686523438</v>
      </c>
      <c r="G78" s="23">
        <f t="shared" si="2"/>
        <v>-3.7220083999259827E-3</v>
      </c>
      <c r="H78" s="36">
        <v>87.532600402832003</v>
      </c>
      <c r="I78" s="23">
        <f t="shared" si="3"/>
        <v>2.696371719385051E-3</v>
      </c>
      <c r="J78" s="35"/>
      <c r="K78" s="23" t="e">
        <f t="shared" si="4"/>
        <v>#DIV/0!</v>
      </c>
      <c r="L78" s="36">
        <v>153.83700561523401</v>
      </c>
      <c r="M78" s="23">
        <f t="shared" si="5"/>
        <v>-3.076439772514681E-3</v>
      </c>
      <c r="N78" s="24">
        <v>99.884201049804688</v>
      </c>
      <c r="O78" s="23">
        <f t="shared" si="6"/>
        <v>-8.3863247970249904E-4</v>
      </c>
      <c r="P78" s="36">
        <v>18.7929992675781</v>
      </c>
      <c r="Q78" s="23">
        <f t="shared" si="7"/>
        <v>-6.9153377148080831E-4</v>
      </c>
      <c r="R78" s="24">
        <v>52.836395263671875</v>
      </c>
      <c r="S78" s="23">
        <f t="shared" si="8"/>
        <v>1.711245827960058E-4</v>
      </c>
      <c r="T78" s="24">
        <v>87.532600402832031</v>
      </c>
      <c r="U78" s="23">
        <f t="shared" si="9"/>
        <v>2.6963717193854938E-3</v>
      </c>
    </row>
    <row r="79" spans="1:21">
      <c r="A79" s="13">
        <v>45555</v>
      </c>
      <c r="B79" s="35">
        <v>722.290771484375</v>
      </c>
      <c r="C79" s="23">
        <f t="shared" si="0"/>
        <v>5.7245619165222101E-3</v>
      </c>
      <c r="D79" s="24">
        <v>122.01419830322266</v>
      </c>
      <c r="E79" s="23">
        <f t="shared" si="1"/>
        <v>1.545968953173747E-2</v>
      </c>
      <c r="F79" s="24">
        <v>434.26031494140625</v>
      </c>
      <c r="G79" s="23">
        <f t="shared" si="2"/>
        <v>1.0119944449437609E-2</v>
      </c>
      <c r="H79" s="36">
        <v>88.711502075195298</v>
      </c>
      <c r="I79" s="23">
        <f t="shared" si="3"/>
        <v>1.3378254804871793E-2</v>
      </c>
      <c r="J79" s="35"/>
      <c r="K79" s="23" t="e">
        <f t="shared" si="4"/>
        <v>#DIV/0!</v>
      </c>
      <c r="L79" s="36">
        <v>155.218002319335</v>
      </c>
      <c r="M79" s="23">
        <f t="shared" si="5"/>
        <v>8.936958536366231E-3</v>
      </c>
      <c r="N79" s="24">
        <v>100.95980072021484</v>
      </c>
      <c r="O79" s="23">
        <f t="shared" si="6"/>
        <v>1.0710899443806021E-2</v>
      </c>
      <c r="P79" s="36">
        <v>19.103000640869102</v>
      </c>
      <c r="Q79" s="23">
        <f t="shared" si="7"/>
        <v>1.6361003228260843E-2</v>
      </c>
      <c r="R79" s="24">
        <v>53.19171142578125</v>
      </c>
      <c r="S79" s="23">
        <f t="shared" si="8"/>
        <v>6.70232645483043E-3</v>
      </c>
      <c r="T79" s="24">
        <v>88.711502075195313</v>
      </c>
      <c r="U79" s="23">
        <f t="shared" si="9"/>
        <v>1.3378254804871575E-2</v>
      </c>
    </row>
    <row r="80" spans="1:21">
      <c r="A80" s="13">
        <v>45558</v>
      </c>
      <c r="B80" s="35">
        <v>723.427001953125</v>
      </c>
      <c r="C80" s="23">
        <f t="shared" si="0"/>
        <v>1.57185686386343E-3</v>
      </c>
      <c r="D80" s="24">
        <v>122.76999664306641</v>
      </c>
      <c r="E80" s="23">
        <f t="shared" si="1"/>
        <v>6.1752413531796719E-3</v>
      </c>
      <c r="F80" s="24">
        <v>436.910888671875</v>
      </c>
      <c r="G80" s="23">
        <f t="shared" si="2"/>
        <v>6.0850999168808526E-3</v>
      </c>
      <c r="H80" s="36">
        <v>88.969001770019503</v>
      </c>
      <c r="I80" s="23">
        <f t="shared" si="3"/>
        <v>2.8984595329738729E-3</v>
      </c>
      <c r="J80" s="35"/>
      <c r="K80" s="23" t="e">
        <f t="shared" si="4"/>
        <v>#DIV/0!</v>
      </c>
      <c r="L80" s="36">
        <v>156.54200744628901</v>
      </c>
      <c r="M80" s="23">
        <f t="shared" si="5"/>
        <v>8.4937968017326105E-3</v>
      </c>
      <c r="N80" s="24">
        <v>101.64330291748047</v>
      </c>
      <c r="O80" s="23">
        <f t="shared" si="6"/>
        <v>6.7472292184447853E-3</v>
      </c>
      <c r="P80" s="36">
        <v>19.197999954223601</v>
      </c>
      <c r="Q80" s="23">
        <f t="shared" si="7"/>
        <v>4.9606802273083382E-3</v>
      </c>
      <c r="R80" s="24">
        <v>53.745933532714844</v>
      </c>
      <c r="S80" s="23">
        <f t="shared" si="8"/>
        <v>1.0365424998260977E-2</v>
      </c>
      <c r="T80" s="24">
        <v>88.969001770019531</v>
      </c>
      <c r="U80" s="23">
        <f t="shared" si="9"/>
        <v>2.8984595329738729E-3</v>
      </c>
    </row>
    <row r="81" spans="1:21">
      <c r="A81" s="13">
        <v>45559</v>
      </c>
      <c r="B81" s="35">
        <v>724.58319091796795</v>
      </c>
      <c r="C81" s="23">
        <f t="shared" si="0"/>
        <v>1.5969351821483512E-3</v>
      </c>
      <c r="D81" s="24">
        <v>123.02300262451172</v>
      </c>
      <c r="E81" s="23">
        <f t="shared" si="1"/>
        <v>2.0586922455644368E-3</v>
      </c>
      <c r="F81" s="24">
        <v>437.85610961914063</v>
      </c>
      <c r="G81" s="23">
        <f t="shared" si="2"/>
        <v>2.1610813324739963E-3</v>
      </c>
      <c r="H81" s="36">
        <v>88.902297973632798</v>
      </c>
      <c r="I81" s="23">
        <f t="shared" si="3"/>
        <v>-7.5002318653732362E-4</v>
      </c>
      <c r="J81" s="35"/>
      <c r="K81" s="23" t="e">
        <f t="shared" si="4"/>
        <v>#DIV/0!</v>
      </c>
      <c r="L81" s="36">
        <v>156.940994262695</v>
      </c>
      <c r="M81" s="23">
        <f t="shared" si="5"/>
        <v>2.5455098341607436E-3</v>
      </c>
      <c r="N81" s="24">
        <v>101.74559783935547</v>
      </c>
      <c r="O81" s="23">
        <f t="shared" si="6"/>
        <v>1.0059047481932003E-3</v>
      </c>
      <c r="P81" s="36">
        <v>19.229000091552699</v>
      </c>
      <c r="Q81" s="23">
        <f t="shared" si="7"/>
        <v>1.6134563727190402E-3</v>
      </c>
      <c r="R81" s="24">
        <v>53.868892669677734</v>
      </c>
      <c r="S81" s="23">
        <f t="shared" si="8"/>
        <v>2.2851719379160837E-3</v>
      </c>
      <c r="T81" s="24">
        <v>88.902297973632813</v>
      </c>
      <c r="U81" s="23">
        <f t="shared" si="9"/>
        <v>-7.5002318653754577E-4</v>
      </c>
    </row>
    <row r="82" spans="1:21">
      <c r="A82" s="13">
        <v>45560</v>
      </c>
      <c r="B82" s="35">
        <v>726.58807373046795</v>
      </c>
      <c r="C82" s="23">
        <f t="shared" si="0"/>
        <v>2.7631253966003987E-3</v>
      </c>
      <c r="D82" s="24">
        <v>122.05650329589844</v>
      </c>
      <c r="E82" s="23">
        <f t="shared" si="1"/>
        <v>-7.8872718091702217E-3</v>
      </c>
      <c r="F82" s="24">
        <v>437.4381103515625</v>
      </c>
      <c r="G82" s="23">
        <f t="shared" si="2"/>
        <v>-9.5510581428943583E-4</v>
      </c>
      <c r="H82" s="36">
        <v>89.187698364257798</v>
      </c>
      <c r="I82" s="23">
        <f t="shared" si="3"/>
        <v>3.2051282027804788E-3</v>
      </c>
      <c r="J82" s="35"/>
      <c r="K82" s="23" t="e">
        <f t="shared" si="4"/>
        <v>#DIV/0!</v>
      </c>
      <c r="L82" s="36">
        <v>156.20700073242099</v>
      </c>
      <c r="M82" s="23">
        <f t="shared" si="5"/>
        <v>-4.6878465529756443E-3</v>
      </c>
      <c r="N82" s="24">
        <v>102.04129791259766</v>
      </c>
      <c r="O82" s="23">
        <f t="shared" si="6"/>
        <v>2.9020539292398174E-3</v>
      </c>
      <c r="P82" s="36">
        <v>19.240999221801701</v>
      </c>
      <c r="Q82" s="23">
        <f t="shared" si="7"/>
        <v>6.2381756445514195E-4</v>
      </c>
      <c r="R82" s="24">
        <v>53.723331451416016</v>
      </c>
      <c r="S82" s="23">
        <f t="shared" si="8"/>
        <v>-2.7057960416615894E-3</v>
      </c>
      <c r="T82" s="24">
        <v>89.187698364257813</v>
      </c>
      <c r="U82" s="23">
        <f t="shared" si="9"/>
        <v>3.2051282027804788E-3</v>
      </c>
    </row>
    <row r="83" spans="1:21">
      <c r="A83" s="13">
        <v>45561</v>
      </c>
      <c r="B83" s="35">
        <v>730.493408203125</v>
      </c>
      <c r="C83" s="23">
        <f t="shared" si="0"/>
        <v>5.3605016228902664E-3</v>
      </c>
      <c r="D83" s="24">
        <v>121.30970001220703</v>
      </c>
      <c r="E83" s="23">
        <f t="shared" si="1"/>
        <v>-6.1372994085225549E-3</v>
      </c>
      <c r="F83" s="24">
        <v>439.70660400390625</v>
      </c>
      <c r="G83" s="23">
        <f t="shared" si="2"/>
        <v>5.1724616768237209E-3</v>
      </c>
      <c r="H83" s="36">
        <v>89.598701477050696</v>
      </c>
      <c r="I83" s="23">
        <f t="shared" si="3"/>
        <v>4.5977080714297673E-3</v>
      </c>
      <c r="J83" s="35"/>
      <c r="K83" s="23" t="e">
        <f t="shared" si="4"/>
        <v>#DIV/0!</v>
      </c>
      <c r="L83" s="36">
        <v>156.58700561523401</v>
      </c>
      <c r="M83" s="23">
        <f t="shared" si="5"/>
        <v>2.4297464916416649E-3</v>
      </c>
      <c r="N83" s="24">
        <v>102.66580200195313</v>
      </c>
      <c r="O83" s="23">
        <f t="shared" si="6"/>
        <v>6.1014593731699637E-3</v>
      </c>
      <c r="P83" s="36">
        <v>19.363000869750898</v>
      </c>
      <c r="Q83" s="23">
        <f t="shared" si="7"/>
        <v>6.3206949453658038E-3</v>
      </c>
      <c r="R83" s="24">
        <v>53.831825256347656</v>
      </c>
      <c r="S83" s="23">
        <f t="shared" si="8"/>
        <v>2.0174549515098376E-3</v>
      </c>
      <c r="T83" s="24">
        <v>89.598701477050781</v>
      </c>
      <c r="U83" s="23">
        <f t="shared" si="9"/>
        <v>4.5977080714304308E-3</v>
      </c>
    </row>
    <row r="84" spans="1:21">
      <c r="A84" s="13">
        <v>45562</v>
      </c>
      <c r="B84" s="35">
        <v>730.55999755859295</v>
      </c>
      <c r="C84" s="23">
        <f t="shared" si="0"/>
        <v>9.1152527692053368E-5</v>
      </c>
      <c r="D84" s="24">
        <v>122.24559783935547</v>
      </c>
      <c r="E84" s="23">
        <f t="shared" si="1"/>
        <v>7.6853383352520031E-3</v>
      </c>
      <c r="F84" s="24">
        <v>440.466796875</v>
      </c>
      <c r="G84" s="23">
        <f t="shared" si="2"/>
        <v>1.7273711279103216E-3</v>
      </c>
      <c r="H84" s="36">
        <v>89.150703430175696</v>
      </c>
      <c r="I84" s="23">
        <f t="shared" si="3"/>
        <v>-5.0125927428243148E-3</v>
      </c>
      <c r="J84" s="35"/>
      <c r="K84" s="23" t="e">
        <f t="shared" si="4"/>
        <v>#DIV/0!</v>
      </c>
      <c r="L84" s="36">
        <v>157.29299926757801</v>
      </c>
      <c r="M84" s="23">
        <f t="shared" si="5"/>
        <v>4.4985015415567953E-3</v>
      </c>
      <c r="N84" s="24">
        <v>102.70610046386719</v>
      </c>
      <c r="O84" s="23">
        <f t="shared" si="6"/>
        <v>3.9244377587612677E-4</v>
      </c>
      <c r="P84" s="36">
        <v>19.392999649047798</v>
      </c>
      <c r="Q84" s="23">
        <f t="shared" si="7"/>
        <v>1.5480846778047031E-3</v>
      </c>
      <c r="R84" s="24">
        <v>53.768535614013672</v>
      </c>
      <c r="S84" s="23">
        <f t="shared" si="8"/>
        <v>-1.1763835942706189E-3</v>
      </c>
      <c r="T84" s="24">
        <v>89.150703430175781</v>
      </c>
      <c r="U84" s="23">
        <f t="shared" si="9"/>
        <v>-5.0125927428243148E-3</v>
      </c>
    </row>
    <row r="85" spans="1:21">
      <c r="A85" s="13">
        <v>45565</v>
      </c>
      <c r="B85" s="35">
        <v>726.50250244140602</v>
      </c>
      <c r="C85" s="23">
        <f t="shared" si="0"/>
        <v>-5.5694324784635431E-3</v>
      </c>
      <c r="D85" s="24">
        <v>122.243896484375</v>
      </c>
      <c r="E85" s="23">
        <f t="shared" si="1"/>
        <v>-1.3917612167388801E-5</v>
      </c>
      <c r="F85" s="24">
        <v>437.27621459960938</v>
      </c>
      <c r="G85" s="23">
        <f t="shared" si="2"/>
        <v>-7.2700010966750567E-3</v>
      </c>
      <c r="H85" s="36">
        <v>88.616500854492102</v>
      </c>
      <c r="I85" s="23">
        <f t="shared" si="3"/>
        <v>-6.010154526186598E-3</v>
      </c>
      <c r="J85" s="35"/>
      <c r="K85" s="23" t="e">
        <f t="shared" si="4"/>
        <v>#DIV/0!</v>
      </c>
      <c r="L85" s="36">
        <v>156.82499694824199</v>
      </c>
      <c r="M85" s="23">
        <f t="shared" si="5"/>
        <v>-2.9797889408583146E-3</v>
      </c>
      <c r="N85" s="24">
        <v>101.44750213623047</v>
      </c>
      <c r="O85" s="23">
        <f t="shared" si="6"/>
        <v>-1.2330071642415591E-2</v>
      </c>
      <c r="P85" s="36">
        <v>19.127000808715799</v>
      </c>
      <c r="Q85" s="23">
        <f t="shared" si="7"/>
        <v>-1.3811166427486088E-2</v>
      </c>
      <c r="R85" s="24">
        <v>53.654617309570313</v>
      </c>
      <c r="S85" s="23">
        <f t="shared" si="8"/>
        <v>-2.120927268406013E-3</v>
      </c>
      <c r="T85" s="24">
        <v>88.616500854492188</v>
      </c>
      <c r="U85" s="23">
        <f t="shared" si="9"/>
        <v>-6.010154526186598E-3</v>
      </c>
    </row>
    <row r="86" spans="1:21">
      <c r="A86" s="12">
        <v>45566</v>
      </c>
      <c r="B86" s="35">
        <v>726.36071777343705</v>
      </c>
      <c r="C86" s="23">
        <f t="shared" si="0"/>
        <v>-1.9517965138950071E-4</v>
      </c>
      <c r="D86" s="24">
        <v>123.56420135498047</v>
      </c>
      <c r="E86" s="23">
        <f t="shared" si="1"/>
        <v>1.0742669421086121E-2</v>
      </c>
      <c r="F86" s="24">
        <v>437.60110473632813</v>
      </c>
      <c r="G86" s="23">
        <f t="shared" si="2"/>
        <v>7.4271019369889692E-4</v>
      </c>
      <c r="H86" s="36">
        <v>88.646499633789006</v>
      </c>
      <c r="I86" s="23">
        <f t="shared" si="3"/>
        <v>3.3846634098105697E-4</v>
      </c>
      <c r="J86" s="35"/>
      <c r="K86" s="23" t="e">
        <f t="shared" si="4"/>
        <v>#DIV/0!</v>
      </c>
      <c r="L86" s="36">
        <v>157.36199951171801</v>
      </c>
      <c r="M86" s="23">
        <f t="shared" si="5"/>
        <v>3.418366084165749E-3</v>
      </c>
      <c r="N86" s="24">
        <v>101.43229675292969</v>
      </c>
      <c r="O86" s="23">
        <f t="shared" si="6"/>
        <v>-1.4989548897928931E-4</v>
      </c>
      <c r="P86" s="36">
        <v>19.127000808715799</v>
      </c>
      <c r="Q86" s="23">
        <f t="shared" si="7"/>
        <v>0</v>
      </c>
      <c r="R86" s="24">
        <v>53.848094940185547</v>
      </c>
      <c r="S86" s="23">
        <f t="shared" si="8"/>
        <v>3.5994968957273354E-3</v>
      </c>
      <c r="T86" s="24">
        <v>88.646499633789063</v>
      </c>
      <c r="U86" s="23">
        <f t="shared" si="9"/>
        <v>3.3846634098061304E-4</v>
      </c>
    </row>
    <row r="87" spans="1:21">
      <c r="A87" s="12">
        <v>45568</v>
      </c>
      <c r="B87" s="35">
        <v>719.339599609375</v>
      </c>
      <c r="C87" s="23">
        <f t="shared" si="0"/>
        <v>-9.7131795306002796E-3</v>
      </c>
      <c r="D87" s="24">
        <v>121.67320251464844</v>
      </c>
      <c r="E87" s="23">
        <f t="shared" si="1"/>
        <v>-1.5422087251485757E-2</v>
      </c>
      <c r="F87" s="24">
        <v>431.3037109375</v>
      </c>
      <c r="G87" s="23">
        <f t="shared" si="2"/>
        <v>-1.4495267947483063E-2</v>
      </c>
      <c r="H87" s="36">
        <v>87.467300415039006</v>
      </c>
      <c r="I87" s="23">
        <f t="shared" si="3"/>
        <v>-1.3391532529863638E-2</v>
      </c>
      <c r="J87" s="35"/>
      <c r="K87" s="23" t="e">
        <f t="shared" si="4"/>
        <v>#DIV/0!</v>
      </c>
      <c r="L87" s="36">
        <v>153.92799377441401</v>
      </c>
      <c r="M87" s="23">
        <f t="shared" si="5"/>
        <v>-2.2063960433410669E-2</v>
      </c>
      <c r="N87" s="24">
        <v>99.488899230957031</v>
      </c>
      <c r="O87" s="23">
        <f t="shared" si="6"/>
        <v>-1.9345476432950093E-2</v>
      </c>
      <c r="P87" s="36">
        <v>18.705999374389599</v>
      </c>
      <c r="Q87" s="23">
        <f t="shared" si="7"/>
        <v>-2.2256697121780172E-2</v>
      </c>
      <c r="R87" s="24">
        <v>52.793903350830078</v>
      </c>
      <c r="S87" s="23">
        <f t="shared" si="8"/>
        <v>-1.977130861621498E-2</v>
      </c>
      <c r="T87" s="24">
        <v>87.467300415039063</v>
      </c>
      <c r="U87" s="23">
        <f t="shared" si="9"/>
        <v>-1.3391532529863638E-2</v>
      </c>
    </row>
    <row r="88" spans="1:21">
      <c r="A88" s="12">
        <v>45569</v>
      </c>
      <c r="B88" s="35">
        <v>717.48889160156205</v>
      </c>
      <c r="C88" s="23">
        <f t="shared" si="0"/>
        <v>-2.5761029136356669E-3</v>
      </c>
      <c r="D88" s="24">
        <v>120.32679748535156</v>
      </c>
      <c r="E88" s="23">
        <f t="shared" si="1"/>
        <v>-1.112742910651267E-2</v>
      </c>
      <c r="F88" s="24">
        <v>428.66970825195313</v>
      </c>
      <c r="G88" s="23">
        <f t="shared" si="2"/>
        <v>-6.1257961318229278E-3</v>
      </c>
      <c r="H88" s="36">
        <v>87.023300170898395</v>
      </c>
      <c r="I88" s="23">
        <f t="shared" si="3"/>
        <v>-5.0891131203107528E-3</v>
      </c>
      <c r="J88" s="35"/>
      <c r="K88" s="23" t="e">
        <f t="shared" si="4"/>
        <v>#DIV/0!</v>
      </c>
      <c r="L88" s="36">
        <v>152.63099670410099</v>
      </c>
      <c r="M88" s="23">
        <f t="shared" si="5"/>
        <v>-8.4616980703423831E-3</v>
      </c>
      <c r="N88" s="24">
        <v>98.709701538085938</v>
      </c>
      <c r="O88" s="23">
        <f t="shared" si="6"/>
        <v>-7.8628376212952818E-3</v>
      </c>
      <c r="P88" s="36">
        <v>18.527000427246001</v>
      </c>
      <c r="Q88" s="23">
        <f t="shared" si="7"/>
        <v>-9.6151439393901954E-3</v>
      </c>
      <c r="R88" s="24">
        <v>52.231544494628906</v>
      </c>
      <c r="S88" s="23">
        <f t="shared" si="8"/>
        <v>-1.070910416920535E-2</v>
      </c>
      <c r="T88" s="24">
        <v>87.023300170898438</v>
      </c>
      <c r="U88" s="23">
        <f t="shared" si="9"/>
        <v>-5.0891131203109757E-3</v>
      </c>
    </row>
    <row r="89" spans="1:21">
      <c r="A89" s="12">
        <v>45572</v>
      </c>
      <c r="B89" s="35">
        <v>712.96942138671795</v>
      </c>
      <c r="C89" s="23">
        <f t="shared" si="0"/>
        <v>-6.318933186555872E-3</v>
      </c>
      <c r="D89" s="24">
        <v>119.53489685058594</v>
      </c>
      <c r="E89" s="23">
        <f t="shared" si="1"/>
        <v>-6.6030010683451948E-3</v>
      </c>
      <c r="F89" s="24">
        <v>422.02590942382813</v>
      </c>
      <c r="G89" s="23">
        <f t="shared" si="2"/>
        <v>-1.5620002669611159E-2</v>
      </c>
      <c r="H89" s="36">
        <v>85.976097106933594</v>
      </c>
      <c r="I89" s="23">
        <f t="shared" si="3"/>
        <v>-1.2106583850228789E-2</v>
      </c>
      <c r="J89" s="35"/>
      <c r="K89" s="23" t="e">
        <f t="shared" si="4"/>
        <v>#DIV/0!</v>
      </c>
      <c r="L89" s="36">
        <v>150.00500488281199</v>
      </c>
      <c r="M89" s="23">
        <f t="shared" si="5"/>
        <v>-1.7354562678539343E-2</v>
      </c>
      <c r="N89" s="24">
        <v>97.398696899414063</v>
      </c>
      <c r="O89" s="23">
        <f t="shared" si="6"/>
        <v>-1.3370403098463355E-2</v>
      </c>
      <c r="P89" s="36">
        <v>18.343000411987301</v>
      </c>
      <c r="Q89" s="23">
        <f t="shared" si="7"/>
        <v>-9.9810978361922677E-3</v>
      </c>
      <c r="R89" s="24">
        <v>51.416934967041016</v>
      </c>
      <c r="S89" s="23">
        <f t="shared" si="8"/>
        <v>-1.5719020772458448E-2</v>
      </c>
      <c r="T89" s="24">
        <v>85.976097106933594</v>
      </c>
      <c r="U89" s="23">
        <f t="shared" si="9"/>
        <v>-1.2106583850229238E-2</v>
      </c>
    </row>
    <row r="90" spans="1:21">
      <c r="A90" s="12">
        <v>45573</v>
      </c>
      <c r="B90" s="35">
        <v>713.37902832031205</v>
      </c>
      <c r="C90" s="23">
        <f t="shared" si="0"/>
        <v>5.7434345014070428E-4</v>
      </c>
      <c r="D90" s="24">
        <v>121.92659759521484</v>
      </c>
      <c r="E90" s="23">
        <f t="shared" si="1"/>
        <v>1.9810852013024766E-2</v>
      </c>
      <c r="F90" s="24">
        <v>425.590087890625</v>
      </c>
      <c r="G90" s="23">
        <f t="shared" si="2"/>
        <v>8.4099391353119769E-3</v>
      </c>
      <c r="H90" s="36">
        <v>86.682098388671804</v>
      </c>
      <c r="I90" s="23">
        <f t="shared" si="3"/>
        <v>8.178067823938838E-3</v>
      </c>
      <c r="J90" s="35"/>
      <c r="K90" s="23" t="e">
        <f t="shared" si="4"/>
        <v>#DIV/0!</v>
      </c>
      <c r="L90" s="36">
        <v>152.72999572753901</v>
      </c>
      <c r="M90" s="23">
        <f t="shared" si="5"/>
        <v>1.800296918336626E-2</v>
      </c>
      <c r="N90" s="24">
        <v>98.638099670410156</v>
      </c>
      <c r="O90" s="23">
        <f t="shared" si="6"/>
        <v>1.2644761663604039E-2</v>
      </c>
      <c r="P90" s="36">
        <v>18.5659999847412</v>
      </c>
      <c r="Q90" s="23">
        <f t="shared" si="7"/>
        <v>1.2083897363467464E-2</v>
      </c>
      <c r="R90" s="24">
        <v>52.306583404541016</v>
      </c>
      <c r="S90" s="23">
        <f t="shared" si="8"/>
        <v>1.7154648601427958E-2</v>
      </c>
      <c r="T90" s="24">
        <v>86.682098388671875</v>
      </c>
      <c r="U90" s="23">
        <f t="shared" si="9"/>
        <v>8.1780678239397192E-3</v>
      </c>
    </row>
    <row r="91" spans="1:21">
      <c r="A91" s="12">
        <v>45574</v>
      </c>
      <c r="B91" s="35">
        <v>713.66351318359295</v>
      </c>
      <c r="C91" s="23">
        <f t="shared" si="0"/>
        <v>3.9870551686521552E-4</v>
      </c>
      <c r="D91" s="24">
        <v>123.02899932861328</v>
      </c>
      <c r="E91" s="23">
        <f t="shared" si="1"/>
        <v>9.0008898748654802E-3</v>
      </c>
      <c r="F91" s="24">
        <v>426.83740234375</v>
      </c>
      <c r="G91" s="23">
        <f t="shared" si="2"/>
        <v>2.9265019198093257E-3</v>
      </c>
      <c r="H91" s="36">
        <v>86.959098815917898</v>
      </c>
      <c r="I91" s="23">
        <f t="shared" si="3"/>
        <v>3.190494729096167E-3</v>
      </c>
      <c r="J91" s="35"/>
      <c r="K91" s="23" t="e">
        <f t="shared" si="4"/>
        <v>#DIV/0!</v>
      </c>
      <c r="L91" s="36">
        <v>154.59199523925699</v>
      </c>
      <c r="M91" s="23">
        <f t="shared" si="5"/>
        <v>1.2117728968056369E-2</v>
      </c>
      <c r="N91" s="24">
        <v>98.992301940917969</v>
      </c>
      <c r="O91" s="23">
        <f t="shared" si="6"/>
        <v>3.5844955722435542E-3</v>
      </c>
      <c r="P91" s="36">
        <v>18.590999603271399</v>
      </c>
      <c r="Q91" s="23">
        <f t="shared" si="7"/>
        <v>1.3456211523866857E-3</v>
      </c>
      <c r="R91" s="24">
        <v>52.749603271484375</v>
      </c>
      <c r="S91" s="23">
        <f t="shared" si="8"/>
        <v>8.4340105433344525E-3</v>
      </c>
      <c r="T91" s="24">
        <v>86.959098815917969</v>
      </c>
      <c r="U91" s="23">
        <f t="shared" si="9"/>
        <v>3.190494729096167E-3</v>
      </c>
    </row>
    <row r="92" spans="1:21">
      <c r="A92" s="13">
        <v>45575</v>
      </c>
      <c r="B92" s="35">
        <v>714.44952392578102</v>
      </c>
      <c r="C92" s="23">
        <f t="shared" si="0"/>
        <v>1.100768358148927E-3</v>
      </c>
      <c r="D92" s="24">
        <v>122.54650115966797</v>
      </c>
      <c r="E92" s="23">
        <f t="shared" si="1"/>
        <v>-3.9295352252178466E-3</v>
      </c>
      <c r="F92" s="24">
        <v>426.38430786132813</v>
      </c>
      <c r="G92" s="23">
        <f t="shared" si="2"/>
        <v>-1.0620792218339588E-3</v>
      </c>
      <c r="H92" s="36">
        <v>87.42919921875</v>
      </c>
      <c r="I92" s="23">
        <f t="shared" si="3"/>
        <v>5.3914344810103189E-3</v>
      </c>
      <c r="J92" s="35"/>
      <c r="K92" s="23" t="e">
        <f t="shared" si="4"/>
        <v>#DIV/0!</v>
      </c>
      <c r="L92" s="36">
        <v>154.26899719238199</v>
      </c>
      <c r="M92" s="23">
        <f t="shared" si="5"/>
        <v>-2.0915439148194112E-3</v>
      </c>
      <c r="N92" s="24">
        <v>99.268501281738281</v>
      </c>
      <c r="O92" s="23">
        <f t="shared" si="6"/>
        <v>2.786224155352558E-3</v>
      </c>
      <c r="P92" s="36">
        <v>18.5130004882812</v>
      </c>
      <c r="Q92" s="23">
        <f t="shared" si="7"/>
        <v>-4.2043569261757925E-3</v>
      </c>
      <c r="R92" s="24">
        <v>52.594997406005859</v>
      </c>
      <c r="S92" s="23">
        <f t="shared" si="8"/>
        <v>-2.9352425370961365E-3</v>
      </c>
      <c r="T92" s="24">
        <v>87.42919921875</v>
      </c>
      <c r="U92" s="23">
        <f t="shared" si="9"/>
        <v>5.3914344810096562E-3</v>
      </c>
    </row>
    <row r="93" spans="1:21">
      <c r="A93" s="13">
        <v>45576</v>
      </c>
      <c r="B93" s="35">
        <v>715.147705078125</v>
      </c>
      <c r="C93" s="23">
        <f t="shared" si="0"/>
        <v>9.7675232392328989E-4</v>
      </c>
      <c r="D93" s="24">
        <v>123.39469909667969</v>
      </c>
      <c r="E93" s="23">
        <f t="shared" si="1"/>
        <v>6.8975942136089863E-3</v>
      </c>
      <c r="F93" s="24">
        <v>427.21798706054688</v>
      </c>
      <c r="G93" s="23">
        <f t="shared" si="2"/>
        <v>1.9533205785665121E-3</v>
      </c>
      <c r="H93" s="36">
        <v>87.537696838378906</v>
      </c>
      <c r="I93" s="23">
        <f t="shared" si="3"/>
        <v>1.2402075590378461E-3</v>
      </c>
      <c r="J93" s="35"/>
      <c r="K93" s="23" t="e">
        <f t="shared" si="4"/>
        <v>#DIV/0!</v>
      </c>
      <c r="L93" s="36">
        <v>155.06100463867099</v>
      </c>
      <c r="M93" s="23">
        <f t="shared" si="5"/>
        <v>5.1208041399813482E-3</v>
      </c>
      <c r="N93" s="24">
        <v>99.138999938964844</v>
      </c>
      <c r="O93" s="23">
        <f t="shared" si="6"/>
        <v>-1.3054079141851113E-3</v>
      </c>
      <c r="P93" s="36">
        <v>18.503999710083001</v>
      </c>
      <c r="Q93" s="23">
        <f t="shared" si="7"/>
        <v>-4.863051207473413E-4</v>
      </c>
      <c r="R93" s="24">
        <v>52.735134124755859</v>
      </c>
      <c r="S93" s="23">
        <f t="shared" si="8"/>
        <v>2.6609062269072389E-3</v>
      </c>
      <c r="T93" s="24">
        <v>87.537696838378906</v>
      </c>
      <c r="U93" s="23">
        <f t="shared" si="9"/>
        <v>1.2402075590378461E-3</v>
      </c>
    </row>
    <row r="94" spans="1:21">
      <c r="A94" s="13">
        <v>45579</v>
      </c>
      <c r="B94" s="35">
        <v>715.632080078125</v>
      </c>
      <c r="C94" s="23">
        <f t="shared" si="0"/>
        <v>6.7707836458101101E-4</v>
      </c>
      <c r="D94" s="24">
        <v>124.28549957275391</v>
      </c>
      <c r="E94" s="23">
        <f t="shared" si="1"/>
        <v>7.1931815448247E-3</v>
      </c>
      <c r="F94" s="24">
        <v>429.5885009765625</v>
      </c>
      <c r="G94" s="23">
        <f t="shared" si="2"/>
        <v>5.5333847199919963E-3</v>
      </c>
      <c r="H94" s="36">
        <v>87.873199462890597</v>
      </c>
      <c r="I94" s="23">
        <f t="shared" si="3"/>
        <v>3.8253385702888983E-3</v>
      </c>
      <c r="J94" s="35"/>
      <c r="K94" s="23" t="e">
        <f t="shared" si="4"/>
        <v>#DIV/0!</v>
      </c>
      <c r="L94" s="36">
        <v>156.56100463867099</v>
      </c>
      <c r="M94" s="23">
        <f t="shared" si="5"/>
        <v>9.6271222218607816E-3</v>
      </c>
      <c r="N94" s="24">
        <v>99.68389892578125</v>
      </c>
      <c r="O94" s="23">
        <f t="shared" si="6"/>
        <v>5.4812635182748997E-3</v>
      </c>
      <c r="P94" s="36">
        <v>18.6210002899169</v>
      </c>
      <c r="Q94" s="23">
        <f t="shared" si="7"/>
        <v>6.3030824076406996E-3</v>
      </c>
      <c r="R94" s="24">
        <v>52.967491149902344</v>
      </c>
      <c r="S94" s="23">
        <f t="shared" si="8"/>
        <v>4.396435732884698E-3</v>
      </c>
      <c r="T94" s="24">
        <v>87.873199462890625</v>
      </c>
      <c r="U94" s="23">
        <f t="shared" si="9"/>
        <v>3.8253385702893407E-3</v>
      </c>
    </row>
    <row r="95" spans="1:21">
      <c r="A95" s="13">
        <v>45580</v>
      </c>
      <c r="B95" s="35">
        <v>714.76019287109295</v>
      </c>
      <c r="C95" s="23">
        <f t="shared" si="0"/>
        <v>-1.2190884018351978E-3</v>
      </c>
      <c r="D95" s="24">
        <v>124.82649993896484</v>
      </c>
      <c r="E95" s="23">
        <f t="shared" si="1"/>
        <v>4.3434376327840096E-3</v>
      </c>
      <c r="F95" s="24">
        <v>428.931396484375</v>
      </c>
      <c r="G95" s="23">
        <f t="shared" si="2"/>
        <v>-1.5307848366638416E-3</v>
      </c>
      <c r="H95" s="36">
        <v>88.092002868652301</v>
      </c>
      <c r="I95" s="23">
        <f t="shared" si="3"/>
        <v>2.4868953137444001E-3</v>
      </c>
      <c r="J95" s="35"/>
      <c r="K95" s="23" t="e">
        <f t="shared" si="4"/>
        <v>#DIV/0!</v>
      </c>
      <c r="L95" s="36">
        <v>157.23199462890599</v>
      </c>
      <c r="M95" s="23">
        <f t="shared" si="5"/>
        <v>4.2766474362742378E-3</v>
      </c>
      <c r="N95" s="24">
        <v>99.635498046875</v>
      </c>
      <c r="O95" s="23">
        <f t="shared" si="6"/>
        <v>-4.8566151205276566E-4</v>
      </c>
      <c r="P95" s="36">
        <v>18.5590000152587</v>
      </c>
      <c r="Q95" s="23">
        <f t="shared" si="7"/>
        <v>-3.3351442506369352E-3</v>
      </c>
      <c r="R95" s="24">
        <v>53.262229919433594</v>
      </c>
      <c r="S95" s="23">
        <f t="shared" si="8"/>
        <v>5.549097237108563E-3</v>
      </c>
      <c r="T95" s="24">
        <v>88.092002868652344</v>
      </c>
      <c r="U95" s="23">
        <f t="shared" si="9"/>
        <v>2.4868953137446217E-3</v>
      </c>
    </row>
    <row r="96" spans="1:21">
      <c r="A96" s="13">
        <v>45581</v>
      </c>
      <c r="B96" s="35">
        <v>714.90612792968705</v>
      </c>
      <c r="C96" s="23">
        <f t="shared" si="0"/>
        <v>2.0415261516298642E-4</v>
      </c>
      <c r="D96" s="24">
        <v>124.12539672851563</v>
      </c>
      <c r="E96" s="23">
        <f t="shared" si="1"/>
        <v>-5.6324540873000165E-3</v>
      </c>
      <c r="F96" s="24">
        <v>429.28271484375</v>
      </c>
      <c r="G96" s="23">
        <f t="shared" si="2"/>
        <v>8.1871965133609463E-4</v>
      </c>
      <c r="H96" s="36">
        <v>87.757797241210895</v>
      </c>
      <c r="I96" s="23">
        <f t="shared" si="3"/>
        <v>-3.8010396328385333E-3</v>
      </c>
      <c r="J96" s="35"/>
      <c r="K96" s="23" t="e">
        <f t="shared" si="4"/>
        <v>#DIV/0!</v>
      </c>
      <c r="L96" s="36">
        <v>156.85899353027301</v>
      </c>
      <c r="M96" s="23">
        <f t="shared" si="5"/>
        <v>-2.3751160526197927E-3</v>
      </c>
      <c r="N96" s="24">
        <v>99.552497863769531</v>
      </c>
      <c r="O96" s="23">
        <f t="shared" si="6"/>
        <v>-8.3338544102383168E-4</v>
      </c>
      <c r="P96" s="36">
        <v>18.524000167846602</v>
      </c>
      <c r="Q96" s="23">
        <f t="shared" si="7"/>
        <v>-1.8876497388001729E-3</v>
      </c>
      <c r="R96" s="24">
        <v>53.160972595214844</v>
      </c>
      <c r="S96" s="23">
        <f t="shared" si="8"/>
        <v>-1.9029187692420442E-3</v>
      </c>
      <c r="T96" s="24">
        <v>87.757797241210938</v>
      </c>
      <c r="U96" s="23">
        <f t="shared" si="9"/>
        <v>-3.8010396328385333E-3</v>
      </c>
    </row>
    <row r="97" spans="1:21">
      <c r="A97" s="13">
        <v>45582</v>
      </c>
      <c r="B97" s="35">
        <v>711.62780761718705</v>
      </c>
      <c r="C97" s="23">
        <f t="shared" si="0"/>
        <v>-4.5962118419503864E-3</v>
      </c>
      <c r="D97" s="24">
        <v>122.65730285644531</v>
      </c>
      <c r="E97" s="23">
        <f t="shared" si="1"/>
        <v>-1.1898007384052245E-2</v>
      </c>
      <c r="F97" s="24">
        <v>425.12319946289063</v>
      </c>
      <c r="G97" s="23">
        <f t="shared" si="2"/>
        <v>-9.7367028305902128E-3</v>
      </c>
      <c r="H97" s="36">
        <v>87.241500854492102</v>
      </c>
      <c r="I97" s="23">
        <f t="shared" si="3"/>
        <v>-5.9005709201782938E-3</v>
      </c>
      <c r="J97" s="35"/>
      <c r="K97" s="23" t="e">
        <f t="shared" si="4"/>
        <v>#DIV/0!</v>
      </c>
      <c r="L97" s="36">
        <v>154.80599975585901</v>
      </c>
      <c r="M97" s="23">
        <f t="shared" si="5"/>
        <v>-1.3174552889804939E-2</v>
      </c>
      <c r="N97" s="24">
        <v>98.600303649902344</v>
      </c>
      <c r="O97" s="23">
        <f t="shared" si="6"/>
        <v>-9.6107805276246412E-3</v>
      </c>
      <c r="P97" s="36">
        <v>18.350000381469702</v>
      </c>
      <c r="Q97" s="23">
        <f t="shared" si="7"/>
        <v>-9.4376023904212247E-3</v>
      </c>
      <c r="R97" s="24">
        <v>52.467517852783203</v>
      </c>
      <c r="S97" s="23">
        <f t="shared" si="8"/>
        <v>-1.3130258745694349E-2</v>
      </c>
      <c r="T97" s="24">
        <v>87.241500854492188</v>
      </c>
      <c r="U97" s="23">
        <f t="shared" si="9"/>
        <v>-5.9005709201777352E-3</v>
      </c>
    </row>
    <row r="98" spans="1:21">
      <c r="A98" s="13">
        <v>45583</v>
      </c>
      <c r="B98" s="35">
        <v>714.67169189453102</v>
      </c>
      <c r="C98" s="23">
        <f t="shared" si="0"/>
        <v>4.2682324427086599E-3</v>
      </c>
      <c r="D98" s="24">
        <v>122.28600311279297</v>
      </c>
      <c r="E98" s="23">
        <f t="shared" si="1"/>
        <v>-3.0317221903920816E-3</v>
      </c>
      <c r="F98" s="24">
        <v>427.2366943359375</v>
      </c>
      <c r="G98" s="23">
        <f t="shared" si="2"/>
        <v>4.959170932183273E-3</v>
      </c>
      <c r="H98" s="36">
        <v>87.668296813964801</v>
      </c>
      <c r="I98" s="23">
        <f t="shared" si="3"/>
        <v>4.8801932449689719E-3</v>
      </c>
      <c r="J98" s="35"/>
      <c r="K98" s="23" t="e">
        <f t="shared" si="4"/>
        <v>#DIV/0!</v>
      </c>
      <c r="L98" s="36">
        <v>155.57099914550699</v>
      </c>
      <c r="M98" s="23">
        <f t="shared" si="5"/>
        <v>4.9294950429571074E-3</v>
      </c>
      <c r="N98" s="24">
        <v>98.924797058105469</v>
      </c>
      <c r="O98" s="23">
        <f t="shared" si="6"/>
        <v>3.2855945796497871E-3</v>
      </c>
      <c r="P98" s="36">
        <v>18.415000915527301</v>
      </c>
      <c r="Q98" s="23">
        <f t="shared" si="7"/>
        <v>3.5360043242975208E-3</v>
      </c>
      <c r="R98" s="24">
        <v>52.592281341552734</v>
      </c>
      <c r="S98" s="23">
        <f t="shared" si="8"/>
        <v>2.3750958668561123E-3</v>
      </c>
      <c r="T98" s="24">
        <v>87.668296813964844</v>
      </c>
      <c r="U98" s="23">
        <f t="shared" si="9"/>
        <v>4.8801932449685295E-3</v>
      </c>
    </row>
    <row r="99" spans="1:21">
      <c r="A99" s="13">
        <v>45586</v>
      </c>
      <c r="B99" s="35">
        <v>715.18060302734295</v>
      </c>
      <c r="C99" s="23">
        <f t="shared" si="0"/>
        <v>7.1183737804059546E-4</v>
      </c>
      <c r="D99" s="24">
        <v>119.97119903564453</v>
      </c>
      <c r="E99" s="23">
        <f t="shared" si="1"/>
        <v>-1.9110883048107947E-2</v>
      </c>
      <c r="F99" s="24">
        <v>424.3197021484375</v>
      </c>
      <c r="G99" s="23">
        <f t="shared" si="2"/>
        <v>-6.8509933314792595E-3</v>
      </c>
      <c r="H99" s="36">
        <v>87.374801635742102</v>
      </c>
      <c r="I99" s="23">
        <f t="shared" si="3"/>
        <v>-3.3534078847997674E-3</v>
      </c>
      <c r="J99" s="35"/>
      <c r="K99" s="23" t="e">
        <f t="shared" si="4"/>
        <v>#DIV/0!</v>
      </c>
      <c r="L99" s="36">
        <v>153.54899597167901</v>
      </c>
      <c r="M99" s="23">
        <f t="shared" si="5"/>
        <v>-1.3082505466059531E-2</v>
      </c>
      <c r="N99" s="24">
        <v>98.424697875976563</v>
      </c>
      <c r="O99" s="23">
        <f t="shared" si="6"/>
        <v>-5.0681685582387699E-3</v>
      </c>
      <c r="P99" s="36">
        <v>18.343999862670898</v>
      </c>
      <c r="Q99" s="23">
        <f t="shared" si="7"/>
        <v>-3.8630615441355501E-3</v>
      </c>
      <c r="R99" s="24">
        <v>51.959403991699219</v>
      </c>
      <c r="S99" s="23">
        <f t="shared" si="8"/>
        <v>-1.2106645204848434E-2</v>
      </c>
      <c r="T99" s="24">
        <v>87.374801635742188</v>
      </c>
      <c r="U99" s="23">
        <f t="shared" si="9"/>
        <v>-3.3534078847992106E-3</v>
      </c>
    </row>
    <row r="100" spans="1:21">
      <c r="A100" s="13">
        <v>45587</v>
      </c>
      <c r="B100" s="35">
        <v>711.14752197265602</v>
      </c>
      <c r="C100" s="23">
        <f t="shared" si="0"/>
        <v>-5.6552089699680765E-3</v>
      </c>
      <c r="D100" s="24">
        <v>117.50650024414063</v>
      </c>
      <c r="E100" s="23">
        <f t="shared" si="1"/>
        <v>-2.0758052658432585E-2</v>
      </c>
      <c r="F100" s="24">
        <v>417.20269775390625</v>
      </c>
      <c r="G100" s="23">
        <f t="shared" si="2"/>
        <v>-1.691499616869006E-2</v>
      </c>
      <c r="H100" s="36">
        <v>86.6405029296875</v>
      </c>
      <c r="I100" s="23">
        <f t="shared" si="3"/>
        <v>-8.4395227912319598E-3</v>
      </c>
      <c r="J100" s="35"/>
      <c r="K100" s="23" t="e">
        <f t="shared" si="4"/>
        <v>#DIV/0!</v>
      </c>
      <c r="L100" s="36">
        <v>149.52799987792901</v>
      </c>
      <c r="M100" s="23">
        <f t="shared" si="5"/>
        <v>-2.6536042646731241E-2</v>
      </c>
      <c r="N100" s="24">
        <v>96.826301574707031</v>
      </c>
      <c r="O100" s="23">
        <f t="shared" si="6"/>
        <v>-1.6373099380438731E-2</v>
      </c>
      <c r="P100" s="36">
        <v>18.065000534057599</v>
      </c>
      <c r="Q100" s="23">
        <f t="shared" si="7"/>
        <v>-1.532614390656665E-2</v>
      </c>
      <c r="R100" s="24">
        <v>50.791290283203125</v>
      </c>
      <c r="S100" s="23">
        <f t="shared" si="8"/>
        <v>-2.2737832448077384E-2</v>
      </c>
      <c r="T100" s="24">
        <v>86.6405029296875</v>
      </c>
      <c r="U100" s="23">
        <f t="shared" si="9"/>
        <v>-8.4395227912328549E-3</v>
      </c>
    </row>
    <row r="101" spans="1:21">
      <c r="A101" s="13">
        <v>45588</v>
      </c>
      <c r="B101" s="35">
        <v>710.36712646484295</v>
      </c>
      <c r="C101" s="23">
        <f t="shared" si="0"/>
        <v>-1.0979775510180608E-3</v>
      </c>
      <c r="D101" s="24">
        <v>120.60769653320313</v>
      </c>
      <c r="E101" s="23">
        <f t="shared" si="1"/>
        <v>2.6049447659256028E-2</v>
      </c>
      <c r="F101" s="24">
        <v>417.14520263671875</v>
      </c>
      <c r="G101" s="23">
        <f t="shared" si="2"/>
        <v>-1.3782048771638684E-4</v>
      </c>
      <c r="H101" s="36">
        <v>86.488502502441406</v>
      </c>
      <c r="I101" s="23">
        <f t="shared" si="3"/>
        <v>-1.7559214404476425E-3</v>
      </c>
      <c r="J101" s="35"/>
      <c r="K101" s="23" t="e">
        <f t="shared" si="4"/>
        <v>#DIV/0!</v>
      </c>
      <c r="L101" s="36">
        <v>151.37899780273401</v>
      </c>
      <c r="M101" s="23">
        <f t="shared" si="5"/>
        <v>1.2302946004246362E-2</v>
      </c>
      <c r="N101" s="24">
        <v>96.792800903320313</v>
      </c>
      <c r="O101" s="23">
        <f t="shared" si="6"/>
        <v>-3.4604717501797916E-4</v>
      </c>
      <c r="P101" s="36">
        <v>18.038000106811499</v>
      </c>
      <c r="Q101" s="23">
        <f t="shared" si="7"/>
        <v>-1.4957444977263599E-3</v>
      </c>
      <c r="R101" s="24">
        <v>51.165592193603516</v>
      </c>
      <c r="S101" s="23">
        <f t="shared" si="8"/>
        <v>7.3423898981387582E-3</v>
      </c>
      <c r="T101" s="24">
        <v>86.488502502441406</v>
      </c>
      <c r="U101" s="23">
        <f t="shared" si="9"/>
        <v>-1.7559214404476425E-3</v>
      </c>
    </row>
    <row r="102" spans="1:21">
      <c r="A102" s="13">
        <v>45589</v>
      </c>
      <c r="B102" s="35">
        <v>709.65930175781205</v>
      </c>
      <c r="C102" s="23">
        <f t="shared" si="0"/>
        <v>-9.9691773559338129E-4</v>
      </c>
      <c r="D102" s="24">
        <v>119.88520050048828</v>
      </c>
      <c r="E102" s="23">
        <f t="shared" si="1"/>
        <v>-6.0084785475428698E-3</v>
      </c>
      <c r="F102" s="24">
        <v>416.92449951171875</v>
      </c>
      <c r="G102" s="23">
        <f t="shared" si="2"/>
        <v>-5.2921987115125545E-4</v>
      </c>
      <c r="H102" s="36">
        <v>86.461799621582003</v>
      </c>
      <c r="I102" s="23">
        <f t="shared" si="3"/>
        <v>-3.0879253454481418E-4</v>
      </c>
      <c r="J102" s="35"/>
      <c r="K102" s="23" t="e">
        <f t="shared" si="4"/>
        <v>#DIV/0!</v>
      </c>
      <c r="L102" s="36">
        <v>150.44999694824199</v>
      </c>
      <c r="M102" s="23">
        <f t="shared" si="5"/>
        <v>-6.1558286598942412E-3</v>
      </c>
      <c r="N102" s="24">
        <v>96.590103149414063</v>
      </c>
      <c r="O102" s="23">
        <f t="shared" si="6"/>
        <v>-2.0963365829144791E-3</v>
      </c>
      <c r="P102" s="36">
        <v>18.038000106811499</v>
      </c>
      <c r="Q102" s="23">
        <f t="shared" si="7"/>
        <v>0</v>
      </c>
      <c r="R102" s="24">
        <v>51.091453552246094</v>
      </c>
      <c r="S102" s="23">
        <f t="shared" si="8"/>
        <v>-1.4500449100045567E-3</v>
      </c>
      <c r="T102" s="24">
        <v>86.461799621582031</v>
      </c>
      <c r="U102" s="23">
        <f t="shared" si="9"/>
        <v>-3.0879253454448101E-4</v>
      </c>
    </row>
    <row r="103" spans="1:21">
      <c r="A103" s="13">
        <v>45590</v>
      </c>
      <c r="B103" s="35">
        <v>704.69390869140602</v>
      </c>
      <c r="C103" s="23">
        <f t="shared" si="0"/>
        <v>-7.0214617248044462E-3</v>
      </c>
      <c r="D103" s="24">
        <v>118.24140167236328</v>
      </c>
      <c r="E103" s="23">
        <f t="shared" si="1"/>
        <v>-1.3806310794298721E-2</v>
      </c>
      <c r="F103" s="24">
        <v>411.61959838867188</v>
      </c>
      <c r="G103" s="23">
        <f t="shared" si="2"/>
        <v>-1.2805531120154661E-2</v>
      </c>
      <c r="H103" s="36">
        <v>86.152702331542898</v>
      </c>
      <c r="I103" s="23">
        <f t="shared" si="3"/>
        <v>-3.581363291256497E-3</v>
      </c>
      <c r="J103" s="35"/>
      <c r="K103" s="23" t="e">
        <f t="shared" si="4"/>
        <v>#DIV/0!</v>
      </c>
      <c r="L103" s="36">
        <v>148.64399719238199</v>
      </c>
      <c r="M103" s="23">
        <f t="shared" si="5"/>
        <v>-1.2076616319992989E-2</v>
      </c>
      <c r="N103" s="24">
        <v>95.670501708984375</v>
      </c>
      <c r="O103" s="23">
        <f t="shared" si="6"/>
        <v>-9.5662702621150068E-3</v>
      </c>
      <c r="P103" s="36">
        <v>17.836999893188398</v>
      </c>
      <c r="Q103" s="23">
        <f t="shared" si="7"/>
        <v>-1.120570407702577E-2</v>
      </c>
      <c r="R103" s="24">
        <v>50.520053863525391</v>
      </c>
      <c r="S103" s="23">
        <f t="shared" si="8"/>
        <v>-1.1246870091163935E-2</v>
      </c>
      <c r="T103" s="24">
        <v>86.152702331542969</v>
      </c>
      <c r="U103" s="23">
        <f t="shared" si="9"/>
        <v>-3.5813632912559397E-3</v>
      </c>
    </row>
    <row r="104" spans="1:21">
      <c r="A104" s="13">
        <v>45593</v>
      </c>
      <c r="B104" s="35">
        <v>707.02349853515602</v>
      </c>
      <c r="C104" s="23">
        <f t="shared" si="0"/>
        <v>3.3003658471532867E-3</v>
      </c>
      <c r="D104" s="24">
        <v>118.38899993896484</v>
      </c>
      <c r="E104" s="23">
        <f t="shared" si="1"/>
        <v>1.2475006147835068E-3</v>
      </c>
      <c r="F104" s="24">
        <v>413.56658935546875</v>
      </c>
      <c r="G104" s="23">
        <f t="shared" si="2"/>
        <v>4.71892188384957E-3</v>
      </c>
      <c r="H104" s="36">
        <v>86.315200805664006</v>
      </c>
      <c r="I104" s="23">
        <f t="shared" si="3"/>
        <v>1.8843914635746132E-3</v>
      </c>
      <c r="J104" s="35"/>
      <c r="K104" s="23" t="e">
        <f t="shared" si="4"/>
        <v>#DIV/0!</v>
      </c>
      <c r="L104" s="36">
        <v>149.25900268554599</v>
      </c>
      <c r="M104" s="23">
        <f t="shared" si="5"/>
        <v>4.1289034828490582E-3</v>
      </c>
      <c r="N104" s="24">
        <v>96.017196655273438</v>
      </c>
      <c r="O104" s="23">
        <f t="shared" si="6"/>
        <v>3.6172934130251177E-3</v>
      </c>
      <c r="P104" s="36">
        <v>17.954999923706001</v>
      </c>
      <c r="Q104" s="23">
        <f t="shared" si="7"/>
        <v>6.5936778409057487E-3</v>
      </c>
      <c r="R104" s="24">
        <v>50.939563751220703</v>
      </c>
      <c r="S104" s="23">
        <f t="shared" si="8"/>
        <v>8.2695418778096427E-3</v>
      </c>
      <c r="T104" s="24">
        <v>86.315200805664063</v>
      </c>
      <c r="U104" s="23">
        <f t="shared" si="9"/>
        <v>1.8843914635743916E-3</v>
      </c>
    </row>
    <row r="105" spans="1:21">
      <c r="A105" s="13">
        <v>45594</v>
      </c>
      <c r="B105" s="35">
        <v>710.91540527343705</v>
      </c>
      <c r="C105" s="23">
        <f t="shared" si="0"/>
        <v>5.4895404892143056E-3</v>
      </c>
      <c r="D105" s="24">
        <v>118.89610290527344</v>
      </c>
      <c r="E105" s="23">
        <f t="shared" si="1"/>
        <v>4.2742147083671142E-3</v>
      </c>
      <c r="F105" s="24">
        <v>414.61041259765625</v>
      </c>
      <c r="G105" s="23">
        <f t="shared" si="2"/>
        <v>2.5207746471024896E-3</v>
      </c>
      <c r="H105" s="36">
        <v>86.859901428222599</v>
      </c>
      <c r="I105" s="23">
        <f t="shared" si="3"/>
        <v>6.2907705767575092E-3</v>
      </c>
      <c r="J105" s="35"/>
      <c r="K105" s="23" t="e">
        <f t="shared" si="4"/>
        <v>#DIV/0!</v>
      </c>
      <c r="L105" s="36">
        <v>150.39100646972599</v>
      </c>
      <c r="M105" s="23">
        <f t="shared" si="5"/>
        <v>7.5555423643571956E-3</v>
      </c>
      <c r="N105" s="24">
        <v>96.888099670410156</v>
      </c>
      <c r="O105" s="23">
        <f t="shared" si="6"/>
        <v>9.029393684608299E-3</v>
      </c>
      <c r="P105" s="36">
        <v>18.006999969482401</v>
      </c>
      <c r="Q105" s="23">
        <f t="shared" si="7"/>
        <v>2.8919460637375637E-3</v>
      </c>
      <c r="R105" s="24">
        <v>51.389812469482422</v>
      </c>
      <c r="S105" s="23">
        <f t="shared" si="8"/>
        <v>8.8000462921322218E-3</v>
      </c>
      <c r="T105" s="24">
        <v>86.859901428222656</v>
      </c>
      <c r="U105" s="23">
        <f t="shared" si="9"/>
        <v>6.2907705767575092E-3</v>
      </c>
    </row>
    <row r="106" spans="1:21">
      <c r="A106" s="13">
        <v>45595</v>
      </c>
      <c r="B106" s="35">
        <v>710.18701171875</v>
      </c>
      <c r="C106" s="23">
        <f t="shared" si="0"/>
        <v>-1.0251106602364225E-3</v>
      </c>
      <c r="D106" s="24">
        <v>118.07730102539063</v>
      </c>
      <c r="E106" s="23">
        <f t="shared" si="1"/>
        <v>-6.9105235002065255E-3</v>
      </c>
      <c r="F106" s="24">
        <v>413.15701293945313</v>
      </c>
      <c r="G106" s="23">
        <f t="shared" si="2"/>
        <v>-3.5116171690475805E-3</v>
      </c>
      <c r="H106" s="36">
        <v>86.526298522949205</v>
      </c>
      <c r="I106" s="23">
        <f t="shared" si="3"/>
        <v>-3.8480953735501914E-3</v>
      </c>
      <c r="J106" s="35"/>
      <c r="K106" s="23" t="e">
        <f t="shared" si="4"/>
        <v>#DIV/0!</v>
      </c>
      <c r="L106" s="36">
        <v>150.149002075195</v>
      </c>
      <c r="M106" s="23">
        <f t="shared" si="5"/>
        <v>-1.6104640976606314E-3</v>
      </c>
      <c r="N106" s="24">
        <v>96.532997131347656</v>
      </c>
      <c r="O106" s="23">
        <f t="shared" si="6"/>
        <v>-3.6718118540094479E-3</v>
      </c>
      <c r="P106" s="36">
        <v>17.931999206542901</v>
      </c>
      <c r="Q106" s="23">
        <f t="shared" si="7"/>
        <v>-4.1737874475226353E-3</v>
      </c>
      <c r="R106" s="24">
        <v>51.439540863037109</v>
      </c>
      <c r="S106" s="23">
        <f t="shared" si="8"/>
        <v>9.6720237597016127E-4</v>
      </c>
      <c r="T106" s="24">
        <v>86.526298522949219</v>
      </c>
      <c r="U106" s="23">
        <f t="shared" si="9"/>
        <v>-3.8480953735506372E-3</v>
      </c>
    </row>
    <row r="107" spans="1:21">
      <c r="A107" s="13">
        <v>45596</v>
      </c>
      <c r="B107" s="35">
        <v>707.83947753906205</v>
      </c>
      <c r="C107" s="23">
        <f t="shared" si="0"/>
        <v>-3.3109907918826434E-3</v>
      </c>
      <c r="D107" s="24">
        <v>117.14839935302734</v>
      </c>
      <c r="E107" s="23">
        <f t="shared" si="1"/>
        <v>-7.8980017870756286E-3</v>
      </c>
      <c r="F107" s="24">
        <v>412.26058959960938</v>
      </c>
      <c r="G107" s="23">
        <f t="shared" si="2"/>
        <v>-2.1720488865630697E-3</v>
      </c>
      <c r="H107" s="36">
        <v>85.981399536132798</v>
      </c>
      <c r="I107" s="23">
        <f t="shared" si="3"/>
        <v>-6.3174085002967312E-3</v>
      </c>
      <c r="J107" s="35"/>
      <c r="K107" s="23" t="e">
        <f t="shared" si="4"/>
        <v>#DIV/0!</v>
      </c>
      <c r="L107" s="36">
        <v>149.84899902343699</v>
      </c>
      <c r="M107" s="23">
        <f t="shared" si="5"/>
        <v>-2.0000343379875884E-3</v>
      </c>
      <c r="N107" s="24">
        <v>96.378898620605469</v>
      </c>
      <c r="O107" s="23">
        <f t="shared" si="6"/>
        <v>-1.5976054034152847E-3</v>
      </c>
      <c r="P107" s="36">
        <v>17.761999130248999</v>
      </c>
      <c r="Q107" s="23">
        <f t="shared" si="7"/>
        <v>-9.5254871757234454E-3</v>
      </c>
      <c r="R107" s="24">
        <v>51.462139129638672</v>
      </c>
      <c r="S107" s="23">
        <f t="shared" si="8"/>
        <v>4.3922056406593576E-4</v>
      </c>
      <c r="T107" s="24">
        <v>85.981399536132813</v>
      </c>
      <c r="U107" s="23">
        <f t="shared" si="9"/>
        <v>-6.3174085002967312E-3</v>
      </c>
    </row>
    <row r="108" spans="1:21">
      <c r="A108" s="12">
        <v>45600</v>
      </c>
      <c r="B108" s="35">
        <v>704.63330078125</v>
      </c>
      <c r="C108" s="23">
        <f t="shared" si="0"/>
        <v>-4.5398145912718913E-3</v>
      </c>
      <c r="D108" s="24">
        <v>117.07430267333984</v>
      </c>
      <c r="E108" s="23">
        <f t="shared" si="1"/>
        <v>-6.3270282101840546E-4</v>
      </c>
      <c r="F108" s="24">
        <v>410.62921142578125</v>
      </c>
      <c r="G108" s="23">
        <f t="shared" si="2"/>
        <v>-3.9650031123730882E-3</v>
      </c>
      <c r="H108" s="36">
        <v>85.764503479003906</v>
      </c>
      <c r="I108" s="23">
        <f t="shared" si="3"/>
        <v>-2.5257798716547481E-3</v>
      </c>
      <c r="J108" s="35"/>
      <c r="K108" s="23" t="e">
        <f t="shared" si="4"/>
        <v>#DIV/0!</v>
      </c>
      <c r="L108" s="36">
        <v>148.940994262695</v>
      </c>
      <c r="M108" s="23">
        <f t="shared" si="5"/>
        <v>-6.0778980310491988E-3</v>
      </c>
      <c r="N108" s="24">
        <v>95.6365966796875</v>
      </c>
      <c r="O108" s="23">
        <f t="shared" si="6"/>
        <v>-7.7317264174859724E-3</v>
      </c>
      <c r="P108" s="36">
        <v>17.6210002899169</v>
      </c>
      <c r="Q108" s="23">
        <f t="shared" si="7"/>
        <v>-7.9699058298459153E-3</v>
      </c>
      <c r="R108" s="24">
        <v>51.029975891113281</v>
      </c>
      <c r="S108" s="23">
        <f t="shared" si="8"/>
        <v>-8.4331521435043119E-3</v>
      </c>
      <c r="T108" s="24">
        <v>85.764503479003906</v>
      </c>
      <c r="U108" s="23">
        <f t="shared" si="9"/>
        <v>-2.525779871654971E-3</v>
      </c>
    </row>
    <row r="109" spans="1:21">
      <c r="A109" s="12">
        <v>45601</v>
      </c>
      <c r="B109" s="35">
        <v>707.23248291015602</v>
      </c>
      <c r="C109" s="23">
        <f t="shared" si="0"/>
        <v>3.6819152291194005E-3</v>
      </c>
      <c r="D109" s="24">
        <v>117.64569854736328</v>
      </c>
      <c r="E109" s="23">
        <f t="shared" si="1"/>
        <v>4.8687542585653578E-3</v>
      </c>
      <c r="F109" s="24">
        <v>413.30911254882813</v>
      </c>
      <c r="G109" s="23">
        <f t="shared" si="2"/>
        <v>6.5051242196877187E-3</v>
      </c>
      <c r="H109" s="36">
        <v>86.378097534179602</v>
      </c>
      <c r="I109" s="23">
        <f t="shared" si="3"/>
        <v>7.1289343860271165E-3</v>
      </c>
      <c r="J109" s="35"/>
      <c r="K109" s="23" t="e">
        <f t="shared" si="4"/>
        <v>#DIV/0!</v>
      </c>
      <c r="L109" s="36">
        <v>149.83000183105401</v>
      </c>
      <c r="M109" s="23">
        <f t="shared" si="5"/>
        <v>5.9511144235606453E-3</v>
      </c>
      <c r="N109" s="24">
        <v>96.38909912109375</v>
      </c>
      <c r="O109" s="23">
        <f t="shared" si="6"/>
        <v>7.8375583047007157E-3</v>
      </c>
      <c r="P109" s="36">
        <v>17.790000915527301</v>
      </c>
      <c r="Q109" s="23">
        <f t="shared" si="7"/>
        <v>9.5451641012591851E-3</v>
      </c>
      <c r="R109" s="24">
        <v>51.266853332519531</v>
      </c>
      <c r="S109" s="23">
        <f t="shared" si="8"/>
        <v>4.6311868428504724E-3</v>
      </c>
      <c r="T109" s="24">
        <v>86.378097534179688</v>
      </c>
      <c r="U109" s="23">
        <f t="shared" si="9"/>
        <v>7.1289343860282189E-3</v>
      </c>
    </row>
    <row r="110" spans="1:21">
      <c r="A110" s="12">
        <v>45602</v>
      </c>
      <c r="B110" s="35">
        <v>709.46887207031205</v>
      </c>
      <c r="C110" s="23">
        <f t="shared" si="0"/>
        <v>3.1571806011877666E-3</v>
      </c>
      <c r="D110" s="24">
        <v>121.63089752197266</v>
      </c>
      <c r="E110" s="23">
        <f t="shared" si="1"/>
        <v>3.331347564827912E-2</v>
      </c>
      <c r="F110" s="24">
        <v>418.95950317382813</v>
      </c>
      <c r="G110" s="23">
        <f t="shared" si="2"/>
        <v>1.3578494572853601E-2</v>
      </c>
      <c r="H110" s="36">
        <v>87.084800720214801</v>
      </c>
      <c r="I110" s="23">
        <f t="shared" si="3"/>
        <v>8.1482219331669974E-3</v>
      </c>
      <c r="J110" s="35"/>
      <c r="K110" s="23" t="e">
        <f t="shared" si="4"/>
        <v>#DIV/0!</v>
      </c>
      <c r="L110" s="36">
        <v>153.14100646972599</v>
      </c>
      <c r="M110" s="23">
        <f t="shared" si="5"/>
        <v>2.1857777607158211E-2</v>
      </c>
      <c r="N110" s="24">
        <v>97.5614013671875</v>
      </c>
      <c r="O110" s="23">
        <f t="shared" si="6"/>
        <v>1.2088821836059848E-2</v>
      </c>
      <c r="P110" s="36">
        <v>18.061000823974599</v>
      </c>
      <c r="Q110" s="23">
        <f t="shared" si="7"/>
        <v>1.5118409922512625E-2</v>
      </c>
      <c r="R110" s="24">
        <v>52.107677459716797</v>
      </c>
      <c r="S110" s="23">
        <f t="shared" si="8"/>
        <v>1.6267888500973039E-2</v>
      </c>
      <c r="T110" s="24">
        <v>87.084800720214844</v>
      </c>
      <c r="U110" s="23">
        <f t="shared" si="9"/>
        <v>8.1482219331665568E-3</v>
      </c>
    </row>
    <row r="111" spans="1:21">
      <c r="A111" s="12">
        <v>45603</v>
      </c>
      <c r="B111" s="35">
        <v>706.323974609375</v>
      </c>
      <c r="C111" s="23">
        <f t="shared" si="0"/>
        <v>-4.4426028014019287E-3</v>
      </c>
      <c r="D111" s="24">
        <v>120.99320220947266</v>
      </c>
      <c r="E111" s="23">
        <f t="shared" si="1"/>
        <v>-5.2566647883107347E-3</v>
      </c>
      <c r="F111" s="24">
        <v>417.00640869140625</v>
      </c>
      <c r="G111" s="23">
        <f t="shared" si="2"/>
        <v>-4.6726738694375875E-3</v>
      </c>
      <c r="H111" s="36">
        <v>86.870498657226506</v>
      </c>
      <c r="I111" s="23">
        <f t="shared" si="3"/>
        <v>-2.4638763195904911E-3</v>
      </c>
      <c r="J111" s="35"/>
      <c r="K111" s="23" t="e">
        <f t="shared" si="4"/>
        <v>#DIV/0!</v>
      </c>
      <c r="L111" s="36">
        <v>152.32099914550699</v>
      </c>
      <c r="M111" s="23">
        <f t="shared" si="5"/>
        <v>-5.3689773453500971E-3</v>
      </c>
      <c r="N111" s="24">
        <v>96.811203002929688</v>
      </c>
      <c r="O111" s="23">
        <f t="shared" si="6"/>
        <v>-7.7192163146033643E-3</v>
      </c>
      <c r="P111" s="36">
        <v>17.837999343871999</v>
      </c>
      <c r="Q111" s="23">
        <f t="shared" si="7"/>
        <v>-1.2423986601869014E-2</v>
      </c>
      <c r="R111" s="24">
        <v>51.898830413818359</v>
      </c>
      <c r="S111" s="23">
        <f t="shared" si="8"/>
        <v>-4.016043435536948E-3</v>
      </c>
      <c r="T111" s="24">
        <v>86.870498657226563</v>
      </c>
      <c r="U111" s="23">
        <f t="shared" si="9"/>
        <v>-2.4638763195902681E-3</v>
      </c>
    </row>
    <row r="112" spans="1:21">
      <c r="A112" s="12">
        <v>45604</v>
      </c>
      <c r="B112" s="35">
        <v>704.232177734375</v>
      </c>
      <c r="C112" s="23">
        <f t="shared" si="0"/>
        <v>-2.9659200804307813E-3</v>
      </c>
      <c r="D112" s="24">
        <v>120.10199737548828</v>
      </c>
      <c r="E112" s="23">
        <f t="shared" si="1"/>
        <v>-7.3930040473108539E-3</v>
      </c>
      <c r="F112" s="24">
        <v>414.03009033203125</v>
      </c>
      <c r="G112" s="23">
        <f t="shared" si="2"/>
        <v>-7.1629370996929244E-3</v>
      </c>
      <c r="H112" s="36">
        <v>86.784698486328097</v>
      </c>
      <c r="I112" s="23">
        <f t="shared" si="3"/>
        <v>-9.8816711842247959E-4</v>
      </c>
      <c r="J112" s="35"/>
      <c r="K112" s="23" t="e">
        <f t="shared" si="4"/>
        <v>#DIV/0!</v>
      </c>
      <c r="L112" s="36">
        <v>151.01899719238199</v>
      </c>
      <c r="M112" s="23">
        <f t="shared" si="5"/>
        <v>-8.5844924150570347E-3</v>
      </c>
      <c r="N112" s="24">
        <v>96.440597534179688</v>
      </c>
      <c r="O112" s="23">
        <f t="shared" si="6"/>
        <v>-3.8354718770689336E-3</v>
      </c>
      <c r="P112" s="36">
        <v>17.777000427246001</v>
      </c>
      <c r="Q112" s="23">
        <f t="shared" si="7"/>
        <v>-3.4254654872287915E-3</v>
      </c>
      <c r="R112" s="24">
        <v>51.557979583740234</v>
      </c>
      <c r="S112" s="23">
        <f t="shared" si="8"/>
        <v>-6.5892629658959468E-3</v>
      </c>
      <c r="T112" s="24">
        <v>86.784698486328125</v>
      </c>
      <c r="U112" s="23">
        <f t="shared" si="9"/>
        <v>-9.8816711842281309E-4</v>
      </c>
    </row>
    <row r="113" spans="1:21">
      <c r="A113" s="13">
        <v>45607</v>
      </c>
      <c r="B113" s="35">
        <v>701.48681640625</v>
      </c>
      <c r="C113" s="23">
        <f t="shared" si="0"/>
        <v>-3.9059937726059462E-3</v>
      </c>
      <c r="D113" s="24">
        <v>119.36530303955078</v>
      </c>
      <c r="E113" s="23">
        <f t="shared" si="1"/>
        <v>-6.15279546509305E-3</v>
      </c>
      <c r="F113" s="24">
        <v>413.514404296875</v>
      </c>
      <c r="G113" s="23">
        <f t="shared" si="2"/>
        <v>-1.2463042295693314E-3</v>
      </c>
      <c r="H113" s="36">
        <v>87.263801574707003</v>
      </c>
      <c r="I113" s="23">
        <f t="shared" si="3"/>
        <v>5.5054114034542353E-3</v>
      </c>
      <c r="J113" s="35"/>
      <c r="K113" s="23" t="e">
        <f t="shared" si="4"/>
        <v>#DIV/0!</v>
      </c>
      <c r="L113" s="36">
        <v>151.06199645996</v>
      </c>
      <c r="M113" s="23">
        <f t="shared" si="5"/>
        <v>2.8468701290025562E-4</v>
      </c>
      <c r="N113" s="24">
        <v>96.573799133300781</v>
      </c>
      <c r="O113" s="23">
        <f t="shared" si="6"/>
        <v>1.3802247144967569E-3</v>
      </c>
      <c r="P113" s="36">
        <v>17.771999359130799</v>
      </c>
      <c r="Q113" s="23">
        <f t="shared" si="7"/>
        <v>-2.8136196113803433E-4</v>
      </c>
      <c r="R113" s="24">
        <v>51.269565582275391</v>
      </c>
      <c r="S113" s="23">
        <f t="shared" si="8"/>
        <v>-5.6096789499042558E-3</v>
      </c>
      <c r="T113" s="24">
        <v>87.263801574707031</v>
      </c>
      <c r="U113" s="23">
        <f t="shared" si="9"/>
        <v>5.5054114034542353E-3</v>
      </c>
    </row>
    <row r="114" spans="1:21">
      <c r="A114" s="13">
        <v>45608</v>
      </c>
      <c r="B114" s="35">
        <v>696.08160400390602</v>
      </c>
      <c r="C114" s="23">
        <f t="shared" si="0"/>
        <v>-7.7352053386426393E-3</v>
      </c>
      <c r="D114" s="24">
        <v>118.29969787597656</v>
      </c>
      <c r="E114" s="23">
        <f t="shared" si="1"/>
        <v>-8.9673473182585051E-3</v>
      </c>
      <c r="F114" s="24">
        <v>409.10888671875</v>
      </c>
      <c r="G114" s="23">
        <f t="shared" si="2"/>
        <v>-1.071100160899382E-2</v>
      </c>
      <c r="H114" s="36">
        <v>86.586402893066406</v>
      </c>
      <c r="I114" s="23">
        <f t="shared" si="3"/>
        <v>-7.7929400417782431E-3</v>
      </c>
      <c r="J114" s="35"/>
      <c r="K114" s="23" t="e">
        <f t="shared" si="4"/>
        <v>#DIV/0!</v>
      </c>
      <c r="L114" s="36">
        <v>150.05799865722599</v>
      </c>
      <c r="M114" s="23">
        <f t="shared" si="5"/>
        <v>-6.6684480573162286E-3</v>
      </c>
      <c r="N114" s="24">
        <v>95.379898071289063</v>
      </c>
      <c r="O114" s="23">
        <f t="shared" si="6"/>
        <v>-1.2439629714349396E-2</v>
      </c>
      <c r="P114" s="36">
        <v>17.587999343871999</v>
      </c>
      <c r="Q114" s="23">
        <f t="shared" si="7"/>
        <v>-1.040733499992171E-2</v>
      </c>
      <c r="R114" s="24">
        <v>50.88079833984375</v>
      </c>
      <c r="S114" s="23">
        <f t="shared" si="8"/>
        <v>-7.6117030725419334E-3</v>
      </c>
      <c r="T114" s="24">
        <v>86.586402893066406</v>
      </c>
      <c r="U114" s="23">
        <f t="shared" si="9"/>
        <v>-7.7929400417785788E-3</v>
      </c>
    </row>
    <row r="115" spans="1:21">
      <c r="A115" s="13">
        <v>45609</v>
      </c>
      <c r="B115" s="35">
        <v>691.44592285156205</v>
      </c>
      <c r="C115" s="23">
        <f t="shared" si="0"/>
        <v>-6.6819552198208098E-3</v>
      </c>
      <c r="D115" s="24">
        <v>115.39060211181641</v>
      </c>
      <c r="E115" s="23">
        <f t="shared" si="1"/>
        <v>-2.489830384905381E-2</v>
      </c>
      <c r="F115" s="24">
        <v>403.14129638671875</v>
      </c>
      <c r="G115" s="23">
        <f t="shared" si="2"/>
        <v>-1.469423542866201E-2</v>
      </c>
      <c r="H115" s="36">
        <v>85.592300415039006</v>
      </c>
      <c r="I115" s="23">
        <f t="shared" si="3"/>
        <v>-1.1547462088627548E-2</v>
      </c>
      <c r="J115" s="35"/>
      <c r="K115" s="23" t="e">
        <f t="shared" si="4"/>
        <v>#DIV/0!</v>
      </c>
      <c r="L115" s="36">
        <v>146.91900634765599</v>
      </c>
      <c r="M115" s="23">
        <f t="shared" si="5"/>
        <v>-2.1140419370088308E-2</v>
      </c>
      <c r="N115" s="24">
        <v>93.940498352050781</v>
      </c>
      <c r="O115" s="23">
        <f t="shared" si="6"/>
        <v>-1.5206258621832917E-2</v>
      </c>
      <c r="P115" s="36">
        <v>17.343999862670898</v>
      </c>
      <c r="Q115" s="23">
        <f t="shared" si="7"/>
        <v>-1.3970196673851985E-2</v>
      </c>
      <c r="R115" s="24">
        <v>49.808517456054688</v>
      </c>
      <c r="S115" s="23">
        <f t="shared" si="8"/>
        <v>-2.1299606890155077E-2</v>
      </c>
      <c r="T115" s="24">
        <v>85.592300415039063</v>
      </c>
      <c r="U115" s="23">
        <f t="shared" si="9"/>
        <v>-1.1547462088626986E-2</v>
      </c>
    </row>
    <row r="116" spans="1:21">
      <c r="A116" s="13">
        <v>45610</v>
      </c>
      <c r="B116" s="35">
        <v>690.560302734375</v>
      </c>
      <c r="C116" s="23">
        <f t="shared" si="0"/>
        <v>-1.2816443544443367E-3</v>
      </c>
      <c r="D116" s="24">
        <v>116.42420196533203</v>
      </c>
      <c r="E116" s="23">
        <f t="shared" si="1"/>
        <v>8.9175210973345652E-3</v>
      </c>
      <c r="F116" s="24">
        <v>403.07070922851563</v>
      </c>
      <c r="G116" s="23">
        <f t="shared" si="2"/>
        <v>-1.7510817971417463E-4</v>
      </c>
      <c r="H116" s="36">
        <v>85.737098693847599</v>
      </c>
      <c r="I116" s="23">
        <f t="shared" si="3"/>
        <v>1.6902914973939587E-3</v>
      </c>
      <c r="J116" s="35"/>
      <c r="K116" s="23" t="e">
        <f t="shared" si="4"/>
        <v>#DIV/0!</v>
      </c>
      <c r="L116" s="36">
        <v>148.06500244140599</v>
      </c>
      <c r="M116" s="23">
        <f t="shared" si="5"/>
        <v>7.7699253185290248E-3</v>
      </c>
      <c r="N116" s="24">
        <v>93.992698669433594</v>
      </c>
      <c r="O116" s="23">
        <f t="shared" si="6"/>
        <v>5.5551993530194091E-4</v>
      </c>
      <c r="P116" s="36">
        <v>17.343999862670898</v>
      </c>
      <c r="Q116" s="23">
        <f t="shared" si="7"/>
        <v>0</v>
      </c>
      <c r="R116" s="24">
        <v>50.154792785644531</v>
      </c>
      <c r="S116" s="23">
        <f t="shared" si="8"/>
        <v>6.9280761871931169E-3</v>
      </c>
      <c r="T116" s="24">
        <v>85.737098693847656</v>
      </c>
      <c r="U116" s="23">
        <f t="shared" si="9"/>
        <v>1.6902914973939587E-3</v>
      </c>
    </row>
    <row r="117" spans="1:21">
      <c r="A117" s="13">
        <v>45614</v>
      </c>
      <c r="B117" s="35">
        <v>690.91497802734295</v>
      </c>
      <c r="C117" s="23">
        <f t="shared" si="0"/>
        <v>5.1347324950337127E-4</v>
      </c>
      <c r="D117" s="24">
        <v>116.80319976806641</v>
      </c>
      <c r="E117" s="23">
        <f t="shared" si="1"/>
        <v>3.2500309442278453E-3</v>
      </c>
      <c r="F117" s="24">
        <v>401.81619262695313</v>
      </c>
      <c r="G117" s="23">
        <f t="shared" si="2"/>
        <v>-3.1172519133863511E-3</v>
      </c>
      <c r="H117" s="36">
        <v>85.244300842285099</v>
      </c>
      <c r="I117" s="23">
        <f t="shared" si="3"/>
        <v>-5.7643605380454706E-3</v>
      </c>
      <c r="J117" s="35"/>
      <c r="K117" s="23" t="e">
        <f t="shared" si="4"/>
        <v>#DIV/0!</v>
      </c>
      <c r="L117" s="36">
        <v>146.79100036621</v>
      </c>
      <c r="M117" s="23">
        <f t="shared" si="5"/>
        <v>-8.64157413283256E-3</v>
      </c>
      <c r="N117" s="24">
        <v>93.789398193359375</v>
      </c>
      <c r="O117" s="23">
        <f t="shared" si="6"/>
        <v>-2.1652815566651756E-3</v>
      </c>
      <c r="P117" s="36">
        <v>17.2339992523193</v>
      </c>
      <c r="Q117" s="23">
        <f t="shared" si="7"/>
        <v>-6.3624839057502625E-3</v>
      </c>
      <c r="R117" s="24">
        <v>49.892601013183594</v>
      </c>
      <c r="S117" s="23">
        <f t="shared" si="8"/>
        <v>-5.2413633728396972E-3</v>
      </c>
      <c r="T117" s="24">
        <v>85.244300842285156</v>
      </c>
      <c r="U117" s="23">
        <f t="shared" si="9"/>
        <v>-5.7643605380454706E-3</v>
      </c>
    </row>
    <row r="118" spans="1:21">
      <c r="A118" s="13">
        <v>45615</v>
      </c>
      <c r="B118" s="35">
        <v>692.336181640625</v>
      </c>
      <c r="C118" s="23">
        <f t="shared" si="0"/>
        <v>2.0548750000116568E-3</v>
      </c>
      <c r="D118" s="24">
        <v>118.61759948730469</v>
      </c>
      <c r="E118" s="23">
        <f t="shared" si="1"/>
        <v>1.5414403914448382E-2</v>
      </c>
      <c r="F118" s="24">
        <v>403.273193359375</v>
      </c>
      <c r="G118" s="23">
        <f t="shared" si="2"/>
        <v>3.6194796464060087E-3</v>
      </c>
      <c r="H118" s="36">
        <v>85.569900512695298</v>
      </c>
      <c r="I118" s="23">
        <f t="shared" si="3"/>
        <v>3.8123301479501049E-3</v>
      </c>
      <c r="J118" s="35"/>
      <c r="K118" s="23" t="e">
        <f t="shared" si="4"/>
        <v>#DIV/0!</v>
      </c>
      <c r="L118" s="36">
        <v>148.218002319335</v>
      </c>
      <c r="M118" s="23">
        <f t="shared" si="5"/>
        <v>9.6743697307613355E-3</v>
      </c>
      <c r="N118" s="24">
        <v>94.099800109863281</v>
      </c>
      <c r="O118" s="23">
        <f t="shared" si="6"/>
        <v>3.304098390933236E-3</v>
      </c>
      <c r="P118" s="36">
        <v>17.2989997863769</v>
      </c>
      <c r="Q118" s="23">
        <f t="shared" si="7"/>
        <v>3.7645505824451149E-3</v>
      </c>
      <c r="R118" s="24">
        <v>50.210849761962891</v>
      </c>
      <c r="S118" s="23">
        <f t="shared" si="8"/>
        <v>6.358418586645976E-3</v>
      </c>
      <c r="T118" s="24">
        <v>85.569900512695313</v>
      </c>
      <c r="U118" s="23">
        <f t="shared" si="9"/>
        <v>3.8123301479496621E-3</v>
      </c>
    </row>
    <row r="119" spans="1:21">
      <c r="A119" s="13">
        <v>45617</v>
      </c>
      <c r="B119" s="35">
        <v>689.39678955078102</v>
      </c>
      <c r="C119" s="23">
        <f t="shared" si="0"/>
        <v>-4.2546520712998092E-3</v>
      </c>
      <c r="D119" s="24">
        <v>118.44719696044922</v>
      </c>
      <c r="E119" s="23">
        <f t="shared" si="1"/>
        <v>-1.4376032102314828E-3</v>
      </c>
      <c r="F119" s="24">
        <v>401.51840209960938</v>
      </c>
      <c r="G119" s="23">
        <f t="shared" si="2"/>
        <v>-4.3608657212463476E-3</v>
      </c>
      <c r="H119" s="36">
        <v>85.230300903320298</v>
      </c>
      <c r="I119" s="23">
        <f t="shared" si="3"/>
        <v>-3.9765767729946907E-3</v>
      </c>
      <c r="J119" s="35"/>
      <c r="K119" s="23" t="e">
        <f t="shared" si="4"/>
        <v>#DIV/0!</v>
      </c>
      <c r="L119" s="36">
        <v>147.63600158691401</v>
      </c>
      <c r="M119" s="23">
        <f t="shared" si="5"/>
        <v>-3.9343830097740094E-3</v>
      </c>
      <c r="N119" s="24">
        <v>93.518203735351563</v>
      </c>
      <c r="O119" s="23">
        <f t="shared" si="6"/>
        <v>-6.1998126568365659E-3</v>
      </c>
      <c r="P119" s="36">
        <v>17.1679992675781</v>
      </c>
      <c r="Q119" s="23">
        <f t="shared" si="7"/>
        <v>-7.6015407896684855E-3</v>
      </c>
      <c r="R119" s="24">
        <v>50.011039733886719</v>
      </c>
      <c r="S119" s="23">
        <f t="shared" si="8"/>
        <v>-3.9873583268743235E-3</v>
      </c>
      <c r="T119" s="24">
        <v>85.230300903320313</v>
      </c>
      <c r="U119" s="23">
        <f t="shared" si="9"/>
        <v>-3.9765767729946907E-3</v>
      </c>
    </row>
    <row r="120" spans="1:21">
      <c r="A120" s="13">
        <v>45618</v>
      </c>
      <c r="B120" s="35">
        <v>696.44940185546795</v>
      </c>
      <c r="C120" s="23">
        <f t="shared" si="0"/>
        <v>1.0178147088387244E-2</v>
      </c>
      <c r="D120" s="24">
        <v>119.654296875</v>
      </c>
      <c r="E120" s="23">
        <f t="shared" si="1"/>
        <v>1.0139459747022092E-2</v>
      </c>
      <c r="F120" s="24">
        <v>406.56719970703125</v>
      </c>
      <c r="G120" s="23">
        <f t="shared" si="2"/>
        <v>1.2495862547243573E-2</v>
      </c>
      <c r="H120" s="36">
        <v>86.220298767089801</v>
      </c>
      <c r="I120" s="23">
        <f t="shared" si="3"/>
        <v>1.1548619470563857E-2</v>
      </c>
      <c r="J120" s="35"/>
      <c r="K120" s="23" t="e">
        <f t="shared" si="4"/>
        <v>#DIV/0!</v>
      </c>
      <c r="L120" s="36">
        <v>149.49800109863199</v>
      </c>
      <c r="M120" s="23">
        <f t="shared" si="5"/>
        <v>1.2533226548781392E-2</v>
      </c>
      <c r="N120" s="24">
        <v>95.429702758789063</v>
      </c>
      <c r="O120" s="23">
        <f t="shared" si="6"/>
        <v>2.0233769966585904E-2</v>
      </c>
      <c r="P120" s="36">
        <v>17.530000686645501</v>
      </c>
      <c r="Q120" s="23">
        <f t="shared" si="7"/>
        <v>2.086659487657809E-2</v>
      </c>
      <c r="R120" s="24">
        <v>50.480274200439453</v>
      </c>
      <c r="S120" s="23">
        <f t="shared" si="8"/>
        <v>9.3388743467874326E-3</v>
      </c>
      <c r="T120" s="24">
        <v>86.220298767089844</v>
      </c>
      <c r="U120" s="23">
        <f t="shared" si="9"/>
        <v>1.1548619470564075E-2</v>
      </c>
    </row>
    <row r="121" spans="1:21">
      <c r="A121" s="13">
        <v>45621</v>
      </c>
      <c r="B121" s="35">
        <v>698.47991943359295</v>
      </c>
      <c r="C121" s="23">
        <f t="shared" si="0"/>
        <v>2.9112858713164894E-3</v>
      </c>
      <c r="D121" s="24">
        <v>120.94840240478516</v>
      </c>
      <c r="E121" s="23">
        <f t="shared" si="1"/>
        <v>1.0757302499748362E-2</v>
      </c>
      <c r="F121" s="24">
        <v>411.85958862304688</v>
      </c>
      <c r="G121" s="23">
        <f t="shared" si="2"/>
        <v>1.2933258691931149E-2</v>
      </c>
      <c r="H121" s="36">
        <v>86.929603576660099</v>
      </c>
      <c r="I121" s="23">
        <f t="shared" si="3"/>
        <v>8.1930023367665934E-3</v>
      </c>
      <c r="J121" s="35"/>
      <c r="K121" s="23" t="e">
        <f t="shared" si="4"/>
        <v>#DIV/0!</v>
      </c>
      <c r="L121" s="36">
        <v>151.50700378417901</v>
      </c>
      <c r="M121" s="23">
        <f t="shared" si="5"/>
        <v>1.3348831315768472E-2</v>
      </c>
      <c r="N121" s="24">
        <v>96.879798889160156</v>
      </c>
      <c r="O121" s="23">
        <f t="shared" si="6"/>
        <v>1.5081143699130304E-2</v>
      </c>
      <c r="P121" s="36">
        <v>17.7339992523193</v>
      </c>
      <c r="Q121" s="23">
        <f t="shared" si="7"/>
        <v>1.156992069407394E-2</v>
      </c>
      <c r="R121" s="24">
        <v>51.32562255859375</v>
      </c>
      <c r="S121" s="23">
        <f t="shared" si="8"/>
        <v>1.6607442484248239E-2</v>
      </c>
      <c r="T121" s="24">
        <v>86.929603576660156</v>
      </c>
      <c r="U121" s="23">
        <f t="shared" si="9"/>
        <v>8.1930023367665934E-3</v>
      </c>
    </row>
    <row r="122" spans="1:21">
      <c r="A122" s="13">
        <v>45622</v>
      </c>
      <c r="B122" s="35">
        <v>697.86407470703102</v>
      </c>
      <c r="C122" s="23">
        <f t="shared" si="0"/>
        <v>-8.820817349834935E-4</v>
      </c>
      <c r="D122" s="24">
        <v>120.93550109863281</v>
      </c>
      <c r="E122" s="23">
        <f t="shared" si="1"/>
        <v>-1.0667354030355221E-4</v>
      </c>
      <c r="F122" s="24">
        <v>411.77130126953125</v>
      </c>
      <c r="G122" s="23">
        <f t="shared" si="2"/>
        <v>-2.1438572772639552E-4</v>
      </c>
      <c r="H122" s="36">
        <v>86.901702880859304</v>
      </c>
      <c r="I122" s="23">
        <f t="shared" si="3"/>
        <v>-3.2100887474152782E-4</v>
      </c>
      <c r="J122" s="35"/>
      <c r="K122" s="23" t="e">
        <f t="shared" si="4"/>
        <v>#DIV/0!</v>
      </c>
      <c r="L122" s="36">
        <v>151.38800048828099</v>
      </c>
      <c r="M122" s="23">
        <f t="shared" si="5"/>
        <v>-7.857726297398614E-4</v>
      </c>
      <c r="N122" s="24">
        <v>96.789497375488281</v>
      </c>
      <c r="O122" s="23">
        <f t="shared" si="6"/>
        <v>-9.3253315788852402E-4</v>
      </c>
      <c r="P122" s="36">
        <v>17.7600002288818</v>
      </c>
      <c r="Q122" s="23">
        <f t="shared" si="7"/>
        <v>1.4650916545586739E-3</v>
      </c>
      <c r="R122" s="24">
        <v>51.432308197021484</v>
      </c>
      <c r="S122" s="23">
        <f t="shared" si="8"/>
        <v>2.0764465764473586E-3</v>
      </c>
      <c r="T122" s="24">
        <v>86.901702880859375</v>
      </c>
      <c r="U122" s="23">
        <f t="shared" si="9"/>
        <v>-3.2100887474130566E-4</v>
      </c>
    </row>
    <row r="123" spans="1:21">
      <c r="A123" s="13">
        <v>45623</v>
      </c>
      <c r="B123" s="35">
        <v>699.798583984375</v>
      </c>
      <c r="C123" s="23">
        <f t="shared" si="0"/>
        <v>2.7682080517147907E-3</v>
      </c>
      <c r="D123" s="24">
        <v>121.93190002441406</v>
      </c>
      <c r="E123" s="23">
        <f t="shared" si="1"/>
        <v>8.2053376582752503E-3</v>
      </c>
      <c r="F123" s="24">
        <v>413.52398681640625</v>
      </c>
      <c r="G123" s="23">
        <f t="shared" si="2"/>
        <v>4.2474207889759714E-3</v>
      </c>
      <c r="H123" s="36">
        <v>86.921600341796804</v>
      </c>
      <c r="I123" s="23">
        <f t="shared" si="3"/>
        <v>2.2893893575267921E-4</v>
      </c>
      <c r="J123" s="35"/>
      <c r="K123" s="23" t="e">
        <f t="shared" si="4"/>
        <v>#DIV/0!</v>
      </c>
      <c r="L123" s="36">
        <v>151.77299499511699</v>
      </c>
      <c r="M123" s="23">
        <f t="shared" si="5"/>
        <v>2.5398697031373319E-3</v>
      </c>
      <c r="N123" s="24">
        <v>97.212699890136719</v>
      </c>
      <c r="O123" s="23">
        <f t="shared" si="6"/>
        <v>4.3628700283316717E-3</v>
      </c>
      <c r="P123" s="36">
        <v>17.868999481201101</v>
      </c>
      <c r="Q123" s="23">
        <f t="shared" si="7"/>
        <v>6.1185884115510444E-3</v>
      </c>
      <c r="R123" s="24">
        <v>51.486553192138672</v>
      </c>
      <c r="S123" s="23">
        <f t="shared" si="8"/>
        <v>1.0541313692761097E-3</v>
      </c>
      <c r="T123" s="24">
        <v>86.921600341796875</v>
      </c>
      <c r="U123" s="23">
        <f t="shared" si="9"/>
        <v>2.2893893575267921E-4</v>
      </c>
    </row>
    <row r="124" spans="1:21">
      <c r="A124" s="13">
        <v>45624</v>
      </c>
      <c r="B124" s="35">
        <v>696.49700927734295</v>
      </c>
      <c r="C124" s="23">
        <f t="shared" si="0"/>
        <v>-4.7290571938955559E-3</v>
      </c>
      <c r="D124" s="24">
        <v>121.62740325927734</v>
      </c>
      <c r="E124" s="23">
        <f t="shared" si="1"/>
        <v>-2.5003924684732608E-3</v>
      </c>
      <c r="F124" s="24">
        <v>411.6619873046875</v>
      </c>
      <c r="G124" s="23">
        <f t="shared" si="2"/>
        <v>-4.5129285526349823E-3</v>
      </c>
      <c r="H124" s="36">
        <v>86.402496337890597</v>
      </c>
      <c r="I124" s="23">
        <f t="shared" si="3"/>
        <v>-5.9899986900175612E-3</v>
      </c>
      <c r="J124" s="35"/>
      <c r="K124" s="23" t="e">
        <f t="shared" si="4"/>
        <v>#DIV/0!</v>
      </c>
      <c r="L124" s="36">
        <v>151.22200012207</v>
      </c>
      <c r="M124" s="23">
        <f t="shared" si="5"/>
        <v>-3.6369939391318507E-3</v>
      </c>
      <c r="N124" s="24">
        <v>96.182403564453125</v>
      </c>
      <c r="O124" s="23">
        <f t="shared" si="6"/>
        <v>-1.0654934427181215E-2</v>
      </c>
      <c r="P124" s="36">
        <v>17.655000686645501</v>
      </c>
      <c r="Q124" s="23">
        <f t="shared" si="7"/>
        <v>-1.2048270590304529E-2</v>
      </c>
      <c r="R124" s="24">
        <v>51.350936889648438</v>
      </c>
      <c r="S124" s="23">
        <f t="shared" si="8"/>
        <v>-2.637489129665879E-3</v>
      </c>
      <c r="T124" s="24">
        <v>86.402496337890625</v>
      </c>
      <c r="U124" s="23">
        <f t="shared" si="9"/>
        <v>-5.9899986900180079E-3</v>
      </c>
    </row>
    <row r="125" spans="1:21">
      <c r="A125" s="13">
        <v>45625</v>
      </c>
      <c r="B125" s="35">
        <v>700.54327392578102</v>
      </c>
      <c r="C125" s="23">
        <f t="shared" si="0"/>
        <v>5.7926403573916605E-3</v>
      </c>
      <c r="D125" s="24">
        <v>123.45890045166016</v>
      </c>
      <c r="E125" s="23">
        <f t="shared" si="1"/>
        <v>1.4946010922186441E-2</v>
      </c>
      <c r="F125" s="24">
        <v>414.37741088867188</v>
      </c>
      <c r="G125" s="23">
        <f t="shared" si="2"/>
        <v>6.5745855975831609E-3</v>
      </c>
      <c r="H125" s="36">
        <v>86.763900756835895</v>
      </c>
      <c r="I125" s="23">
        <f t="shared" si="3"/>
        <v>4.1740770696306433E-3</v>
      </c>
      <c r="J125" s="35"/>
      <c r="K125" s="23" t="e">
        <f t="shared" si="4"/>
        <v>#DIV/0!</v>
      </c>
      <c r="L125" s="36">
        <v>152.613998413085</v>
      </c>
      <c r="M125" s="23">
        <f t="shared" si="5"/>
        <v>9.1628907495772231E-3</v>
      </c>
      <c r="N125" s="24">
        <v>96.719703674316406</v>
      </c>
      <c r="O125" s="23">
        <f t="shared" si="6"/>
        <v>5.5707167438582127E-3</v>
      </c>
      <c r="P125" s="36">
        <v>17.8250007629394</v>
      </c>
      <c r="Q125" s="23">
        <f t="shared" si="7"/>
        <v>9.5829408292489975E-3</v>
      </c>
      <c r="R125" s="24">
        <v>51.670089721679688</v>
      </c>
      <c r="S125" s="23">
        <f t="shared" si="8"/>
        <v>6.1958973527805675E-3</v>
      </c>
      <c r="T125" s="24">
        <v>86.763900756835938</v>
      </c>
      <c r="U125" s="23">
        <f t="shared" si="9"/>
        <v>4.1740770696306433E-3</v>
      </c>
    </row>
    <row r="126" spans="1:21">
      <c r="A126" s="12">
        <v>45628</v>
      </c>
      <c r="B126" s="35">
        <v>701.85852050781205</v>
      </c>
      <c r="C126" s="23">
        <f t="shared" si="0"/>
        <v>1.8757063387511708E-3</v>
      </c>
      <c r="D126" s="24">
        <v>124.5802001953125</v>
      </c>
      <c r="E126" s="23">
        <f t="shared" si="1"/>
        <v>9.0413759705040078E-3</v>
      </c>
      <c r="F126" s="24">
        <v>416.55841064453125</v>
      </c>
      <c r="G126" s="23">
        <f t="shared" si="2"/>
        <v>5.2495143617466572E-3</v>
      </c>
      <c r="H126" s="36">
        <v>87.284202575683594</v>
      </c>
      <c r="I126" s="23">
        <f t="shared" si="3"/>
        <v>5.9788456042054253E-3</v>
      </c>
      <c r="J126" s="35"/>
      <c r="K126" s="23" t="e">
        <f t="shared" si="4"/>
        <v>#DIV/0!</v>
      </c>
      <c r="L126" s="36">
        <v>153.94599914550699</v>
      </c>
      <c r="M126" s="23">
        <f t="shared" si="5"/>
        <v>8.690038657265824E-3</v>
      </c>
      <c r="N126" s="24">
        <v>97.120498657226563</v>
      </c>
      <c r="O126" s="23">
        <f t="shared" si="6"/>
        <v>4.1353191881857883E-3</v>
      </c>
      <c r="P126" s="36">
        <v>17.941999435424801</v>
      </c>
      <c r="Q126" s="23">
        <f t="shared" si="7"/>
        <v>6.542292568401855E-3</v>
      </c>
      <c r="R126" s="24">
        <v>51.972064971923828</v>
      </c>
      <c r="S126" s="23">
        <f t="shared" si="8"/>
        <v>5.8272834187341489E-3</v>
      </c>
      <c r="T126" s="24">
        <v>87.284202575683594</v>
      </c>
      <c r="U126" s="23">
        <f t="shared" si="9"/>
        <v>5.9788456042049838E-3</v>
      </c>
    </row>
    <row r="127" spans="1:21">
      <c r="A127" s="12">
        <v>45629</v>
      </c>
      <c r="B127" s="35">
        <v>705.76110839843705</v>
      </c>
      <c r="C127" s="23">
        <f t="shared" si="0"/>
        <v>5.5449608825433646E-3</v>
      </c>
      <c r="D127" s="24">
        <v>125.35600280761719</v>
      </c>
      <c r="E127" s="23">
        <f t="shared" si="1"/>
        <v>6.2080250445822162E-3</v>
      </c>
      <c r="F127" s="24">
        <v>419.44680786132813</v>
      </c>
      <c r="G127" s="23">
        <f t="shared" si="2"/>
        <v>6.9100255498202607E-3</v>
      </c>
      <c r="H127" s="36">
        <v>87.808502197265597</v>
      </c>
      <c r="I127" s="23">
        <f t="shared" si="3"/>
        <v>5.9888410464002924E-3</v>
      </c>
      <c r="J127" s="35"/>
      <c r="K127" s="23" t="e">
        <f t="shared" si="4"/>
        <v>#DIV/0!</v>
      </c>
      <c r="L127" s="36">
        <v>155.28900146484301</v>
      </c>
      <c r="M127" s="23">
        <f t="shared" si="5"/>
        <v>8.6860204081715079E-3</v>
      </c>
      <c r="N127" s="24">
        <v>98.202201843261719</v>
      </c>
      <c r="O127" s="23">
        <f t="shared" si="6"/>
        <v>1.1076175395924764E-2</v>
      </c>
      <c r="P127" s="36">
        <v>18.0559997558593</v>
      </c>
      <c r="Q127" s="23">
        <f t="shared" si="7"/>
        <v>6.3337243235188244E-3</v>
      </c>
      <c r="R127" s="24">
        <v>52.454860687255859</v>
      </c>
      <c r="S127" s="23">
        <f t="shared" si="8"/>
        <v>9.246641174467312E-3</v>
      </c>
      <c r="T127" s="24">
        <v>87.808502197265625</v>
      </c>
      <c r="U127" s="23">
        <f t="shared" si="9"/>
        <v>5.9888410464005136E-3</v>
      </c>
    </row>
    <row r="128" spans="1:21">
      <c r="A128" s="12">
        <v>45630</v>
      </c>
      <c r="B128" s="35">
        <v>706.539306640625</v>
      </c>
      <c r="C128" s="23">
        <f t="shared" si="0"/>
        <v>1.1020294445280307E-3</v>
      </c>
      <c r="D128" s="24">
        <v>125.94930267333984</v>
      </c>
      <c r="E128" s="23">
        <f t="shared" si="1"/>
        <v>4.7217544164993297E-3</v>
      </c>
      <c r="F128" s="24">
        <v>420.31961059570313</v>
      </c>
      <c r="G128" s="23">
        <f t="shared" si="2"/>
        <v>2.0786805222672657E-3</v>
      </c>
      <c r="H128" s="36">
        <v>87.856002807617102</v>
      </c>
      <c r="I128" s="23">
        <f t="shared" si="3"/>
        <v>5.4081058103244012E-4</v>
      </c>
      <c r="J128" s="35"/>
      <c r="K128" s="23" t="e">
        <f t="shared" si="4"/>
        <v>#DIV/0!</v>
      </c>
      <c r="L128" s="36">
        <v>156.287994384765</v>
      </c>
      <c r="M128" s="23">
        <f t="shared" si="5"/>
        <v>6.412516690727752E-3</v>
      </c>
      <c r="N128" s="24">
        <v>98.653602600097656</v>
      </c>
      <c r="O128" s="23">
        <f t="shared" si="6"/>
        <v>4.5861136712085785E-3</v>
      </c>
      <c r="P128" s="36">
        <v>18.090000152587798</v>
      </c>
      <c r="Q128" s="23">
        <f t="shared" si="7"/>
        <v>1.881281848200444E-3</v>
      </c>
      <c r="R128" s="24">
        <v>52.931324005126953</v>
      </c>
      <c r="S128" s="23">
        <f t="shared" si="8"/>
        <v>9.0422964961673902E-3</v>
      </c>
      <c r="T128" s="24">
        <v>87.856002807617188</v>
      </c>
      <c r="U128" s="23">
        <f t="shared" si="9"/>
        <v>5.4081058103310582E-4</v>
      </c>
    </row>
    <row r="129" spans="1:21">
      <c r="A129" s="12">
        <v>45631</v>
      </c>
      <c r="B129" s="35">
        <v>708.76788330078102</v>
      </c>
      <c r="C129" s="23">
        <f t="shared" si="0"/>
        <v>3.1492505907860491E-3</v>
      </c>
      <c r="D129" s="24">
        <v>127.17829895019531</v>
      </c>
      <c r="E129" s="23">
        <f t="shared" si="1"/>
        <v>9.7105643660673445E-3</v>
      </c>
      <c r="F129" s="24">
        <v>422.06610107421875</v>
      </c>
      <c r="G129" s="23">
        <f t="shared" si="2"/>
        <v>4.1465398966760384E-3</v>
      </c>
      <c r="H129" s="36">
        <v>88.384002685546804</v>
      </c>
      <c r="I129" s="23">
        <f t="shared" si="3"/>
        <v>5.9918456782653033E-3</v>
      </c>
      <c r="J129" s="35"/>
      <c r="K129" s="23" t="e">
        <f t="shared" si="4"/>
        <v>#DIV/0!</v>
      </c>
      <c r="L129" s="36">
        <v>156.26300048828099</v>
      </c>
      <c r="M129" s="23">
        <f t="shared" si="5"/>
        <v>-1.5993483909678305E-4</v>
      </c>
      <c r="N129" s="24">
        <v>99.414703369140625</v>
      </c>
      <c r="O129" s="23">
        <f t="shared" si="6"/>
        <v>7.6852731325816421E-3</v>
      </c>
      <c r="P129" s="36">
        <v>18.263999938964801</v>
      </c>
      <c r="Q129" s="23">
        <f t="shared" si="7"/>
        <v>9.5725980435344311E-3</v>
      </c>
      <c r="R129" s="24">
        <v>52.988288879394531</v>
      </c>
      <c r="S129" s="23">
        <f t="shared" si="8"/>
        <v>1.0756247725697207E-3</v>
      </c>
      <c r="T129" s="24">
        <v>88.384002685546875</v>
      </c>
      <c r="U129" s="23">
        <f t="shared" si="9"/>
        <v>5.991845678265083E-3</v>
      </c>
    </row>
    <row r="130" spans="1:21">
      <c r="A130" s="12">
        <v>45632</v>
      </c>
      <c r="B130" s="35">
        <v>708.41998291015602</v>
      </c>
      <c r="C130" s="23">
        <f t="shared" si="0"/>
        <v>-4.9097287086392644E-4</v>
      </c>
      <c r="D130" s="24">
        <v>127.89389801025391</v>
      </c>
      <c r="E130" s="23">
        <f t="shared" si="1"/>
        <v>5.6109677653336703E-3</v>
      </c>
      <c r="F130" s="24">
        <v>422.76370239257813</v>
      </c>
      <c r="G130" s="23">
        <f t="shared" si="2"/>
        <v>1.6514603865662386E-3</v>
      </c>
      <c r="H130" s="36">
        <v>88.688796997070298</v>
      </c>
      <c r="I130" s="23">
        <f t="shared" si="3"/>
        <v>3.4425909918464849E-3</v>
      </c>
      <c r="J130" s="35"/>
      <c r="K130" s="23" t="e">
        <f t="shared" si="4"/>
        <v>#DIV/0!</v>
      </c>
      <c r="L130" s="36">
        <v>157.00500488281199</v>
      </c>
      <c r="M130" s="23">
        <f t="shared" si="5"/>
        <v>4.7371947943579537E-3</v>
      </c>
      <c r="N130" s="24">
        <v>99.650901794433594</v>
      </c>
      <c r="O130" s="23">
        <f t="shared" si="6"/>
        <v>2.3730722938729238E-3</v>
      </c>
      <c r="P130" s="36">
        <v>18.250999450683501</v>
      </c>
      <c r="Q130" s="23">
        <f t="shared" si="7"/>
        <v>-7.1206293566541067E-4</v>
      </c>
      <c r="R130" s="24">
        <v>53.198040008544922</v>
      </c>
      <c r="S130" s="23">
        <f t="shared" si="8"/>
        <v>3.9506291281379106E-3</v>
      </c>
      <c r="T130" s="24">
        <v>88.688796997070313</v>
      </c>
      <c r="U130" s="23">
        <f t="shared" si="9"/>
        <v>3.4425909918458213E-3</v>
      </c>
    </row>
    <row r="131" spans="1:21">
      <c r="A131" s="12">
        <v>45635</v>
      </c>
      <c r="B131" s="35">
        <v>708.539306640625</v>
      </c>
      <c r="C131" s="23">
        <f t="shared" si="0"/>
        <v>1.6842224279968446E-4</v>
      </c>
      <c r="D131" s="24">
        <v>128.94259643554688</v>
      </c>
      <c r="E131" s="23">
        <f t="shared" si="1"/>
        <v>8.1663180739303814E-3</v>
      </c>
      <c r="F131" s="24">
        <v>422.17849731445313</v>
      </c>
      <c r="G131" s="23">
        <f t="shared" si="2"/>
        <v>-1.3851957492490941E-3</v>
      </c>
      <c r="H131" s="36">
        <v>88.798202514648395</v>
      </c>
      <c r="I131" s="23">
        <f t="shared" si="3"/>
        <v>1.2328286774342613E-3</v>
      </c>
      <c r="J131" s="35"/>
      <c r="K131" s="23" t="e">
        <f t="shared" si="4"/>
        <v>#DIV/0!</v>
      </c>
      <c r="L131" s="36">
        <v>157.753005981445</v>
      </c>
      <c r="M131" s="23">
        <f t="shared" si="5"/>
        <v>4.7528735149816306E-3</v>
      </c>
      <c r="N131" s="24">
        <v>99.507400512695313</v>
      </c>
      <c r="O131" s="23">
        <f t="shared" si="6"/>
        <v>-1.4410778251276865E-3</v>
      </c>
      <c r="P131" s="36">
        <v>18.202999114990199</v>
      </c>
      <c r="Q131" s="23">
        <f t="shared" si="7"/>
        <v>-2.6334759051355795E-3</v>
      </c>
      <c r="R131" s="24">
        <v>53.437629699707031</v>
      </c>
      <c r="S131" s="23">
        <f t="shared" si="8"/>
        <v>4.4936200987807443E-3</v>
      </c>
      <c r="T131" s="24">
        <v>88.798202514648438</v>
      </c>
      <c r="U131" s="23">
        <f t="shared" si="9"/>
        <v>1.232828677434705E-3</v>
      </c>
    </row>
    <row r="132" spans="1:21">
      <c r="A132" s="13">
        <v>45636</v>
      </c>
      <c r="B132" s="35">
        <v>710.42779541015602</v>
      </c>
      <c r="C132" s="23">
        <f t="shared" si="0"/>
        <v>2.6617810685098079E-3</v>
      </c>
      <c r="D132" s="24">
        <v>128.86839294433594</v>
      </c>
      <c r="E132" s="23">
        <f t="shared" si="1"/>
        <v>-5.7564259334677299E-4</v>
      </c>
      <c r="F132" s="24">
        <v>422.42660522460938</v>
      </c>
      <c r="G132" s="23">
        <f t="shared" si="2"/>
        <v>5.8751223867100678E-4</v>
      </c>
      <c r="H132" s="36">
        <v>88.974700927734304</v>
      </c>
      <c r="I132" s="23">
        <f t="shared" si="3"/>
        <v>1.9856622427884009E-3</v>
      </c>
      <c r="J132" s="35"/>
      <c r="K132" s="23" t="e">
        <f t="shared" si="4"/>
        <v>#DIV/0!</v>
      </c>
      <c r="L132" s="36">
        <v>157.89399719238199</v>
      </c>
      <c r="M132" s="23">
        <f t="shared" si="5"/>
        <v>8.9334743492600088E-4</v>
      </c>
      <c r="N132" s="24">
        <v>99.545997619628906</v>
      </c>
      <c r="O132" s="23">
        <f t="shared" si="6"/>
        <v>3.8780656627279486E-4</v>
      </c>
      <c r="P132" s="36">
        <v>18.205999374389599</v>
      </c>
      <c r="Q132" s="23">
        <f t="shared" si="7"/>
        <v>1.6480867536441634E-4</v>
      </c>
      <c r="R132" s="24">
        <v>53.612125396728516</v>
      </c>
      <c r="S132" s="23">
        <f t="shared" si="8"/>
        <v>3.260088758015132E-3</v>
      </c>
      <c r="T132" s="24">
        <v>88.974700927734375</v>
      </c>
      <c r="U132" s="23">
        <f t="shared" si="9"/>
        <v>1.9856622427886226E-3</v>
      </c>
    </row>
    <row r="133" spans="1:21">
      <c r="A133" s="13">
        <v>45637</v>
      </c>
      <c r="B133" s="35">
        <v>710.989013671875</v>
      </c>
      <c r="C133" s="23">
        <f t="shared" si="0"/>
        <v>7.8966041107152412E-4</v>
      </c>
      <c r="D133" s="24">
        <v>129.24259948730469</v>
      </c>
      <c r="E133" s="23">
        <f t="shared" si="1"/>
        <v>2.8995805379996532E-3</v>
      </c>
      <c r="F133" s="24">
        <v>423.03311157226563</v>
      </c>
      <c r="G133" s="23">
        <f t="shared" si="2"/>
        <v>1.434737669096119E-3</v>
      </c>
      <c r="H133" s="36">
        <v>89.404998779296804</v>
      </c>
      <c r="I133" s="23">
        <f t="shared" si="3"/>
        <v>4.8245252896476423E-3</v>
      </c>
      <c r="J133" s="35"/>
      <c r="K133" s="23" t="e">
        <f t="shared" si="4"/>
        <v>#DIV/0!</v>
      </c>
      <c r="L133" s="36">
        <v>158.23800659179599</v>
      </c>
      <c r="M133" s="23">
        <f t="shared" si="5"/>
        <v>2.1763663980964381E-3</v>
      </c>
      <c r="N133" s="24">
        <v>99.628898620605469</v>
      </c>
      <c r="O133" s="23">
        <f t="shared" si="6"/>
        <v>8.3244432233915461E-4</v>
      </c>
      <c r="P133" s="36">
        <v>18.245000839233398</v>
      </c>
      <c r="Q133" s="23">
        <f t="shared" si="7"/>
        <v>2.1399401661769007E-3</v>
      </c>
      <c r="R133" s="24">
        <v>53.671794891357422</v>
      </c>
      <c r="S133" s="23">
        <f t="shared" si="8"/>
        <v>1.1123661518219936E-3</v>
      </c>
      <c r="T133" s="24">
        <v>89.404998779296875</v>
      </c>
      <c r="U133" s="23">
        <f t="shared" si="9"/>
        <v>4.8245252896476423E-3</v>
      </c>
    </row>
    <row r="134" spans="1:21">
      <c r="A134" s="13">
        <v>45638</v>
      </c>
      <c r="B134" s="35">
        <v>708.28192138671795</v>
      </c>
      <c r="C134" s="23">
        <f t="shared" si="0"/>
        <v>-3.8147692610218543E-3</v>
      </c>
      <c r="D134" s="24">
        <v>129.20880126953125</v>
      </c>
      <c r="E134" s="23">
        <f t="shared" si="1"/>
        <v>-2.6154408811191208E-4</v>
      </c>
      <c r="F134" s="24">
        <v>421.40899658203125</v>
      </c>
      <c r="G134" s="23">
        <f t="shared" si="2"/>
        <v>-3.8466035199643646E-3</v>
      </c>
      <c r="H134" s="36">
        <v>89.199203491210895</v>
      </c>
      <c r="I134" s="23">
        <f t="shared" si="3"/>
        <v>-2.3044852981657384E-3</v>
      </c>
      <c r="J134" s="35"/>
      <c r="K134" s="23" t="e">
        <f t="shared" si="4"/>
        <v>#DIV/0!</v>
      </c>
      <c r="L134" s="36">
        <v>157.26899719238199</v>
      </c>
      <c r="M134" s="23">
        <f t="shared" si="5"/>
        <v>-6.142573284359981E-3</v>
      </c>
      <c r="N134" s="24">
        <v>99.222602844238281</v>
      </c>
      <c r="O134" s="23">
        <f t="shared" si="6"/>
        <v>-4.0864297102646734E-3</v>
      </c>
      <c r="P134" s="36">
        <v>18.1709995269775</v>
      </c>
      <c r="Q134" s="23">
        <f t="shared" si="7"/>
        <v>-4.0642252512107088E-3</v>
      </c>
      <c r="R134" s="24">
        <v>53.542507171630859</v>
      </c>
      <c r="S134" s="23">
        <f t="shared" si="8"/>
        <v>-2.4117637275400351E-3</v>
      </c>
      <c r="T134" s="24">
        <v>89.199203491210938</v>
      </c>
      <c r="U134" s="23">
        <f t="shared" si="9"/>
        <v>-2.3044852981660723E-3</v>
      </c>
    </row>
    <row r="135" spans="1:21">
      <c r="A135" s="13">
        <v>45639</v>
      </c>
      <c r="B135" s="35">
        <v>708.46417236328102</v>
      </c>
      <c r="C135" s="23">
        <f t="shared" si="0"/>
        <v>2.5728107297761949E-4</v>
      </c>
      <c r="D135" s="24">
        <v>129.71159362792969</v>
      </c>
      <c r="E135" s="23">
        <f t="shared" si="1"/>
        <v>3.8837650513543456E-3</v>
      </c>
      <c r="F135" s="24">
        <v>422.3743896484375</v>
      </c>
      <c r="G135" s="23">
        <f t="shared" si="2"/>
        <v>2.2882495754252209E-3</v>
      </c>
      <c r="H135" s="36">
        <v>89.432701110839801</v>
      </c>
      <c r="I135" s="23">
        <f t="shared" si="3"/>
        <v>2.6142894589393727E-3</v>
      </c>
      <c r="J135" s="35"/>
      <c r="K135" s="23" t="e">
        <f t="shared" si="4"/>
        <v>#DIV/0!</v>
      </c>
      <c r="L135" s="36">
        <v>157.27000427246</v>
      </c>
      <c r="M135" s="23">
        <f t="shared" si="5"/>
        <v>6.4035307121931551E-6</v>
      </c>
      <c r="N135" s="24">
        <v>99.784698486328125</v>
      </c>
      <c r="O135" s="23">
        <f t="shared" si="6"/>
        <v>5.6490101930784095E-3</v>
      </c>
      <c r="P135" s="36">
        <v>18.3190002441406</v>
      </c>
      <c r="Q135" s="23">
        <f t="shared" si="7"/>
        <v>8.1118952953083481E-3</v>
      </c>
      <c r="R135" s="24">
        <v>53.519905090332031</v>
      </c>
      <c r="S135" s="23">
        <f t="shared" si="8"/>
        <v>-4.2222253650145945E-4</v>
      </c>
      <c r="T135" s="24">
        <v>89.432701110839844</v>
      </c>
      <c r="U135" s="23">
        <f t="shared" si="9"/>
        <v>2.6142894589393727E-3</v>
      </c>
    </row>
    <row r="136" spans="1:21">
      <c r="A136" s="13">
        <v>45642</v>
      </c>
      <c r="B136" s="35">
        <v>708.21759033203102</v>
      </c>
      <c r="C136" s="23">
        <f t="shared" si="0"/>
        <v>-3.481121028493899E-4</v>
      </c>
      <c r="D136" s="24">
        <v>130.66360473632813</v>
      </c>
      <c r="E136" s="23">
        <f t="shared" si="1"/>
        <v>7.3126423465382879E-3</v>
      </c>
      <c r="F136" s="24">
        <v>421.89910888671875</v>
      </c>
      <c r="G136" s="23">
        <f t="shared" si="2"/>
        <v>-1.1258930020905196E-3</v>
      </c>
      <c r="H136" s="36">
        <v>89.644096374511705</v>
      </c>
      <c r="I136" s="23">
        <f t="shared" si="3"/>
        <v>2.3609464189071161E-3</v>
      </c>
      <c r="J136" s="35"/>
      <c r="K136" s="23" t="e">
        <f t="shared" si="4"/>
        <v>#DIV/0!</v>
      </c>
      <c r="L136" s="36">
        <v>158.49400329589801</v>
      </c>
      <c r="M136" s="23">
        <f t="shared" si="5"/>
        <v>7.7526578372917546E-3</v>
      </c>
      <c r="N136" s="24">
        <v>99.805000305175781</v>
      </c>
      <c r="O136" s="23">
        <f t="shared" si="6"/>
        <v>2.0343553841302466E-4</v>
      </c>
      <c r="P136" s="36">
        <v>18.256999969482401</v>
      </c>
      <c r="Q136" s="23">
        <f t="shared" si="7"/>
        <v>-3.3902194706843911E-3</v>
      </c>
      <c r="R136" s="24">
        <v>53.820972442626953</v>
      </c>
      <c r="S136" s="23">
        <f t="shared" si="8"/>
        <v>5.609571091556396E-3</v>
      </c>
      <c r="T136" s="24">
        <v>89.644096374511719</v>
      </c>
      <c r="U136" s="23">
        <f t="shared" si="9"/>
        <v>2.3609464189066729E-3</v>
      </c>
    </row>
    <row r="137" spans="1:21">
      <c r="A137" s="13">
        <v>45643</v>
      </c>
      <c r="B137" s="35">
        <v>703.605712890625</v>
      </c>
      <c r="C137" s="23">
        <f t="shared" si="0"/>
        <v>-6.5332451094169859E-3</v>
      </c>
      <c r="D137" s="24">
        <v>130.31840515136719</v>
      </c>
      <c r="E137" s="23">
        <f t="shared" si="1"/>
        <v>-2.6453914307818468E-3</v>
      </c>
      <c r="F137" s="24">
        <v>418.04229736328125</v>
      </c>
      <c r="G137" s="23">
        <f t="shared" si="2"/>
        <v>-9.1835897149913637E-3</v>
      </c>
      <c r="H137" s="36">
        <v>89.138900756835895</v>
      </c>
      <c r="I137" s="23">
        <f t="shared" si="3"/>
        <v>-5.6515101595265354E-3</v>
      </c>
      <c r="J137" s="35"/>
      <c r="K137" s="23" t="e">
        <f t="shared" si="4"/>
        <v>#DIV/0!</v>
      </c>
      <c r="L137" s="36">
        <v>157.26100158691401</v>
      </c>
      <c r="M137" s="23">
        <f t="shared" si="5"/>
        <v>-7.8099029761222192E-3</v>
      </c>
      <c r="N137" s="24">
        <v>98.875999450683594</v>
      </c>
      <c r="O137" s="23">
        <f t="shared" si="6"/>
        <v>-9.3517510594761412E-3</v>
      </c>
      <c r="P137" s="36">
        <v>17.965000152587798</v>
      </c>
      <c r="Q137" s="23">
        <f t="shared" si="7"/>
        <v>-1.6123137400719849E-2</v>
      </c>
      <c r="R137" s="24">
        <v>53.346317291259766</v>
      </c>
      <c r="S137" s="23">
        <f t="shared" si="8"/>
        <v>-8.8582674125187652E-3</v>
      </c>
      <c r="T137" s="24">
        <v>89.138900756835938</v>
      </c>
      <c r="U137" s="23">
        <f t="shared" si="9"/>
        <v>-5.6515101595261998E-3</v>
      </c>
    </row>
    <row r="138" spans="1:21">
      <c r="A138" s="13">
        <v>45644</v>
      </c>
      <c r="B138" s="35">
        <v>701.09368896484295</v>
      </c>
      <c r="C138" s="23">
        <f t="shared" si="0"/>
        <v>-3.5766037919581031E-3</v>
      </c>
      <c r="D138" s="24">
        <v>130.08430480957031</v>
      </c>
      <c r="E138" s="23">
        <f t="shared" si="1"/>
        <v>-1.7979874702365234E-3</v>
      </c>
      <c r="F138" s="24">
        <v>415.66220092773438</v>
      </c>
      <c r="G138" s="23">
        <f t="shared" si="2"/>
        <v>-5.7097038734789151E-3</v>
      </c>
      <c r="H138" s="36">
        <v>88.162399291992102</v>
      </c>
      <c r="I138" s="23">
        <f t="shared" si="3"/>
        <v>-1.1015275559860722E-2</v>
      </c>
      <c r="J138" s="35"/>
      <c r="K138" s="23" t="e">
        <f t="shared" si="4"/>
        <v>#DIV/0!</v>
      </c>
      <c r="L138" s="36">
        <v>156.79100036621</v>
      </c>
      <c r="M138" s="23">
        <f t="shared" si="5"/>
        <v>-2.9931448847500936E-3</v>
      </c>
      <c r="N138" s="24">
        <v>98.182701110839844</v>
      </c>
      <c r="O138" s="23">
        <f t="shared" si="6"/>
        <v>-7.036494186039236E-3</v>
      </c>
      <c r="P138" s="36">
        <v>17.885999679565401</v>
      </c>
      <c r="Q138" s="23">
        <f t="shared" si="7"/>
        <v>-4.4071630504943608E-3</v>
      </c>
      <c r="R138" s="24">
        <v>53.031681060791016</v>
      </c>
      <c r="S138" s="23">
        <f t="shared" si="8"/>
        <v>-5.9154553166573132E-3</v>
      </c>
      <c r="T138" s="24">
        <v>88.162399291992188</v>
      </c>
      <c r="U138" s="23">
        <f t="shared" si="9"/>
        <v>-1.1015275559860272E-2</v>
      </c>
    </row>
    <row r="139" spans="1:21">
      <c r="A139" s="13">
        <v>45645</v>
      </c>
      <c r="B139" s="35">
        <v>696.59588623046795</v>
      </c>
      <c r="C139" s="23">
        <f t="shared" si="0"/>
        <v>-6.4360761362972103E-3</v>
      </c>
      <c r="D139" s="24">
        <v>129.5740966796875</v>
      </c>
      <c r="E139" s="23">
        <f t="shared" si="1"/>
        <v>-3.9298461638913847E-3</v>
      </c>
      <c r="F139" s="24">
        <v>414.08938598632813</v>
      </c>
      <c r="G139" s="23">
        <f t="shared" si="2"/>
        <v>-3.7910546962033713E-3</v>
      </c>
      <c r="H139" s="36">
        <v>87.950401306152301</v>
      </c>
      <c r="I139" s="23">
        <f t="shared" si="3"/>
        <v>-2.4075261709315524E-3</v>
      </c>
      <c r="J139" s="35"/>
      <c r="K139" s="23" t="e">
        <f t="shared" si="4"/>
        <v>#DIV/0!</v>
      </c>
      <c r="L139" s="36">
        <v>156.72900390625</v>
      </c>
      <c r="M139" s="23">
        <f t="shared" si="5"/>
        <v>-3.954864756520379E-4</v>
      </c>
      <c r="N139" s="24">
        <v>97.427497863769531</v>
      </c>
      <c r="O139" s="23">
        <f t="shared" si="6"/>
        <v>-7.7215503411795453E-3</v>
      </c>
      <c r="P139" s="36">
        <v>17.624000549316399</v>
      </c>
      <c r="Q139" s="23">
        <f t="shared" si="7"/>
        <v>-1.4756625339905176E-2</v>
      </c>
      <c r="R139" s="24">
        <v>53.001850128173828</v>
      </c>
      <c r="S139" s="23">
        <f t="shared" si="8"/>
        <v>-5.6266980962955786E-4</v>
      </c>
      <c r="T139" s="24">
        <v>87.950401306152344</v>
      </c>
      <c r="U139" s="23">
        <f t="shared" si="9"/>
        <v>-2.4075261709319974E-3</v>
      </c>
    </row>
    <row r="140" spans="1:21">
      <c r="A140" s="13">
        <v>45646</v>
      </c>
      <c r="B140" s="35">
        <v>691.72772216796795</v>
      </c>
      <c r="C140" s="23">
        <f t="shared" si="0"/>
        <v>-7.0130393022159038E-3</v>
      </c>
      <c r="D140" s="24">
        <v>125.62789916992188</v>
      </c>
      <c r="E140" s="23">
        <f t="shared" si="1"/>
        <v>-3.0928536125961539E-2</v>
      </c>
      <c r="F140" s="24">
        <v>407.03158569335938</v>
      </c>
      <c r="G140" s="23">
        <f t="shared" si="2"/>
        <v>-1.719107014244883E-2</v>
      </c>
      <c r="H140" s="36">
        <v>86.882400512695298</v>
      </c>
      <c r="I140" s="23">
        <f t="shared" si="3"/>
        <v>-1.2217548048394167E-2</v>
      </c>
      <c r="J140" s="35"/>
      <c r="K140" s="23" t="e">
        <f t="shared" si="4"/>
        <v>#DIV/0!</v>
      </c>
      <c r="L140" s="36">
        <v>153.57899475097599</v>
      </c>
      <c r="M140" s="23">
        <f t="shared" si="5"/>
        <v>-2.0303165731097986E-2</v>
      </c>
      <c r="N140" s="24">
        <v>95.841499328613281</v>
      </c>
      <c r="O140" s="23">
        <f t="shared" si="6"/>
        <v>-1.641271140924478E-2</v>
      </c>
      <c r="P140" s="36">
        <v>17.396999359130799</v>
      </c>
      <c r="Q140" s="23">
        <f t="shared" si="7"/>
        <v>-1.2963899944199893E-2</v>
      </c>
      <c r="R140" s="24">
        <v>51.950363159179688</v>
      </c>
      <c r="S140" s="23">
        <f t="shared" si="8"/>
        <v>-2.0038112948734671E-2</v>
      </c>
      <c r="T140" s="24">
        <v>86.882400512695313</v>
      </c>
      <c r="U140" s="23">
        <f t="shared" si="9"/>
        <v>-1.2217548048394504E-2</v>
      </c>
    </row>
    <row r="141" spans="1:21">
      <c r="A141" s="13">
        <v>45649</v>
      </c>
      <c r="B141" s="35">
        <v>693.72430419921795</v>
      </c>
      <c r="C141" s="23">
        <f t="shared" si="0"/>
        <v>2.8822122677802336E-3</v>
      </c>
      <c r="D141" s="24">
        <v>125.84459686279297</v>
      </c>
      <c r="E141" s="23">
        <f t="shared" si="1"/>
        <v>1.7234309908742591E-3</v>
      </c>
      <c r="F141" s="24">
        <v>409.060302734375</v>
      </c>
      <c r="G141" s="23">
        <f t="shared" si="2"/>
        <v>4.9717960654387834E-3</v>
      </c>
      <c r="H141" s="36">
        <v>87.434501647949205</v>
      </c>
      <c r="I141" s="23">
        <f t="shared" si="3"/>
        <v>6.3344744488185393E-3</v>
      </c>
      <c r="J141" s="35"/>
      <c r="K141" s="23" t="e">
        <f t="shared" si="4"/>
        <v>#DIV/0!</v>
      </c>
      <c r="L141" s="36">
        <v>153.68400573730401</v>
      </c>
      <c r="M141" s="23">
        <f t="shared" si="5"/>
        <v>6.8352512505337026E-4</v>
      </c>
      <c r="N141" s="24">
        <v>96.169403076171875</v>
      </c>
      <c r="O141" s="23">
        <f t="shared" si="6"/>
        <v>3.4154734154580799E-3</v>
      </c>
      <c r="P141" s="36">
        <v>17.504999160766602</v>
      </c>
      <c r="Q141" s="23">
        <f t="shared" si="7"/>
        <v>6.1887657396335807E-3</v>
      </c>
      <c r="R141" s="24">
        <v>52.027210235595703</v>
      </c>
      <c r="S141" s="23">
        <f t="shared" si="8"/>
        <v>1.4781474100439571E-3</v>
      </c>
      <c r="T141" s="24">
        <v>87.434501647949219</v>
      </c>
      <c r="U141" s="23">
        <f t="shared" si="9"/>
        <v>6.3344744488185393E-3</v>
      </c>
    </row>
    <row r="142" spans="1:21">
      <c r="A142" s="13">
        <v>45650</v>
      </c>
      <c r="B142" s="35">
        <v>693.96270751953102</v>
      </c>
      <c r="C142" s="23">
        <f t="shared" si="0"/>
        <v>3.4359811779640428E-4</v>
      </c>
      <c r="D142" s="24">
        <v>125.74620056152344</v>
      </c>
      <c r="E142" s="23">
        <f t="shared" si="1"/>
        <v>-7.8219320653746859E-4</v>
      </c>
      <c r="F142" s="24">
        <v>409.10650634765625</v>
      </c>
      <c r="G142" s="23">
        <f t="shared" si="2"/>
        <v>1.1294423781925944E-4</v>
      </c>
      <c r="H142" s="36">
        <v>87.439201354980398</v>
      </c>
      <c r="I142" s="23">
        <f t="shared" si="3"/>
        <v>5.3749728536834908E-5</v>
      </c>
      <c r="J142" s="35"/>
      <c r="K142" s="23" t="e">
        <f t="shared" si="4"/>
        <v>#DIV/0!</v>
      </c>
      <c r="L142" s="36">
        <v>153.940994262695</v>
      </c>
      <c r="M142" s="23">
        <f t="shared" si="5"/>
        <v>1.670791289224759E-3</v>
      </c>
      <c r="N142" s="24">
        <v>96.146697998046875</v>
      </c>
      <c r="O142" s="23">
        <f t="shared" si="6"/>
        <v>-2.3612248900289245E-4</v>
      </c>
      <c r="P142" s="36">
        <v>17.488000869750898</v>
      </c>
      <c r="Q142" s="23">
        <f t="shared" si="7"/>
        <v>-9.7152529579526902E-4</v>
      </c>
      <c r="R142" s="24">
        <v>52.125759124755859</v>
      </c>
      <c r="S142" s="23">
        <f t="shared" si="8"/>
        <v>1.8923880744851794E-3</v>
      </c>
      <c r="T142" s="24">
        <v>87.439201354980469</v>
      </c>
      <c r="U142" s="23">
        <f t="shared" si="9"/>
        <v>5.3749728537501001E-5</v>
      </c>
    </row>
    <row r="143" spans="1:21">
      <c r="A143" s="13">
        <v>45652</v>
      </c>
      <c r="B143" s="35">
        <v>694.25830078125</v>
      </c>
      <c r="C143" s="23">
        <f t="shared" si="0"/>
        <v>4.2585908788125094E-4</v>
      </c>
      <c r="D143" s="24">
        <v>126.68679809570313</v>
      </c>
      <c r="E143" s="23">
        <f t="shared" si="1"/>
        <v>7.4522894575026191E-3</v>
      </c>
      <c r="F143" s="24">
        <v>408.93148803710938</v>
      </c>
      <c r="G143" s="23">
        <f t="shared" si="2"/>
        <v>-4.2789776127442311E-4</v>
      </c>
      <c r="H143" s="36">
        <v>87.615196228027301</v>
      </c>
      <c r="I143" s="23">
        <f t="shared" si="3"/>
        <v>2.0107456284894991E-3</v>
      </c>
      <c r="J143" s="35"/>
      <c r="K143" s="23" t="e">
        <f t="shared" si="4"/>
        <v>#DIV/0!</v>
      </c>
      <c r="L143" s="36">
        <v>154.065994262695</v>
      </c>
      <c r="M143" s="23">
        <f t="shared" si="5"/>
        <v>8.1166993944537544E-4</v>
      </c>
      <c r="N143" s="24">
        <v>96.190101623535156</v>
      </c>
      <c r="O143" s="23">
        <f t="shared" si="6"/>
        <v>4.5132940041063427E-4</v>
      </c>
      <c r="P143" s="36">
        <v>17.5090007781982</v>
      </c>
      <c r="Q143" s="23">
        <f t="shared" si="7"/>
        <v>1.2000977214532214E-3</v>
      </c>
      <c r="R143" s="24">
        <v>52.217983245849609</v>
      </c>
      <c r="S143" s="23">
        <f t="shared" si="8"/>
        <v>1.7676986278876248E-3</v>
      </c>
      <c r="T143" s="24">
        <v>87.615196228027344</v>
      </c>
      <c r="U143" s="23">
        <f t="shared" si="9"/>
        <v>2.0107456284890559E-3</v>
      </c>
    </row>
    <row r="144" spans="1:21">
      <c r="A144" s="13">
        <v>45653</v>
      </c>
      <c r="B144" s="35">
        <v>695.034423828125</v>
      </c>
      <c r="C144" s="23">
        <f t="shared" si="0"/>
        <v>1.1172924378945756E-3</v>
      </c>
      <c r="D144" s="24">
        <v>126.76399993896484</v>
      </c>
      <c r="E144" s="23">
        <f t="shared" si="1"/>
        <v>6.0920578075152531E-4</v>
      </c>
      <c r="F144" s="24">
        <v>408.79379272460938</v>
      </c>
      <c r="G144" s="23">
        <f t="shared" si="2"/>
        <v>-3.367764628071104E-4</v>
      </c>
      <c r="H144" s="36">
        <v>87.601501464843693</v>
      </c>
      <c r="I144" s="23">
        <f t="shared" si="3"/>
        <v>-1.5631801525558468E-4</v>
      </c>
      <c r="J144" s="35"/>
      <c r="K144" s="23" t="e">
        <f t="shared" si="4"/>
        <v>#DIV/0!</v>
      </c>
      <c r="L144" s="36">
        <v>154.17799377441401</v>
      </c>
      <c r="M144" s="23">
        <f t="shared" si="5"/>
        <v>7.2669392425781789E-4</v>
      </c>
      <c r="N144" s="24">
        <v>96.181900024414063</v>
      </c>
      <c r="O144" s="23">
        <f t="shared" si="6"/>
        <v>-8.5268116522164622E-5</v>
      </c>
      <c r="P144" s="36">
        <v>17.504999160766602</v>
      </c>
      <c r="Q144" s="23">
        <f t="shared" si="7"/>
        <v>-2.2857242565806909E-4</v>
      </c>
      <c r="R144" s="24">
        <v>52.204421997070313</v>
      </c>
      <c r="S144" s="23">
        <f t="shared" si="8"/>
        <v>-2.5973829704436445E-4</v>
      </c>
      <c r="T144" s="24">
        <v>87.60150146484375</v>
      </c>
      <c r="U144" s="23">
        <f t="shared" si="9"/>
        <v>-1.5631801525547366E-4</v>
      </c>
    </row>
    <row r="145" spans="1:21">
      <c r="A145" s="13">
        <v>45656</v>
      </c>
      <c r="B145" s="35">
        <v>692.04577636718705</v>
      </c>
      <c r="C145" s="23">
        <f t="shared" si="0"/>
        <v>-4.3092707767026601E-3</v>
      </c>
      <c r="D145" s="24">
        <v>128.54150390625</v>
      </c>
      <c r="E145" s="23">
        <f t="shared" si="1"/>
        <v>1.3924750244119315E-2</v>
      </c>
      <c r="F145" s="24">
        <v>406.99758911132813</v>
      </c>
      <c r="G145" s="23">
        <f t="shared" si="2"/>
        <v>-4.4035927711016248E-3</v>
      </c>
      <c r="H145" s="36">
        <v>87.960403442382798</v>
      </c>
      <c r="I145" s="23">
        <f t="shared" si="3"/>
        <v>4.0886145283291313E-3</v>
      </c>
      <c r="J145" s="35"/>
      <c r="K145" s="23" t="e">
        <f t="shared" si="4"/>
        <v>#DIV/0!</v>
      </c>
      <c r="L145" s="36">
        <v>154.238998413085</v>
      </c>
      <c r="M145" s="23">
        <f t="shared" si="5"/>
        <v>3.9559843336720761E-4</v>
      </c>
      <c r="N145" s="24">
        <v>95.677696228027344</v>
      </c>
      <c r="O145" s="23">
        <f t="shared" si="6"/>
        <v>-5.2559785068551444E-3</v>
      </c>
      <c r="P145" s="36">
        <v>17.455999374389599</v>
      </c>
      <c r="Q145" s="23">
        <f t="shared" si="7"/>
        <v>-2.8031132126931659E-3</v>
      </c>
      <c r="R145" s="24">
        <v>52.49554443359375</v>
      </c>
      <c r="S145" s="23">
        <f t="shared" si="8"/>
        <v>5.5610941763055569E-3</v>
      </c>
      <c r="T145" s="24">
        <v>87.960403442382813</v>
      </c>
      <c r="U145" s="23">
        <f t="shared" si="9"/>
        <v>4.0886145283286898E-3</v>
      </c>
    </row>
    <row r="146" spans="1:21">
      <c r="A146" s="13">
        <v>45657</v>
      </c>
      <c r="B146" s="35">
        <v>691.89782714843705</v>
      </c>
      <c r="C146" s="23">
        <f t="shared" si="0"/>
        <v>-2.1380816232368063E-4</v>
      </c>
      <c r="D146" s="24">
        <v>128.27070617675781</v>
      </c>
      <c r="E146" s="23">
        <f t="shared" si="1"/>
        <v>-2.1089170936986422E-3</v>
      </c>
      <c r="F146" s="24">
        <v>408.57119750976563</v>
      </c>
      <c r="G146" s="23">
        <f t="shared" si="2"/>
        <v>3.8589273572261543E-3</v>
      </c>
      <c r="H146" s="36">
        <v>87.672996520996094</v>
      </c>
      <c r="I146" s="23">
        <f t="shared" si="3"/>
        <v>-3.2728077687694717E-3</v>
      </c>
      <c r="J146" s="35"/>
      <c r="K146" s="23" t="e">
        <f t="shared" si="4"/>
        <v>#DIV/0!</v>
      </c>
      <c r="L146" s="36">
        <v>154.38000488281199</v>
      </c>
      <c r="M146" s="23">
        <f t="shared" si="5"/>
        <v>9.1379000018115939E-4</v>
      </c>
      <c r="N146" s="24">
        <v>95.693199157714844</v>
      </c>
      <c r="O146" s="23">
        <f t="shared" si="6"/>
        <v>1.6201972290681916E-4</v>
      </c>
      <c r="P146" s="36">
        <v>17.4340000152587</v>
      </c>
      <c r="Q146" s="23">
        <f t="shared" si="7"/>
        <v>-1.2610697868275604E-3</v>
      </c>
      <c r="R146" s="24">
        <v>52.5389404296875</v>
      </c>
      <c r="S146" s="23">
        <f t="shared" si="8"/>
        <v>8.2631906310545972E-4</v>
      </c>
      <c r="T146" s="24">
        <v>87.672996520996094</v>
      </c>
      <c r="U146" s="23">
        <f t="shared" si="9"/>
        <v>-3.2728077687695831E-3</v>
      </c>
    </row>
    <row r="147" spans="1:21">
      <c r="A147" s="12">
        <v>45658</v>
      </c>
      <c r="B147" s="35">
        <v>694.52569580078102</v>
      </c>
      <c r="C147" s="23">
        <f t="shared" si="0"/>
        <v>3.790864416046313E-3</v>
      </c>
      <c r="D147" s="24">
        <v>128.57809448242188</v>
      </c>
      <c r="E147" s="23">
        <f t="shared" si="1"/>
        <v>2.3935362098469145E-3</v>
      </c>
      <c r="F147" s="24">
        <v>409.9075927734375</v>
      </c>
      <c r="G147" s="23">
        <f t="shared" si="2"/>
        <v>3.2655615933730848E-3</v>
      </c>
      <c r="H147" s="36">
        <v>87.945602416992102</v>
      </c>
      <c r="I147" s="23">
        <f t="shared" si="3"/>
        <v>3.1045244250221451E-3</v>
      </c>
      <c r="J147" s="35"/>
      <c r="K147" s="23" t="e">
        <f t="shared" si="4"/>
        <v>#DIV/0!</v>
      </c>
      <c r="L147" s="36">
        <v>155.09800720214801</v>
      </c>
      <c r="M147" s="23">
        <f t="shared" si="5"/>
        <v>4.6400944787172308E-3</v>
      </c>
      <c r="N147" s="24">
        <v>96.111297607421875</v>
      </c>
      <c r="O147" s="23">
        <f t="shared" si="6"/>
        <v>4.3596382667980792E-3</v>
      </c>
      <c r="P147" s="36">
        <v>17.511999130248999</v>
      </c>
      <c r="Q147" s="23">
        <f t="shared" si="7"/>
        <v>4.4639870899491479E-3</v>
      </c>
      <c r="R147" s="24">
        <v>52.542560577392578</v>
      </c>
      <c r="S147" s="23">
        <f t="shared" si="8"/>
        <v>6.8901712895499614E-5</v>
      </c>
      <c r="T147" s="24">
        <v>87.945602416992188</v>
      </c>
      <c r="U147" s="23">
        <f t="shared" si="9"/>
        <v>3.1045244250230302E-3</v>
      </c>
    </row>
    <row r="148" spans="1:21">
      <c r="A148" s="12">
        <v>45659</v>
      </c>
      <c r="B148" s="35">
        <v>702.66632080078102</v>
      </c>
      <c r="C148" s="23">
        <f t="shared" si="0"/>
        <v>1.1652968270862056E-2</v>
      </c>
      <c r="D148" s="24">
        <v>129.99459838867188</v>
      </c>
      <c r="E148" s="23">
        <f t="shared" si="1"/>
        <v>1.0956439836517833E-2</v>
      </c>
      <c r="F148" s="24">
        <v>414.16690063476563</v>
      </c>
      <c r="G148" s="23">
        <f t="shared" si="2"/>
        <v>1.0337283399170082E-2</v>
      </c>
      <c r="H148" s="36">
        <v>89.010597229003906</v>
      </c>
      <c r="I148" s="23">
        <f t="shared" si="3"/>
        <v>1.2036963643008793E-2</v>
      </c>
      <c r="J148" s="35"/>
      <c r="K148" s="23" t="e">
        <f t="shared" si="4"/>
        <v>#DIV/0!</v>
      </c>
      <c r="L148" s="36">
        <v>156.56500244140599</v>
      </c>
      <c r="M148" s="23">
        <f t="shared" si="5"/>
        <v>9.414053180178128E-3</v>
      </c>
      <c r="N148" s="24">
        <v>97.568099975585938</v>
      </c>
      <c r="O148" s="23">
        <f t="shared" si="6"/>
        <v>1.5043725463478536E-2</v>
      </c>
      <c r="P148" s="36">
        <v>17.764999389648398</v>
      </c>
      <c r="Q148" s="23">
        <f t="shared" si="7"/>
        <v>1.4343884561458173E-2</v>
      </c>
      <c r="R148" s="24">
        <v>53.075984954833984</v>
      </c>
      <c r="S148" s="23">
        <f t="shared" si="8"/>
        <v>1.010104636902579E-2</v>
      </c>
      <c r="T148" s="24">
        <v>89.010597229003906</v>
      </c>
      <c r="U148" s="23">
        <f t="shared" si="9"/>
        <v>1.2036963643007915E-2</v>
      </c>
    </row>
    <row r="149" spans="1:21">
      <c r="A149" s="12">
        <v>45660</v>
      </c>
      <c r="B149" s="35">
        <v>703.57110595703102</v>
      </c>
      <c r="C149" s="23">
        <f t="shared" si="0"/>
        <v>1.2868172385209293E-3</v>
      </c>
      <c r="D149" s="24">
        <v>129.1343994140625</v>
      </c>
      <c r="E149" s="23">
        <f t="shared" si="1"/>
        <v>-6.6391808065250297E-3</v>
      </c>
      <c r="F149" s="24">
        <v>412.96820068359375</v>
      </c>
      <c r="G149" s="23">
        <f t="shared" si="2"/>
        <v>-2.8984401422368811E-3</v>
      </c>
      <c r="H149" s="36">
        <v>88.499000549316406</v>
      </c>
      <c r="I149" s="23">
        <f t="shared" si="3"/>
        <v>-5.7641739106277122E-3</v>
      </c>
      <c r="J149" s="35"/>
      <c r="K149" s="23" t="e">
        <f t="shared" si="4"/>
        <v>#DIV/0!</v>
      </c>
      <c r="L149" s="36">
        <v>156.08500671386699</v>
      </c>
      <c r="M149" s="23">
        <f t="shared" si="5"/>
        <v>-3.070501139287001E-3</v>
      </c>
      <c r="N149" s="24">
        <v>97.167098999023438</v>
      </c>
      <c r="O149" s="23">
        <f t="shared" si="6"/>
        <v>-4.1184289791530871E-3</v>
      </c>
      <c r="P149" s="36">
        <v>17.6909999847412</v>
      </c>
      <c r="Q149" s="23">
        <f t="shared" si="7"/>
        <v>-4.1741602920590476E-3</v>
      </c>
      <c r="R149" s="24">
        <v>53.003654479980469</v>
      </c>
      <c r="S149" s="23">
        <f t="shared" si="8"/>
        <v>-1.3637015820980342E-3</v>
      </c>
      <c r="T149" s="24">
        <v>88.499000549316406</v>
      </c>
      <c r="U149" s="23">
        <f t="shared" si="9"/>
        <v>-5.7641739106277122E-3</v>
      </c>
    </row>
    <row r="150" spans="1:21">
      <c r="A150" s="12">
        <v>45663</v>
      </c>
      <c r="B150" s="35">
        <v>698.61407470703102</v>
      </c>
      <c r="C150" s="23">
        <f t="shared" si="0"/>
        <v>-7.0704668243908742E-3</v>
      </c>
      <c r="D150" s="24">
        <v>126.03769683837891</v>
      </c>
      <c r="E150" s="23">
        <f t="shared" si="1"/>
        <v>-2.4272674466760773E-2</v>
      </c>
      <c r="F150" s="24">
        <v>405.61349487304688</v>
      </c>
      <c r="G150" s="23">
        <f t="shared" si="2"/>
        <v>-1.7969870966447782E-2</v>
      </c>
      <c r="H150" s="36">
        <v>87.346496582031193</v>
      </c>
      <c r="I150" s="23">
        <f t="shared" si="3"/>
        <v>-1.3108330765087509E-2</v>
      </c>
      <c r="J150" s="35"/>
      <c r="K150" s="23" t="e">
        <f t="shared" si="4"/>
        <v>#DIV/0!</v>
      </c>
      <c r="L150" s="36">
        <v>152.899002075195</v>
      </c>
      <c r="M150" s="23">
        <f t="shared" si="5"/>
        <v>-2.062318740625544E-2</v>
      </c>
      <c r="N150" s="24">
        <v>95.32659912109375</v>
      </c>
      <c r="O150" s="23">
        <f t="shared" si="6"/>
        <v>-1.9123285435350933E-2</v>
      </c>
      <c r="P150" s="36">
        <v>17.3680000305175</v>
      </c>
      <c r="Q150" s="23">
        <f t="shared" si="7"/>
        <v>-1.8426600490857616E-2</v>
      </c>
      <c r="R150" s="24">
        <v>51.814746856689453</v>
      </c>
      <c r="S150" s="23">
        <f t="shared" si="8"/>
        <v>-2.2686066524996544E-2</v>
      </c>
      <c r="T150" s="24">
        <v>87.34649658203125</v>
      </c>
      <c r="U150" s="23">
        <f t="shared" si="9"/>
        <v>-1.3108330765086834E-2</v>
      </c>
    </row>
    <row r="151" spans="1:21">
      <c r="A151" s="12">
        <v>45664</v>
      </c>
      <c r="B151" s="35">
        <v>701.101806640625</v>
      </c>
      <c r="C151" s="23">
        <f t="shared" si="0"/>
        <v>3.5546278872698369E-3</v>
      </c>
      <c r="D151" s="24">
        <v>126.38400268554688</v>
      </c>
      <c r="E151" s="23">
        <f t="shared" si="1"/>
        <v>2.7438692085023238E-3</v>
      </c>
      <c r="F151" s="24">
        <v>407.11041259765625</v>
      </c>
      <c r="G151" s="23">
        <f t="shared" si="2"/>
        <v>3.6837095687183813E-3</v>
      </c>
      <c r="H151" s="36">
        <v>87.293899536132798</v>
      </c>
      <c r="I151" s="23">
        <f t="shared" si="3"/>
        <v>-6.0234686427401685E-4</v>
      </c>
      <c r="J151" s="35"/>
      <c r="K151" s="23" t="e">
        <f t="shared" si="4"/>
        <v>#DIV/0!</v>
      </c>
      <c r="L151" s="36">
        <v>154.27799987792901</v>
      </c>
      <c r="M151" s="23">
        <f t="shared" si="5"/>
        <v>8.9785827580829026E-3</v>
      </c>
      <c r="N151" s="24">
        <v>95.743598937988281</v>
      </c>
      <c r="O151" s="23">
        <f t="shared" si="6"/>
        <v>4.3648929367015865E-3</v>
      </c>
      <c r="P151" s="36">
        <v>17.4500007629394</v>
      </c>
      <c r="Q151" s="23">
        <f t="shared" si="7"/>
        <v>4.7102580367891873E-3</v>
      </c>
      <c r="R151" s="24">
        <v>52.041679382324219</v>
      </c>
      <c r="S151" s="23">
        <f t="shared" si="8"/>
        <v>4.3701270112202709E-3</v>
      </c>
      <c r="T151" s="24">
        <v>87.293899536132813</v>
      </c>
      <c r="U151" s="23">
        <f t="shared" si="9"/>
        <v>-6.0234686427446127E-4</v>
      </c>
    </row>
    <row r="152" spans="1:21">
      <c r="A152" s="12">
        <v>45665</v>
      </c>
      <c r="B152" s="35">
        <v>700.9873046875</v>
      </c>
      <c r="C152" s="23">
        <f t="shared" si="0"/>
        <v>-1.6333049369608043E-4</v>
      </c>
      <c r="D152" s="24">
        <v>124.37210083007813</v>
      </c>
      <c r="E152" s="23">
        <f t="shared" si="1"/>
        <v>-1.6047027373010926E-2</v>
      </c>
      <c r="F152" s="24">
        <v>406.25830078125</v>
      </c>
      <c r="G152" s="23">
        <f t="shared" si="2"/>
        <v>-2.0952665479530338E-3</v>
      </c>
      <c r="H152" s="36">
        <v>87.342201232910099</v>
      </c>
      <c r="I152" s="23">
        <f t="shared" si="3"/>
        <v>5.5316968022384161E-4</v>
      </c>
      <c r="J152" s="35"/>
      <c r="K152" s="23" t="e">
        <f t="shared" si="4"/>
        <v>#DIV/0!</v>
      </c>
      <c r="L152" s="36">
        <v>152.53700256347599</v>
      </c>
      <c r="M152" s="23">
        <f t="shared" si="5"/>
        <v>-1.1348962645971163E-2</v>
      </c>
      <c r="N152" s="24">
        <v>95.413803100585938</v>
      </c>
      <c r="O152" s="23">
        <f t="shared" si="6"/>
        <v>-3.4505194263989951E-3</v>
      </c>
      <c r="P152" s="36">
        <v>17.363000869750898</v>
      </c>
      <c r="Q152" s="23">
        <f t="shared" si="7"/>
        <v>-4.9981369156895912E-3</v>
      </c>
      <c r="R152" s="24">
        <v>51.502826690673828</v>
      </c>
      <c r="S152" s="23">
        <f t="shared" si="8"/>
        <v>-1.0408230752702721E-2</v>
      </c>
      <c r="T152" s="24">
        <v>87.342201232910156</v>
      </c>
      <c r="U152" s="23">
        <f t="shared" si="9"/>
        <v>5.5316968022450742E-4</v>
      </c>
    </row>
    <row r="153" spans="1:21">
      <c r="A153" s="12">
        <v>45666</v>
      </c>
      <c r="B153" s="35">
        <v>699.12640380859295</v>
      </c>
      <c r="C153" s="23">
        <f t="shared" si="0"/>
        <v>-2.6582154912020645E-3</v>
      </c>
      <c r="D153" s="24">
        <v>122.49169921875</v>
      </c>
      <c r="E153" s="23">
        <f t="shared" si="1"/>
        <v>-1.5234619088880024E-2</v>
      </c>
      <c r="F153" s="24">
        <v>403.10519409179688</v>
      </c>
      <c r="G153" s="23">
        <f t="shared" si="2"/>
        <v>-7.7916107195147707E-3</v>
      </c>
      <c r="H153" s="36">
        <v>86.990699768066406</v>
      </c>
      <c r="I153" s="23">
        <f t="shared" si="3"/>
        <v>-4.032537050086436E-3</v>
      </c>
      <c r="J153" s="35"/>
      <c r="K153" s="23" t="e">
        <f t="shared" si="4"/>
        <v>#DIV/0!</v>
      </c>
      <c r="L153" s="36">
        <v>151.39700317382801</v>
      </c>
      <c r="M153" s="23">
        <f t="shared" si="5"/>
        <v>-7.5016596645043482E-3</v>
      </c>
      <c r="N153" s="24">
        <v>94.581001281738281</v>
      </c>
      <c r="O153" s="23">
        <f t="shared" si="6"/>
        <v>-8.7666308056659412E-3</v>
      </c>
      <c r="P153" s="36">
        <v>17.270999908447202</v>
      </c>
      <c r="Q153" s="23">
        <f t="shared" si="7"/>
        <v>-5.3127663933743036E-3</v>
      </c>
      <c r="R153" s="24">
        <v>51.161075592041016</v>
      </c>
      <c r="S153" s="23">
        <f t="shared" si="8"/>
        <v>-6.6576927892391946E-3</v>
      </c>
      <c r="T153" s="24">
        <v>86.990699768066406</v>
      </c>
      <c r="U153" s="23">
        <f t="shared" si="9"/>
        <v>-4.0325370500871047E-3</v>
      </c>
    </row>
    <row r="154" spans="1:21">
      <c r="A154" s="13">
        <v>45667</v>
      </c>
      <c r="B154" s="35">
        <v>696.70251464843705</v>
      </c>
      <c r="C154" s="23">
        <f t="shared" si="0"/>
        <v>-3.4730496904483489E-3</v>
      </c>
      <c r="D154" s="24">
        <v>120.40560150146484</v>
      </c>
      <c r="E154" s="23">
        <f t="shared" si="1"/>
        <v>-1.7177210318223543E-2</v>
      </c>
      <c r="F154" s="24">
        <v>398.93539428710938</v>
      </c>
      <c r="G154" s="23">
        <f t="shared" si="2"/>
        <v>-1.0398070708367825E-2</v>
      </c>
      <c r="H154" s="36">
        <v>86.277702331542898</v>
      </c>
      <c r="I154" s="23">
        <f t="shared" si="3"/>
        <v>-8.230022928013888E-3</v>
      </c>
      <c r="J154" s="35"/>
      <c r="K154" s="23" t="e">
        <f t="shared" si="4"/>
        <v>#DIV/0!</v>
      </c>
      <c r="L154" s="36">
        <v>149.093994140625</v>
      </c>
      <c r="M154" s="23">
        <f t="shared" si="5"/>
        <v>-1.5328606498774613E-2</v>
      </c>
      <c r="N154" s="24">
        <v>93.727096557617188</v>
      </c>
      <c r="O154" s="23">
        <f t="shared" si="6"/>
        <v>-9.0692921532608238E-3</v>
      </c>
      <c r="P154" s="36">
        <v>17.096000671386701</v>
      </c>
      <c r="Q154" s="23">
        <f t="shared" si="7"/>
        <v>-1.0184231772414768E-2</v>
      </c>
      <c r="R154" s="24">
        <v>50.391670227050781</v>
      </c>
      <c r="S154" s="23">
        <f t="shared" si="8"/>
        <v>-1.515311242636562E-2</v>
      </c>
      <c r="T154" s="24">
        <v>86.277702331542969</v>
      </c>
      <c r="U154" s="23">
        <f t="shared" si="9"/>
        <v>-8.2300229280131039E-3</v>
      </c>
    </row>
    <row r="155" spans="1:21">
      <c r="A155" s="13">
        <v>45670</v>
      </c>
      <c r="B155" s="35">
        <v>689.85339355468705</v>
      </c>
      <c r="C155" s="23">
        <f t="shared" si="0"/>
        <v>-9.8794094935263886E-3</v>
      </c>
      <c r="D155" s="24">
        <v>114.41819763183594</v>
      </c>
      <c r="E155" s="23">
        <f t="shared" si="1"/>
        <v>-5.1005919387323982E-2</v>
      </c>
      <c r="F155" s="24">
        <v>391.46951293945313</v>
      </c>
      <c r="G155" s="23">
        <f t="shared" si="2"/>
        <v>-1.8891844741718553E-2</v>
      </c>
      <c r="H155" s="36">
        <v>85.094398498535099</v>
      </c>
      <c r="I155" s="23">
        <f t="shared" si="3"/>
        <v>-1.3809979960792244E-2</v>
      </c>
      <c r="J155" s="35"/>
      <c r="K155" s="23" t="e">
        <f t="shared" si="4"/>
        <v>#DIV/0!</v>
      </c>
      <c r="L155" s="36">
        <v>142.86799621582</v>
      </c>
      <c r="M155" s="23">
        <f t="shared" si="5"/>
        <v>-4.2655839660697012E-2</v>
      </c>
      <c r="N155" s="24">
        <v>91.9219970703125</v>
      </c>
      <c r="O155" s="23">
        <f t="shared" si="6"/>
        <v>-1.9446972135345575E-2</v>
      </c>
      <c r="P155" s="36">
        <v>16.812999725341701</v>
      </c>
      <c r="Q155" s="23">
        <f t="shared" si="7"/>
        <v>-1.6692176927688488E-2</v>
      </c>
      <c r="R155" s="24">
        <v>48.678375244140625</v>
      </c>
      <c r="S155" s="23">
        <f t="shared" si="8"/>
        <v>-3.4590996833254173E-2</v>
      </c>
      <c r="T155" s="24">
        <v>85.094398498535156</v>
      </c>
      <c r="U155" s="23">
        <f t="shared" si="9"/>
        <v>-1.3809979960792357E-2</v>
      </c>
    </row>
    <row r="156" spans="1:21">
      <c r="A156" s="13">
        <v>45671</v>
      </c>
      <c r="B156" s="35">
        <v>693.36212158203102</v>
      </c>
      <c r="C156" s="23">
        <f t="shared" si="0"/>
        <v>5.073302771257701E-3</v>
      </c>
      <c r="D156" s="24">
        <v>115.69850158691406</v>
      </c>
      <c r="E156" s="23">
        <f t="shared" si="1"/>
        <v>1.1127546764277402E-2</v>
      </c>
      <c r="F156" s="24">
        <v>395.59039306640625</v>
      </c>
      <c r="G156" s="23">
        <f t="shared" si="2"/>
        <v>1.0471675032697442E-2</v>
      </c>
      <c r="H156" s="36">
        <v>85.378402709960895</v>
      </c>
      <c r="I156" s="23">
        <f t="shared" si="3"/>
        <v>3.3319623090956735E-3</v>
      </c>
      <c r="J156" s="35"/>
      <c r="K156" s="23" t="e">
        <f t="shared" si="4"/>
        <v>#DIV/0!</v>
      </c>
      <c r="L156" s="36">
        <v>144.43800354003901</v>
      </c>
      <c r="M156" s="23">
        <f t="shared" si="5"/>
        <v>1.0929273690830242E-2</v>
      </c>
      <c r="N156" s="24">
        <v>92.595100402832031</v>
      </c>
      <c r="O156" s="23">
        <f t="shared" si="6"/>
        <v>7.2958693529498438E-3</v>
      </c>
      <c r="P156" s="36">
        <v>16.9300003051757</v>
      </c>
      <c r="Q156" s="23">
        <f t="shared" si="7"/>
        <v>6.9348338100553792E-3</v>
      </c>
      <c r="R156" s="24">
        <v>49.329338073730469</v>
      </c>
      <c r="S156" s="23">
        <f t="shared" si="8"/>
        <v>1.3284105512459548E-2</v>
      </c>
      <c r="T156" s="24">
        <v>85.378402709960938</v>
      </c>
      <c r="U156" s="23">
        <f t="shared" si="9"/>
        <v>3.3319623090954523E-3</v>
      </c>
    </row>
    <row r="157" spans="1:21">
      <c r="A157" s="13">
        <v>45672</v>
      </c>
      <c r="B157" s="35">
        <v>695.690185546875</v>
      </c>
      <c r="C157" s="23">
        <f t="shared" si="0"/>
        <v>3.3520208457922113E-3</v>
      </c>
      <c r="D157" s="24">
        <v>115.59210205078125</v>
      </c>
      <c r="E157" s="23">
        <f t="shared" si="1"/>
        <v>-9.2005072376412107E-4</v>
      </c>
      <c r="F157" s="24">
        <v>396.48959350585938</v>
      </c>
      <c r="G157" s="23">
        <f t="shared" si="2"/>
        <v>2.2704798530053917E-3</v>
      </c>
      <c r="H157" s="36">
        <v>86.018798828125</v>
      </c>
      <c r="I157" s="23">
        <f t="shared" si="3"/>
        <v>7.4726902475629698E-3</v>
      </c>
      <c r="J157" s="35"/>
      <c r="K157" s="23" t="e">
        <f t="shared" si="4"/>
        <v>#DIV/0!</v>
      </c>
      <c r="L157" s="36">
        <v>145.05299377441401</v>
      </c>
      <c r="M157" s="23">
        <f t="shared" si="5"/>
        <v>4.248775714858574E-3</v>
      </c>
      <c r="N157" s="24">
        <v>92.946296691894531</v>
      </c>
      <c r="O157" s="23">
        <f t="shared" si="6"/>
        <v>3.785642600307621E-3</v>
      </c>
      <c r="P157" s="36">
        <v>16.982000350952099</v>
      </c>
      <c r="Q157" s="23">
        <f t="shared" si="7"/>
        <v>3.0667660725152892E-3</v>
      </c>
      <c r="R157" s="24">
        <v>49.432407379150391</v>
      </c>
      <c r="S157" s="23">
        <f t="shared" si="8"/>
        <v>2.087232103200744E-3</v>
      </c>
      <c r="T157" s="24">
        <v>86.018798828125</v>
      </c>
      <c r="U157" s="23">
        <f t="shared" si="9"/>
        <v>7.4726902475623089E-3</v>
      </c>
    </row>
    <row r="158" spans="1:21">
      <c r="A158" s="13">
        <v>45673</v>
      </c>
      <c r="B158" s="35">
        <v>699.5537109375</v>
      </c>
      <c r="C158" s="23">
        <f t="shared" si="0"/>
        <v>5.5381503911098107E-3</v>
      </c>
      <c r="D158" s="24">
        <v>115.64289855957031</v>
      </c>
      <c r="E158" s="23">
        <f t="shared" si="1"/>
        <v>4.3934966135821967E-4</v>
      </c>
      <c r="F158" s="24">
        <v>399.54360961914063</v>
      </c>
      <c r="G158" s="23">
        <f t="shared" si="2"/>
        <v>7.6731249036186425E-3</v>
      </c>
      <c r="H158" s="36">
        <v>86.041900634765597</v>
      </c>
      <c r="I158" s="23">
        <f t="shared" si="3"/>
        <v>2.6853089463824029E-4</v>
      </c>
      <c r="J158" s="35"/>
      <c r="K158" s="23" t="e">
        <f t="shared" si="4"/>
        <v>#DIV/0!</v>
      </c>
      <c r="L158" s="36">
        <v>145.90699768066401</v>
      </c>
      <c r="M158" s="23">
        <f t="shared" si="5"/>
        <v>5.8702665915986076E-3</v>
      </c>
      <c r="N158" s="24">
        <v>93.576400756835938</v>
      </c>
      <c r="O158" s="23">
        <f t="shared" si="6"/>
        <v>6.7563515914057697E-3</v>
      </c>
      <c r="P158" s="36">
        <v>17.100000381469702</v>
      </c>
      <c r="Q158" s="23">
        <f t="shared" si="7"/>
        <v>6.9245055734892319E-3</v>
      </c>
      <c r="R158" s="24">
        <v>49.933284759521484</v>
      </c>
      <c r="S158" s="23">
        <f t="shared" si="8"/>
        <v>1.0081580713473686E-2</v>
      </c>
      <c r="T158" s="24">
        <v>86.041900634765625</v>
      </c>
      <c r="U158" s="23">
        <f t="shared" si="9"/>
        <v>2.6853089463846228E-4</v>
      </c>
    </row>
    <row r="159" spans="1:21">
      <c r="A159" s="13">
        <v>45674</v>
      </c>
      <c r="B159" s="35">
        <v>698.4716796875</v>
      </c>
      <c r="C159" s="23">
        <f t="shared" si="0"/>
        <v>-1.5479425099328133E-3</v>
      </c>
      <c r="D159" s="24">
        <v>114.943603515625</v>
      </c>
      <c r="E159" s="23">
        <f t="shared" si="1"/>
        <v>-6.0653783417810034E-3</v>
      </c>
      <c r="F159" s="24">
        <v>399.14401245117188</v>
      </c>
      <c r="G159" s="23">
        <f t="shared" si="2"/>
        <v>-1.0006345165960286E-3</v>
      </c>
      <c r="H159" s="36">
        <v>85.923599243164006</v>
      </c>
      <c r="I159" s="23">
        <f t="shared" si="3"/>
        <v>-1.3758737694234567E-3</v>
      </c>
      <c r="J159" s="35"/>
      <c r="K159" s="23" t="e">
        <f t="shared" si="4"/>
        <v>#DIV/0!</v>
      </c>
      <c r="L159" s="36">
        <v>145.31700134277301</v>
      </c>
      <c r="M159" s="23">
        <f t="shared" si="5"/>
        <v>-4.0518442645874082E-3</v>
      </c>
      <c r="N159" s="24">
        <v>93.415802001953125</v>
      </c>
      <c r="O159" s="23">
        <f t="shared" si="6"/>
        <v>-1.7177057866671424E-3</v>
      </c>
      <c r="P159" s="36">
        <v>17.0429992675781</v>
      </c>
      <c r="Q159" s="23">
        <f t="shared" si="7"/>
        <v>-3.338966548624857E-3</v>
      </c>
      <c r="R159" s="24">
        <v>49.794956207275391</v>
      </c>
      <c r="S159" s="23">
        <f t="shared" si="8"/>
        <v>-2.7741117183314097E-3</v>
      </c>
      <c r="T159" s="24">
        <v>85.923599243164063</v>
      </c>
      <c r="U159" s="23">
        <f t="shared" si="9"/>
        <v>-1.375873769423123E-3</v>
      </c>
    </row>
    <row r="160" spans="1:21">
      <c r="A160" s="13">
        <v>45677</v>
      </c>
      <c r="B160" s="35">
        <v>700.56481933593705</v>
      </c>
      <c r="C160" s="23">
        <f t="shared" si="0"/>
        <v>2.992261047747751E-3</v>
      </c>
      <c r="D160" s="24">
        <v>115.59169769287109</v>
      </c>
      <c r="E160" s="23">
        <f t="shared" si="1"/>
        <v>5.6225305295091914E-3</v>
      </c>
      <c r="F160" s="24">
        <v>401.48919677734375</v>
      </c>
      <c r="G160" s="23">
        <f t="shared" si="2"/>
        <v>5.8583406393680577E-3</v>
      </c>
      <c r="H160" s="36">
        <v>86.356101989746094</v>
      </c>
      <c r="I160" s="23">
        <f t="shared" si="3"/>
        <v>5.0209473559514432E-3</v>
      </c>
      <c r="J160" s="35"/>
      <c r="K160" s="23" t="e">
        <f t="shared" si="4"/>
        <v>#DIV/0!</v>
      </c>
      <c r="L160" s="36">
        <v>145.73300170898401</v>
      </c>
      <c r="M160" s="23">
        <f t="shared" si="5"/>
        <v>2.8586197913427003E-3</v>
      </c>
      <c r="N160" s="24">
        <v>93.633903503417969</v>
      </c>
      <c r="O160" s="23">
        <f t="shared" si="6"/>
        <v>2.3320175748736309E-3</v>
      </c>
      <c r="P160" s="36">
        <v>17.142000198364201</v>
      </c>
      <c r="Q160" s="23">
        <f t="shared" si="7"/>
        <v>5.7920847803559399E-3</v>
      </c>
      <c r="R160" s="24">
        <v>50.048107147216797</v>
      </c>
      <c r="S160" s="23">
        <f t="shared" si="8"/>
        <v>5.0709878866998974E-3</v>
      </c>
      <c r="T160" s="24">
        <v>86.356101989746094</v>
      </c>
      <c r="U160" s="23">
        <f t="shared" si="9"/>
        <v>5.0209473559507806E-3</v>
      </c>
    </row>
    <row r="161" spans="1:21">
      <c r="A161" s="13">
        <v>45678</v>
      </c>
      <c r="B161" s="35">
        <v>696.65270996093705</v>
      </c>
      <c r="C161" s="23">
        <f t="shared" si="0"/>
        <v>-5.5998719113429614E-3</v>
      </c>
      <c r="D161" s="24">
        <v>110.74299621582031</v>
      </c>
      <c r="E161" s="23">
        <f t="shared" si="1"/>
        <v>-4.2851967054063682E-2</v>
      </c>
      <c r="F161" s="24">
        <v>396.73800659179688</v>
      </c>
      <c r="G161" s="23">
        <f t="shared" si="2"/>
        <v>-1.1904496052600242E-2</v>
      </c>
      <c r="H161" s="36">
        <v>85.724502563476506</v>
      </c>
      <c r="I161" s="23">
        <f t="shared" si="3"/>
        <v>-7.3407722404675319E-3</v>
      </c>
      <c r="J161" s="35"/>
      <c r="K161" s="23" t="e">
        <f t="shared" si="4"/>
        <v>#DIV/0!</v>
      </c>
      <c r="L161" s="36">
        <v>142.79899597167901</v>
      </c>
      <c r="M161" s="23">
        <f t="shared" si="5"/>
        <v>-2.0338173205650203E-2</v>
      </c>
      <c r="N161" s="24">
        <v>91.900802612304688</v>
      </c>
      <c r="O161" s="23">
        <f t="shared" si="6"/>
        <v>-1.8682771952422034E-2</v>
      </c>
      <c r="P161" s="36">
        <v>16.850999832153299</v>
      </c>
      <c r="Q161" s="23">
        <f t="shared" si="7"/>
        <v>-1.7121611790746689E-2</v>
      </c>
      <c r="R161" s="24">
        <v>49.325721740722656</v>
      </c>
      <c r="S161" s="23">
        <f t="shared" si="8"/>
        <v>-1.4539001656815102E-2</v>
      </c>
      <c r="T161" s="24">
        <v>85.724502563476563</v>
      </c>
      <c r="U161" s="23">
        <f t="shared" si="9"/>
        <v>-7.3407722404668614E-3</v>
      </c>
    </row>
    <row r="162" spans="1:21">
      <c r="A162" s="13">
        <v>45679</v>
      </c>
      <c r="B162" s="35">
        <v>697.87738037109295</v>
      </c>
      <c r="C162" s="23">
        <f t="shared" si="0"/>
        <v>1.7563919681329054E-3</v>
      </c>
      <c r="D162" s="24">
        <v>108.85330200195313</v>
      </c>
      <c r="E162" s="23">
        <f t="shared" si="1"/>
        <v>-1.7211044777032801E-2</v>
      </c>
      <c r="F162" s="24">
        <v>395.59698486328125</v>
      </c>
      <c r="G162" s="23">
        <f t="shared" si="2"/>
        <v>-2.8801517781701191E-3</v>
      </c>
      <c r="H162" s="36">
        <v>86.299697875976506</v>
      </c>
      <c r="I162" s="23">
        <f t="shared" si="3"/>
        <v>6.6874015941297132E-3</v>
      </c>
      <c r="J162" s="35"/>
      <c r="K162" s="23" t="e">
        <f t="shared" si="4"/>
        <v>#DIV/0!</v>
      </c>
      <c r="L162" s="36">
        <v>141.06100463867099</v>
      </c>
      <c r="M162" s="23">
        <f t="shared" si="5"/>
        <v>-1.2245565049152854E-2</v>
      </c>
      <c r="N162" s="24">
        <v>91.922897338867188</v>
      </c>
      <c r="O162" s="23">
        <f t="shared" si="6"/>
        <v>2.403904031392171E-4</v>
      </c>
      <c r="P162" s="36">
        <v>16.893999099731399</v>
      </c>
      <c r="Q162" s="23">
        <f t="shared" si="7"/>
        <v>2.5484837582848831E-3</v>
      </c>
      <c r="R162" s="24">
        <v>48.954132080078125</v>
      </c>
      <c r="S162" s="23">
        <f t="shared" si="8"/>
        <v>-7.5619044370863258E-3</v>
      </c>
      <c r="T162" s="24">
        <v>86.299697875976563</v>
      </c>
      <c r="U162" s="23">
        <f t="shared" si="9"/>
        <v>6.6874015941294921E-3</v>
      </c>
    </row>
    <row r="163" spans="1:21">
      <c r="A163" s="13">
        <v>45680</v>
      </c>
      <c r="B163" s="35">
        <v>699.091796875</v>
      </c>
      <c r="C163" s="23">
        <f t="shared" si="0"/>
        <v>1.7386451034250995E-3</v>
      </c>
      <c r="D163" s="24">
        <v>112.5885009765625</v>
      </c>
      <c r="E163" s="23">
        <f t="shared" si="1"/>
        <v>3.3738465162597792E-2</v>
      </c>
      <c r="F163" s="24">
        <v>398.04049682617188</v>
      </c>
      <c r="G163" s="23">
        <f t="shared" si="2"/>
        <v>6.1577728884695711E-3</v>
      </c>
      <c r="H163" s="36">
        <v>86.411102294921804</v>
      </c>
      <c r="I163" s="23">
        <f t="shared" si="3"/>
        <v>1.290069113057412E-3</v>
      </c>
      <c r="J163" s="35"/>
      <c r="K163" s="23" t="e">
        <f t="shared" si="4"/>
        <v>#DIV/0!</v>
      </c>
      <c r="L163" s="36">
        <v>144.15899658203099</v>
      </c>
      <c r="M163" s="23">
        <f t="shared" si="5"/>
        <v>2.1724379568330753E-2</v>
      </c>
      <c r="N163" s="24">
        <v>92.266700744628906</v>
      </c>
      <c r="O163" s="23">
        <f t="shared" si="6"/>
        <v>3.733151151001386E-3</v>
      </c>
      <c r="P163" s="36">
        <v>16.9239997863769</v>
      </c>
      <c r="Q163" s="23">
        <f t="shared" si="7"/>
        <v>1.7742442192734439E-3</v>
      </c>
      <c r="R163" s="24">
        <v>49.635833740234375</v>
      </c>
      <c r="S163" s="23">
        <f t="shared" si="8"/>
        <v>1.3829247610771402E-2</v>
      </c>
      <c r="T163" s="24">
        <v>86.411102294921875</v>
      </c>
      <c r="U163" s="23">
        <f t="shared" si="9"/>
        <v>1.2900691130576338E-3</v>
      </c>
    </row>
    <row r="164" spans="1:21">
      <c r="A164" s="13">
        <v>45681</v>
      </c>
      <c r="B164" s="35">
        <v>697.67041015625</v>
      </c>
      <c r="C164" s="23">
        <f t="shared" si="0"/>
        <v>-2.0352601212198472E-3</v>
      </c>
      <c r="D164" s="24">
        <v>110.74649810791016</v>
      </c>
      <c r="E164" s="23">
        <f t="shared" si="1"/>
        <v>-1.6495799092638031E-2</v>
      </c>
      <c r="F164" s="24">
        <v>394.75369262695313</v>
      </c>
      <c r="G164" s="23">
        <f t="shared" si="2"/>
        <v>-8.2917434925652133E-3</v>
      </c>
      <c r="H164" s="36">
        <v>86.120201110839801</v>
      </c>
      <c r="I164" s="23">
        <f t="shared" si="3"/>
        <v>-3.3721586054667159E-3</v>
      </c>
      <c r="J164" s="35"/>
      <c r="K164" s="23" t="e">
        <f t="shared" si="4"/>
        <v>#DIV/0!</v>
      </c>
      <c r="L164" s="36">
        <v>141.51800537109301</v>
      </c>
      <c r="M164" s="23">
        <f t="shared" si="5"/>
        <v>-1.8489877962322123E-2</v>
      </c>
      <c r="N164" s="24">
        <v>91.45880126953125</v>
      </c>
      <c r="O164" s="23">
        <f t="shared" si="6"/>
        <v>-8.7946928825011414E-3</v>
      </c>
      <c r="P164" s="36">
        <v>16.846000671386701</v>
      </c>
      <c r="Q164" s="23">
        <f t="shared" si="7"/>
        <v>-4.6194404877860683E-3</v>
      </c>
      <c r="R164" s="24">
        <v>48.871856689453125</v>
      </c>
      <c r="S164" s="23">
        <f t="shared" si="8"/>
        <v>-1.5511324348434097E-2</v>
      </c>
      <c r="T164" s="24">
        <v>86.120201110839844</v>
      </c>
      <c r="U164" s="23">
        <f t="shared" si="9"/>
        <v>-3.3721586054670503E-3</v>
      </c>
    </row>
    <row r="165" spans="1:21">
      <c r="A165" s="13">
        <v>45684</v>
      </c>
      <c r="B165" s="35">
        <v>693.63531494140602</v>
      </c>
      <c r="C165" s="23">
        <f t="shared" si="0"/>
        <v>-5.8004598925448193E-3</v>
      </c>
      <c r="D165" s="24">
        <v>107.84140014648438</v>
      </c>
      <c r="E165" s="23">
        <f t="shared" si="1"/>
        <v>-2.6582157998286327E-2</v>
      </c>
      <c r="F165" s="24">
        <v>388.38449096679688</v>
      </c>
      <c r="G165" s="23">
        <f t="shared" si="2"/>
        <v>-1.6266202384736882E-2</v>
      </c>
      <c r="H165" s="36">
        <v>85.270698547363196</v>
      </c>
      <c r="I165" s="23">
        <f t="shared" si="3"/>
        <v>-9.9131228306488656E-3</v>
      </c>
      <c r="J165" s="35"/>
      <c r="K165" s="23" t="e">
        <f t="shared" si="4"/>
        <v>#DIV/0!</v>
      </c>
      <c r="L165" s="36">
        <v>137.21499633789</v>
      </c>
      <c r="M165" s="23">
        <f t="shared" si="5"/>
        <v>-3.0877943353996476E-2</v>
      </c>
      <c r="N165" s="24">
        <v>89.969398498535156</v>
      </c>
      <c r="O165" s="23">
        <f t="shared" si="6"/>
        <v>-1.6419015706368285E-2</v>
      </c>
      <c r="P165" s="36">
        <v>16.596000671386701</v>
      </c>
      <c r="Q165" s="23">
        <f t="shared" si="7"/>
        <v>-1.4951536822189413E-2</v>
      </c>
      <c r="R165" s="24">
        <v>47.7236328125</v>
      </c>
      <c r="S165" s="23">
        <f t="shared" si="8"/>
        <v>-2.377498097408548E-2</v>
      </c>
      <c r="T165" s="24">
        <v>85.270698547363281</v>
      </c>
      <c r="U165" s="23">
        <f t="shared" si="9"/>
        <v>-9.9131228306483053E-3</v>
      </c>
    </row>
    <row r="166" spans="1:21">
      <c r="A166" s="13">
        <v>45685</v>
      </c>
      <c r="B166" s="35">
        <v>695.01251220703102</v>
      </c>
      <c r="C166" s="23">
        <f t="shared" si="0"/>
        <v>1.9835089793494016E-3</v>
      </c>
      <c r="D166" s="24">
        <v>106.81379699707031</v>
      </c>
      <c r="E166" s="23">
        <f t="shared" si="1"/>
        <v>-9.5745270856956079E-3</v>
      </c>
      <c r="F166" s="24">
        <v>389.40451049804688</v>
      </c>
      <c r="G166" s="23">
        <f t="shared" si="2"/>
        <v>2.6228710205300873E-3</v>
      </c>
      <c r="H166" s="36">
        <v>85.673698425292898</v>
      </c>
      <c r="I166" s="23">
        <f t="shared" si="3"/>
        <v>4.7149907415727828E-3</v>
      </c>
      <c r="J166" s="35"/>
      <c r="K166" s="23" t="e">
        <f t="shared" si="4"/>
        <v>#DIV/0!</v>
      </c>
      <c r="L166" s="36">
        <v>135.60600280761699</v>
      </c>
      <c r="M166" s="23">
        <f t="shared" si="5"/>
        <v>-1.1795369053749354E-2</v>
      </c>
      <c r="N166" s="24">
        <v>90.222702026367188</v>
      </c>
      <c r="O166" s="23">
        <f t="shared" si="6"/>
        <v>2.8114850090118137E-3</v>
      </c>
      <c r="P166" s="36">
        <v>16.743999481201101</v>
      </c>
      <c r="Q166" s="23">
        <f t="shared" si="7"/>
        <v>8.8782112341799606E-3</v>
      </c>
      <c r="R166" s="24">
        <v>47.558181762695313</v>
      </c>
      <c r="S166" s="23">
        <f t="shared" si="8"/>
        <v>-3.4728813012866689E-3</v>
      </c>
      <c r="T166" s="24">
        <v>85.673698425292969</v>
      </c>
      <c r="U166" s="23">
        <f t="shared" si="9"/>
        <v>4.7149907415725617E-3</v>
      </c>
    </row>
    <row r="167" spans="1:21">
      <c r="A167" s="13">
        <v>45686</v>
      </c>
      <c r="B167" s="35">
        <v>698.53558349609295</v>
      </c>
      <c r="C167" s="23">
        <f t="shared" si="0"/>
        <v>5.0562715499960706E-3</v>
      </c>
      <c r="D167" s="24">
        <v>109.33619689941406</v>
      </c>
      <c r="E167" s="23">
        <f t="shared" si="1"/>
        <v>2.3340406978018525E-2</v>
      </c>
      <c r="F167" s="24">
        <v>392.89199829101563</v>
      </c>
      <c r="G167" s="23">
        <f t="shared" si="2"/>
        <v>8.9160845213136584E-3</v>
      </c>
      <c r="H167" s="36">
        <v>86.324203491210895</v>
      </c>
      <c r="I167" s="23">
        <f t="shared" si="3"/>
        <v>7.5641407283117221E-3</v>
      </c>
      <c r="J167" s="35"/>
      <c r="K167" s="23" t="e">
        <f t="shared" si="4"/>
        <v>#DIV/0!</v>
      </c>
      <c r="L167" s="36">
        <v>139.253005981445</v>
      </c>
      <c r="M167" s="23">
        <f t="shared" si="5"/>
        <v>2.6538822495532806E-2</v>
      </c>
      <c r="N167" s="24">
        <v>91.468803405761719</v>
      </c>
      <c r="O167" s="23">
        <f t="shared" si="6"/>
        <v>1.3716886923369415E-2</v>
      </c>
      <c r="P167" s="36">
        <v>16.8880004882812</v>
      </c>
      <c r="Q167" s="23">
        <f t="shared" si="7"/>
        <v>8.5633852993969983E-3</v>
      </c>
      <c r="R167" s="24">
        <v>48.576213836669922</v>
      </c>
      <c r="S167" s="23">
        <f t="shared" si="8"/>
        <v>2.1180143166134289E-2</v>
      </c>
      <c r="T167" s="24">
        <v>86.324203491210938</v>
      </c>
      <c r="U167" s="23">
        <f t="shared" si="9"/>
        <v>7.5641407283112815E-3</v>
      </c>
    </row>
    <row r="168" spans="1:21">
      <c r="A168" s="13">
        <v>45687</v>
      </c>
      <c r="B168" s="35">
        <v>700.49139404296795</v>
      </c>
      <c r="C168" s="23">
        <f t="shared" si="0"/>
        <v>2.79596012426701E-3</v>
      </c>
      <c r="D168" s="24">
        <v>107.75319671630859</v>
      </c>
      <c r="E168" s="23">
        <f t="shared" si="1"/>
        <v>-1.4584114081679622E-2</v>
      </c>
      <c r="F168" s="24">
        <v>392.35598754882813</v>
      </c>
      <c r="G168" s="23">
        <f t="shared" si="2"/>
        <v>-1.3652014016043972E-3</v>
      </c>
      <c r="H168" s="36">
        <v>86.454803466796804</v>
      </c>
      <c r="I168" s="23">
        <f t="shared" si="3"/>
        <v>1.5117577390699635E-3</v>
      </c>
      <c r="J168" s="35"/>
      <c r="K168" s="23" t="e">
        <f t="shared" si="4"/>
        <v>#DIV/0!</v>
      </c>
      <c r="L168" s="36">
        <v>139.33099365234301</v>
      </c>
      <c r="M168" s="23">
        <f t="shared" si="5"/>
        <v>5.5988623207199693E-4</v>
      </c>
      <c r="N168" s="24">
        <v>91.737899780273438</v>
      </c>
      <c r="O168" s="23">
        <f t="shared" si="6"/>
        <v>2.9376279726611582E-3</v>
      </c>
      <c r="P168" s="36">
        <v>17.000999450683501</v>
      </c>
      <c r="Q168" s="23">
        <f t="shared" si="7"/>
        <v>6.6687940858290674E-3</v>
      </c>
      <c r="R168" s="24">
        <v>48.595199584960938</v>
      </c>
      <c r="S168" s="23">
        <f t="shared" si="8"/>
        <v>3.9076818714641197E-4</v>
      </c>
      <c r="T168" s="24">
        <v>86.454803466796875</v>
      </c>
      <c r="U168" s="23">
        <f t="shared" si="9"/>
        <v>1.5117577390704069E-3</v>
      </c>
    </row>
    <row r="169" spans="1:21">
      <c r="A169" s="13">
        <v>45688</v>
      </c>
      <c r="B169" s="35">
        <v>705.57958984375</v>
      </c>
      <c r="C169" s="23">
        <f t="shared" si="0"/>
        <v>7.2374980632295737E-3</v>
      </c>
      <c r="D169" s="24">
        <v>109.65110015869141</v>
      </c>
      <c r="E169" s="23">
        <f t="shared" si="1"/>
        <v>1.7460111736012557E-2</v>
      </c>
      <c r="F169" s="24">
        <v>396.20208740234375</v>
      </c>
      <c r="G169" s="23">
        <f t="shared" si="2"/>
        <v>9.7548436170852692E-3</v>
      </c>
      <c r="H169" s="36">
        <v>87.434898376464801</v>
      </c>
      <c r="I169" s="23">
        <f t="shared" si="3"/>
        <v>1.1272723778307682E-2</v>
      </c>
      <c r="J169" s="35"/>
      <c r="K169" s="23" t="e">
        <f t="shared" si="4"/>
        <v>#DIV/0!</v>
      </c>
      <c r="L169" s="36">
        <v>141.19400024414</v>
      </c>
      <c r="M169" s="23">
        <f t="shared" si="5"/>
        <v>1.3282481220725449E-2</v>
      </c>
      <c r="N169" s="24">
        <v>92.877197265625</v>
      </c>
      <c r="O169" s="23">
        <f t="shared" si="6"/>
        <v>1.2342565335385825E-2</v>
      </c>
      <c r="P169" s="36">
        <v>17.162000656127901</v>
      </c>
      <c r="Q169" s="23">
        <f t="shared" si="7"/>
        <v>9.4255420716075709E-3</v>
      </c>
      <c r="R169" s="24">
        <v>49.052680969238281</v>
      </c>
      <c r="S169" s="23">
        <f t="shared" si="8"/>
        <v>9.3700903462760193E-3</v>
      </c>
      <c r="T169" s="24">
        <v>87.434898376464844</v>
      </c>
      <c r="U169" s="23">
        <f t="shared" si="9"/>
        <v>1.1272723778307243E-2</v>
      </c>
    </row>
    <row r="170" spans="1:21">
      <c r="A170" s="12">
        <v>45691</v>
      </c>
      <c r="B170" s="35">
        <v>707.51037597656205</v>
      </c>
      <c r="C170" s="23">
        <f t="shared" si="0"/>
        <v>2.7327167852925589E-3</v>
      </c>
      <c r="D170" s="24">
        <v>110.13500213623047</v>
      </c>
      <c r="E170" s="23">
        <f t="shared" si="1"/>
        <v>4.4033972520308431E-3</v>
      </c>
      <c r="F170" s="24">
        <v>393.0159912109375</v>
      </c>
      <c r="G170" s="23">
        <f t="shared" si="2"/>
        <v>-8.0741016621160028E-3</v>
      </c>
      <c r="H170" s="36">
        <v>87.378997802734304</v>
      </c>
      <c r="I170" s="23">
        <f t="shared" si="3"/>
        <v>-6.3954384471302708E-4</v>
      </c>
      <c r="J170" s="35"/>
      <c r="K170" s="23" t="e">
        <f t="shared" si="4"/>
        <v>#DIV/0!</v>
      </c>
      <c r="L170" s="36">
        <v>139.29699707031199</v>
      </c>
      <c r="M170" s="23">
        <f t="shared" si="5"/>
        <v>-1.3526509698349464E-2</v>
      </c>
      <c r="N170" s="24">
        <v>92.423698425292969</v>
      </c>
      <c r="O170" s="23">
        <f t="shared" si="6"/>
        <v>-4.8947388415891734E-3</v>
      </c>
      <c r="P170" s="36">
        <v>17.069999694824201</v>
      </c>
      <c r="Q170" s="23">
        <f t="shared" si="7"/>
        <v>-5.3751566879179299E-3</v>
      </c>
      <c r="R170" s="24">
        <v>48.481281280517578</v>
      </c>
      <c r="S170" s="23">
        <f t="shared" si="8"/>
        <v>-1.1717071936858668E-2</v>
      </c>
      <c r="T170" s="24">
        <v>87.378997802734375</v>
      </c>
      <c r="U170" s="23">
        <f t="shared" si="9"/>
        <v>-6.3954384471269379E-4</v>
      </c>
    </row>
    <row r="171" spans="1:21">
      <c r="A171" s="12">
        <v>45692</v>
      </c>
      <c r="B171" s="35">
        <v>712.88067626953102</v>
      </c>
      <c r="C171" s="23">
        <f t="shared" si="0"/>
        <v>7.5617568471834547E-3</v>
      </c>
      <c r="D171" s="24">
        <v>111.46720123291016</v>
      </c>
      <c r="E171" s="23">
        <f t="shared" si="1"/>
        <v>1.2023482848136436E-2</v>
      </c>
      <c r="F171" s="24">
        <v>397.81399536132813</v>
      </c>
      <c r="G171" s="23">
        <f t="shared" si="2"/>
        <v>1.2134246559186348E-2</v>
      </c>
      <c r="H171" s="36">
        <v>87.992301940917898</v>
      </c>
      <c r="I171" s="23">
        <f t="shared" si="3"/>
        <v>6.9943786626740691E-3</v>
      </c>
      <c r="J171" s="35"/>
      <c r="K171" s="23" t="e">
        <f t="shared" si="4"/>
        <v>#DIV/0!</v>
      </c>
      <c r="L171" s="36">
        <v>141.11999511718699</v>
      </c>
      <c r="M171" s="23">
        <f t="shared" si="5"/>
        <v>1.300223438884226E-2</v>
      </c>
      <c r="N171" s="24">
        <v>93.923103332519531</v>
      </c>
      <c r="O171" s="23">
        <f t="shared" si="6"/>
        <v>1.6092975603362675E-2</v>
      </c>
      <c r="P171" s="36">
        <v>17.343999862670898</v>
      </c>
      <c r="Q171" s="23">
        <f t="shared" si="7"/>
        <v>1.5924098410829028E-2</v>
      </c>
      <c r="R171" s="24">
        <v>49.13043212890625</v>
      </c>
      <c r="S171" s="23">
        <f t="shared" si="8"/>
        <v>1.3300871298424362E-2</v>
      </c>
      <c r="T171" s="24">
        <v>87.992301940917969</v>
      </c>
      <c r="U171" s="23">
        <f t="shared" si="9"/>
        <v>6.9943786626740691E-3</v>
      </c>
    </row>
    <row r="172" spans="1:21">
      <c r="A172" s="12">
        <v>45693</v>
      </c>
      <c r="B172" s="35">
        <v>713.671875</v>
      </c>
      <c r="C172" s="23">
        <f t="shared" si="0"/>
        <v>1.1092459382458677E-3</v>
      </c>
      <c r="D172" s="24">
        <v>111.80370330810547</v>
      </c>
      <c r="E172" s="23">
        <f t="shared" si="1"/>
        <v>3.014296293327398E-3</v>
      </c>
      <c r="F172" s="24">
        <v>398.96600341796875</v>
      </c>
      <c r="G172" s="23">
        <f t="shared" si="2"/>
        <v>2.8916610887186243E-3</v>
      </c>
      <c r="H172" s="36">
        <v>87.715400695800696</v>
      </c>
      <c r="I172" s="23">
        <f t="shared" si="3"/>
        <v>-3.1518421809915154E-3</v>
      </c>
      <c r="J172" s="35"/>
      <c r="K172" s="23" t="e">
        <f t="shared" si="4"/>
        <v>#DIV/0!</v>
      </c>
      <c r="L172" s="36">
        <v>142.60699462890599</v>
      </c>
      <c r="M172" s="23">
        <f t="shared" si="5"/>
        <v>1.0481999812791782E-2</v>
      </c>
      <c r="N172" s="24">
        <v>93.888298034667969</v>
      </c>
      <c r="O172" s="23">
        <f t="shared" si="6"/>
        <v>-3.7064095147196951E-4</v>
      </c>
      <c r="P172" s="36">
        <v>17.357000350952099</v>
      </c>
      <c r="Q172" s="23">
        <f t="shared" si="7"/>
        <v>7.4928611909772793E-4</v>
      </c>
      <c r="R172" s="24">
        <v>49.621364593505859</v>
      </c>
      <c r="S172" s="23">
        <f t="shared" si="8"/>
        <v>9.9428369984710229E-3</v>
      </c>
      <c r="T172" s="24">
        <v>87.715400695800781</v>
      </c>
      <c r="U172" s="23">
        <f t="shared" si="9"/>
        <v>-3.1518421809914039E-3</v>
      </c>
    </row>
    <row r="173" spans="1:21">
      <c r="A173" s="12">
        <v>45694</v>
      </c>
      <c r="B173" s="35">
        <v>711.79309082031205</v>
      </c>
      <c r="C173" s="23">
        <f t="shared" si="0"/>
        <v>-2.6360314881906789E-3</v>
      </c>
      <c r="D173" s="24">
        <v>110.24759674072266</v>
      </c>
      <c r="E173" s="23">
        <f t="shared" si="1"/>
        <v>-1.4015968754776514E-2</v>
      </c>
      <c r="F173" s="24">
        <v>398.918212890625</v>
      </c>
      <c r="G173" s="23">
        <f t="shared" si="2"/>
        <v>-1.1979313896449885E-4</v>
      </c>
      <c r="H173" s="36">
        <v>87.744102478027301</v>
      </c>
      <c r="I173" s="23">
        <f t="shared" si="3"/>
        <v>3.2716133311021711E-4</v>
      </c>
      <c r="J173" s="35"/>
      <c r="K173" s="23" t="e">
        <f t="shared" si="4"/>
        <v>#DIV/0!</v>
      </c>
      <c r="L173" s="36">
        <v>141.49299621582</v>
      </c>
      <c r="M173" s="23">
        <f t="shared" si="5"/>
        <v>-7.8423383205360204E-3</v>
      </c>
      <c r="N173" s="24">
        <v>93.489601135253906</v>
      </c>
      <c r="O173" s="23">
        <f t="shared" si="6"/>
        <v>-4.255544574561408E-3</v>
      </c>
      <c r="P173" s="36">
        <v>17.277999877929599</v>
      </c>
      <c r="Q173" s="23">
        <f t="shared" si="7"/>
        <v>-4.5618945867579083E-3</v>
      </c>
      <c r="R173" s="24">
        <v>49.276897430419922</v>
      </c>
      <c r="S173" s="23">
        <f t="shared" si="8"/>
        <v>-6.9661195055750642E-3</v>
      </c>
      <c r="T173" s="24">
        <v>87.744102478027344</v>
      </c>
      <c r="U173" s="23">
        <f t="shared" si="9"/>
        <v>3.2716133310977318E-4</v>
      </c>
    </row>
    <row r="174" spans="1:21">
      <c r="A174" s="12">
        <v>45695</v>
      </c>
      <c r="B174" s="35">
        <v>711.38720703125</v>
      </c>
      <c r="C174" s="23">
        <f t="shared" si="0"/>
        <v>-5.7038985247210455E-4</v>
      </c>
      <c r="D174" s="24">
        <v>111.10659790039063</v>
      </c>
      <c r="E174" s="23">
        <f t="shared" si="1"/>
        <v>7.7613661051832384E-3</v>
      </c>
      <c r="F174" s="24">
        <v>398.3297119140625</v>
      </c>
      <c r="G174" s="23">
        <f t="shared" si="2"/>
        <v>-1.4763314275063079E-3</v>
      </c>
      <c r="H174" s="36">
        <v>87.236000061035099</v>
      </c>
      <c r="I174" s="23">
        <f t="shared" si="3"/>
        <v>-5.807561405157315E-3</v>
      </c>
      <c r="J174" s="35"/>
      <c r="K174" s="23" t="e">
        <f t="shared" si="4"/>
        <v>#DIV/0!</v>
      </c>
      <c r="L174" s="36">
        <v>142.06300354003901</v>
      </c>
      <c r="M174" s="23">
        <f t="shared" si="5"/>
        <v>4.0204269527112551E-3</v>
      </c>
      <c r="N174" s="24">
        <v>93.319000244140625</v>
      </c>
      <c r="O174" s="23">
        <f t="shared" si="6"/>
        <v>-1.8264784092481812E-3</v>
      </c>
      <c r="P174" s="36">
        <v>17.2339992523193</v>
      </c>
      <c r="Q174" s="23">
        <f t="shared" si="7"/>
        <v>-2.5498754380901792E-3</v>
      </c>
      <c r="R174" s="24">
        <v>49.380874633789063</v>
      </c>
      <c r="S174" s="23">
        <f t="shared" si="8"/>
        <v>2.1078368118594812E-3</v>
      </c>
      <c r="T174" s="24">
        <v>87.236000061035156</v>
      </c>
      <c r="U174" s="23">
        <f t="shared" si="9"/>
        <v>-5.8075614051572031E-3</v>
      </c>
    </row>
    <row r="175" spans="1:21">
      <c r="A175" s="13">
        <v>45698</v>
      </c>
      <c r="B175" s="35">
        <v>708.14587402343705</v>
      </c>
      <c r="C175" s="23">
        <f t="shared" si="0"/>
        <v>-4.5667673185434158E-3</v>
      </c>
      <c r="D175" s="24">
        <v>108.76869964599609</v>
      </c>
      <c r="E175" s="23">
        <f t="shared" si="1"/>
        <v>-2.1266475969728769E-2</v>
      </c>
      <c r="F175" s="24">
        <v>394.32101440429688</v>
      </c>
      <c r="G175" s="23">
        <f t="shared" si="2"/>
        <v>-1.0114749292407025E-2</v>
      </c>
      <c r="H175" s="36">
        <v>86.868301391601506</v>
      </c>
      <c r="I175" s="23">
        <f t="shared" si="3"/>
        <v>-4.2238958262444419E-3</v>
      </c>
      <c r="J175" s="35"/>
      <c r="K175" s="23" t="e">
        <f t="shared" si="4"/>
        <v>#DIV/0!</v>
      </c>
      <c r="L175" s="36">
        <v>139.475006103515</v>
      </c>
      <c r="M175" s="23">
        <f t="shared" si="5"/>
        <v>-1.8385228610786133E-2</v>
      </c>
      <c r="N175" s="24">
        <v>92.177299499511719</v>
      </c>
      <c r="O175" s="23">
        <f t="shared" si="6"/>
        <v>-1.2309842980253687E-2</v>
      </c>
      <c r="P175" s="36">
        <v>17.128999710083001</v>
      </c>
      <c r="Q175" s="23">
        <f t="shared" si="7"/>
        <v>-6.1112168431837772E-3</v>
      </c>
      <c r="R175" s="24">
        <v>48.507499694824219</v>
      </c>
      <c r="S175" s="23">
        <f t="shared" si="8"/>
        <v>-1.7844777196598643E-2</v>
      </c>
      <c r="T175" s="24">
        <v>86.868301391601563</v>
      </c>
      <c r="U175" s="23">
        <f t="shared" si="9"/>
        <v>-4.2238958262444419E-3</v>
      </c>
    </row>
    <row r="176" spans="1:21">
      <c r="A176" s="13">
        <v>45699</v>
      </c>
      <c r="B176" s="35">
        <v>701.24188232421795</v>
      </c>
      <c r="C176" s="23">
        <f t="shared" si="0"/>
        <v>-9.7972284656710918E-3</v>
      </c>
      <c r="D176" s="24">
        <v>107.04989624023438</v>
      </c>
      <c r="E176" s="23">
        <f t="shared" si="1"/>
        <v>-1.5928560184021192E-2</v>
      </c>
      <c r="F176" s="24">
        <v>387.55661010742188</v>
      </c>
      <c r="G176" s="23">
        <f t="shared" si="2"/>
        <v>-1.7303406211627612E-2</v>
      </c>
      <c r="H176" s="36">
        <v>85.931297302246094</v>
      </c>
      <c r="I176" s="23">
        <f t="shared" si="3"/>
        <v>-1.0845086218964651E-2</v>
      </c>
      <c r="J176" s="35"/>
      <c r="K176" s="23" t="e">
        <f t="shared" si="4"/>
        <v>#DIV/0!</v>
      </c>
      <c r="L176" s="36">
        <v>135.67300415039</v>
      </c>
      <c r="M176" s="23">
        <f t="shared" si="5"/>
        <v>-2.7637808169553638E-2</v>
      </c>
      <c r="N176" s="24">
        <v>90.544296264648438</v>
      </c>
      <c r="O176" s="23">
        <f t="shared" si="6"/>
        <v>-1.7874698468702512E-2</v>
      </c>
      <c r="P176" s="36">
        <v>16.8680000305175</v>
      </c>
      <c r="Q176" s="23">
        <f t="shared" si="7"/>
        <v>-1.5354578896832982E-2</v>
      </c>
      <c r="R176" s="24">
        <v>47.307743072509766</v>
      </c>
      <c r="S176" s="23">
        <f t="shared" si="8"/>
        <v>-2.5044435450131648E-2</v>
      </c>
      <c r="T176" s="24">
        <v>85.931297302246094</v>
      </c>
      <c r="U176" s="23">
        <f t="shared" si="9"/>
        <v>-1.0845086218965324E-2</v>
      </c>
    </row>
    <row r="177" spans="1:21">
      <c r="A177" s="13">
        <v>45700</v>
      </c>
      <c r="B177" s="35">
        <v>701.81341552734295</v>
      </c>
      <c r="C177" s="23">
        <f t="shared" si="0"/>
        <v>8.1469808868148618E-4</v>
      </c>
      <c r="D177" s="24">
        <v>106.36660003662109</v>
      </c>
      <c r="E177" s="23">
        <f t="shared" si="1"/>
        <v>-6.4034275733009091E-3</v>
      </c>
      <c r="F177" s="24">
        <v>387.235107421875</v>
      </c>
      <c r="G177" s="23">
        <f t="shared" si="2"/>
        <v>-8.2990743634924055E-4</v>
      </c>
      <c r="H177" s="36">
        <v>85.958198547363196</v>
      </c>
      <c r="I177" s="23">
        <f t="shared" si="3"/>
        <v>3.1300627422022916E-4</v>
      </c>
      <c r="J177" s="35"/>
      <c r="K177" s="23" t="e">
        <f t="shared" si="4"/>
        <v>#DIV/0!</v>
      </c>
      <c r="L177" s="36">
        <v>134.60400390625</v>
      </c>
      <c r="M177" s="23">
        <f t="shared" si="5"/>
        <v>-7.9104458512778281E-3</v>
      </c>
      <c r="N177" s="24">
        <v>90.340797424316406</v>
      </c>
      <c r="O177" s="23">
        <f t="shared" si="6"/>
        <v>-2.250035334981389E-3</v>
      </c>
      <c r="P177" s="36">
        <v>16.8589992523193</v>
      </c>
      <c r="Q177" s="23">
        <f t="shared" si="7"/>
        <v>-5.3374320889914987E-4</v>
      </c>
      <c r="R177" s="24">
        <v>47.093467712402344</v>
      </c>
      <c r="S177" s="23">
        <f t="shared" si="8"/>
        <v>-4.5396817757013272E-3</v>
      </c>
      <c r="T177" s="24">
        <v>85.958198547363281</v>
      </c>
      <c r="U177" s="23">
        <f t="shared" si="9"/>
        <v>3.1300627422111706E-4</v>
      </c>
    </row>
    <row r="178" spans="1:21">
      <c r="A178" s="13">
        <v>45701</v>
      </c>
      <c r="B178" s="35">
        <v>703.89520263671795</v>
      </c>
      <c r="C178" s="23">
        <f t="shared" si="0"/>
        <v>2.9619063359437822E-3</v>
      </c>
      <c r="D178" s="24">
        <v>106.30780029296875</v>
      </c>
      <c r="E178" s="23">
        <f t="shared" si="1"/>
        <v>-5.5295555139161807E-4</v>
      </c>
      <c r="F178" s="24">
        <v>387.43240356445313</v>
      </c>
      <c r="G178" s="23">
        <f t="shared" si="2"/>
        <v>5.0936987558110845E-4</v>
      </c>
      <c r="H178" s="36">
        <v>86.197898864746094</v>
      </c>
      <c r="I178" s="23">
        <f t="shared" si="3"/>
        <v>2.7846875699687563E-3</v>
      </c>
      <c r="J178" s="35"/>
      <c r="K178" s="23" t="e">
        <f t="shared" si="4"/>
        <v>#DIV/0!</v>
      </c>
      <c r="L178" s="36">
        <v>134.59599304199199</v>
      </c>
      <c r="M178" s="23">
        <f t="shared" si="5"/>
        <v>-5.9516079875080946E-5</v>
      </c>
      <c r="N178" s="24">
        <v>90.368301391601563</v>
      </c>
      <c r="O178" s="23">
        <f t="shared" si="6"/>
        <v>3.0440047211520302E-4</v>
      </c>
      <c r="P178" s="36">
        <v>16.867000579833899</v>
      </c>
      <c r="Q178" s="23">
        <f t="shared" si="7"/>
        <v>4.7449016809224275E-4</v>
      </c>
      <c r="R178" s="24">
        <v>47.174835205078125</v>
      </c>
      <c r="S178" s="23">
        <f t="shared" si="8"/>
        <v>1.7262963342818969E-3</v>
      </c>
      <c r="T178" s="24">
        <v>86.197898864746094</v>
      </c>
      <c r="U178" s="23">
        <f t="shared" si="9"/>
        <v>2.7846875699678707E-3</v>
      </c>
    </row>
    <row r="179" spans="1:21">
      <c r="A179" s="13">
        <v>45702</v>
      </c>
      <c r="B179" s="35">
        <v>701.59539794921795</v>
      </c>
      <c r="C179" s="23">
        <f t="shared" si="0"/>
        <v>-3.2726035152477518E-3</v>
      </c>
      <c r="D179" s="24">
        <v>104.60520172119141</v>
      </c>
      <c r="E179" s="23">
        <f t="shared" si="1"/>
        <v>-1.6145382603575165E-2</v>
      </c>
      <c r="F179" s="24">
        <v>383.42230224609375</v>
      </c>
      <c r="G179" s="23">
        <f t="shared" si="2"/>
        <v>-1.0404392586527688E-2</v>
      </c>
      <c r="H179" s="36">
        <v>85.810997009277301</v>
      </c>
      <c r="I179" s="23">
        <f t="shared" si="3"/>
        <v>-4.4986337015082145E-3</v>
      </c>
      <c r="J179" s="35"/>
      <c r="K179" s="23" t="e">
        <f t="shared" si="4"/>
        <v>#DIV/0!</v>
      </c>
      <c r="L179" s="36">
        <v>131.25399780273401</v>
      </c>
      <c r="M179" s="23">
        <f t="shared" si="5"/>
        <v>-2.5143286934267144E-2</v>
      </c>
      <c r="N179" s="24">
        <v>89.5740966796875</v>
      </c>
      <c r="O179" s="23">
        <f t="shared" si="6"/>
        <v>-8.8273789571482308E-3</v>
      </c>
      <c r="P179" s="36">
        <v>16.732000350952099</v>
      </c>
      <c r="Q179" s="23">
        <f t="shared" si="7"/>
        <v>-8.036010097845412E-3</v>
      </c>
      <c r="R179" s="24">
        <v>46.287899017333984</v>
      </c>
      <c r="S179" s="23">
        <f t="shared" si="8"/>
        <v>-1.8980031365560202E-2</v>
      </c>
      <c r="T179" s="24">
        <v>85.810997009277344</v>
      </c>
      <c r="U179" s="23">
        <f t="shared" si="9"/>
        <v>-4.4986337015076568E-3</v>
      </c>
    </row>
    <row r="180" spans="1:21">
      <c r="A180" s="13">
        <v>45705</v>
      </c>
      <c r="B180" s="35">
        <v>702.29522705078102</v>
      </c>
      <c r="C180" s="23">
        <f t="shared" si="0"/>
        <v>9.9698530222902277E-4</v>
      </c>
      <c r="D180" s="24">
        <v>104.65200042724609</v>
      </c>
      <c r="E180" s="23">
        <f t="shared" si="1"/>
        <v>4.472840729440424E-4</v>
      </c>
      <c r="F180" s="24">
        <v>384.23699951171875</v>
      </c>
      <c r="G180" s="23">
        <f t="shared" si="2"/>
        <v>2.1225498593587487E-3</v>
      </c>
      <c r="H180" s="36">
        <v>85.972000122070298</v>
      </c>
      <c r="I180" s="23">
        <f t="shared" si="3"/>
        <v>1.8744947128073531E-3</v>
      </c>
      <c r="J180" s="35"/>
      <c r="K180" s="23" t="e">
        <f t="shared" si="4"/>
        <v>#DIV/0!</v>
      </c>
      <c r="L180" s="36">
        <v>131.121002197265</v>
      </c>
      <c r="M180" s="23">
        <f t="shared" si="5"/>
        <v>-1.0137826916404283E-3</v>
      </c>
      <c r="N180" s="24">
        <v>89.569297790527344</v>
      </c>
      <c r="O180" s="23">
        <f t="shared" si="6"/>
        <v>-5.3575954340904013E-5</v>
      </c>
      <c r="P180" s="36">
        <v>16.761999130248999</v>
      </c>
      <c r="Q180" s="23">
        <f t="shared" si="7"/>
        <v>1.7912932335977989E-3</v>
      </c>
      <c r="R180" s="24">
        <v>46.399105072021484</v>
      </c>
      <c r="S180" s="23">
        <f t="shared" si="8"/>
        <v>2.3996051904240745E-3</v>
      </c>
      <c r="T180" s="24">
        <v>85.972000122070313</v>
      </c>
      <c r="U180" s="23">
        <f t="shared" si="9"/>
        <v>1.8744947128069098E-3</v>
      </c>
    </row>
    <row r="181" spans="1:21">
      <c r="A181" s="13">
        <v>45706</v>
      </c>
      <c r="B181" s="35">
        <v>703.122802734375</v>
      </c>
      <c r="C181" s="23">
        <f t="shared" si="0"/>
        <v>1.1776934146374496E-3</v>
      </c>
      <c r="D181" s="24">
        <v>104.74649810791016</v>
      </c>
      <c r="E181" s="23">
        <f t="shared" si="1"/>
        <v>9.0256317729201288E-4</v>
      </c>
      <c r="F181" s="24">
        <v>383.21209716796875</v>
      </c>
      <c r="G181" s="23">
        <f t="shared" si="2"/>
        <v>-2.6709340267101183E-3</v>
      </c>
      <c r="H181" s="36">
        <v>85.8927001953125</v>
      </c>
      <c r="I181" s="23">
        <f t="shared" si="3"/>
        <v>-9.2281814984649074E-4</v>
      </c>
      <c r="J181" s="35"/>
      <c r="K181" s="23" t="e">
        <f t="shared" si="4"/>
        <v>#DIV/0!</v>
      </c>
      <c r="L181" s="36">
        <v>130.68299865722599</v>
      </c>
      <c r="M181" s="23">
        <f t="shared" si="5"/>
        <v>-3.3460447301584873E-3</v>
      </c>
      <c r="N181" s="24">
        <v>89.535400390625</v>
      </c>
      <c r="O181" s="23">
        <f t="shared" si="6"/>
        <v>-3.7852050394331733E-4</v>
      </c>
      <c r="P181" s="36">
        <v>16.714000701904201</v>
      </c>
      <c r="Q181" s="23">
        <f t="shared" si="7"/>
        <v>-2.8676342142239849E-3</v>
      </c>
      <c r="R181" s="24">
        <v>46.271625518798828</v>
      </c>
      <c r="S181" s="23">
        <f t="shared" si="8"/>
        <v>-2.7512383429147509E-3</v>
      </c>
      <c r="T181" s="24">
        <v>85.8927001953125</v>
      </c>
      <c r="U181" s="23">
        <f t="shared" si="9"/>
        <v>-9.2281814984671289E-4</v>
      </c>
    </row>
    <row r="182" spans="1:21">
      <c r="A182" s="13">
        <v>45707</v>
      </c>
      <c r="B182" s="35">
        <v>704.43371582031205</v>
      </c>
      <c r="C182" s="23">
        <f t="shared" si="0"/>
        <v>1.8626796830994452E-3</v>
      </c>
      <c r="D182" s="24">
        <v>105.55699920654297</v>
      </c>
      <c r="E182" s="23">
        <f t="shared" si="1"/>
        <v>7.7079565657248231E-3</v>
      </c>
      <c r="F182" s="24">
        <v>384.87899780273438</v>
      </c>
      <c r="G182" s="23">
        <f t="shared" si="2"/>
        <v>4.3403790580549672E-3</v>
      </c>
      <c r="H182" s="36">
        <v>85.751701354980398</v>
      </c>
      <c r="I182" s="23">
        <f t="shared" si="3"/>
        <v>-1.6429183914384998E-3</v>
      </c>
      <c r="J182" s="35"/>
      <c r="K182" s="23" t="e">
        <f t="shared" si="4"/>
        <v>#DIV/0!</v>
      </c>
      <c r="L182" s="36">
        <v>132.350006103515</v>
      </c>
      <c r="M182" s="23">
        <f t="shared" si="5"/>
        <v>1.2675441754124288E-2</v>
      </c>
      <c r="N182" s="24">
        <v>90.040397644042969</v>
      </c>
      <c r="O182" s="23">
        <f t="shared" si="6"/>
        <v>5.6243501649132959E-3</v>
      </c>
      <c r="P182" s="36">
        <v>16.7789993286132</v>
      </c>
      <c r="Q182" s="23">
        <f t="shared" si="7"/>
        <v>3.8813309198129811E-3</v>
      </c>
      <c r="R182" s="24">
        <v>46.710121154785156</v>
      </c>
      <c r="S182" s="23">
        <f t="shared" si="8"/>
        <v>9.4319348137465349E-3</v>
      </c>
      <c r="T182" s="24">
        <v>85.751701354980469</v>
      </c>
      <c r="U182" s="23">
        <f t="shared" si="9"/>
        <v>-1.6429183914376101E-3</v>
      </c>
    </row>
    <row r="183" spans="1:21">
      <c r="A183" s="13">
        <v>45708</v>
      </c>
      <c r="B183" s="35">
        <v>704.47039794921795</v>
      </c>
      <c r="C183" s="23">
        <f t="shared" si="0"/>
        <v>5.2071860044521288E-5</v>
      </c>
      <c r="D183" s="24">
        <v>106.41989898681641</v>
      </c>
      <c r="E183" s="23">
        <f t="shared" si="1"/>
        <v>8.1414961157594574E-3</v>
      </c>
      <c r="F183" s="24">
        <v>384.58770751953125</v>
      </c>
      <c r="G183" s="23">
        <f t="shared" si="2"/>
        <v>-7.571225502107983E-4</v>
      </c>
      <c r="H183" s="36">
        <v>85.927101135253906</v>
      </c>
      <c r="I183" s="23">
        <f t="shared" si="3"/>
        <v>2.0433488439786395E-3</v>
      </c>
      <c r="J183" s="35"/>
      <c r="K183" s="23" t="e">
        <f t="shared" si="4"/>
        <v>#DIV/0!</v>
      </c>
      <c r="L183" s="36">
        <v>133.99099731445301</v>
      </c>
      <c r="M183" s="23">
        <f t="shared" si="5"/>
        <v>1.232263868386989E-2</v>
      </c>
      <c r="N183" s="24">
        <v>90.348899841308594</v>
      </c>
      <c r="O183" s="23">
        <f t="shared" si="6"/>
        <v>3.4204079990883887E-3</v>
      </c>
      <c r="P183" s="36">
        <v>16.7959995269775</v>
      </c>
      <c r="Q183" s="23">
        <f t="shared" si="7"/>
        <v>1.0126701650970131E-3</v>
      </c>
      <c r="R183" s="24">
        <v>47.145000457763672</v>
      </c>
      <c r="S183" s="23">
        <f t="shared" si="8"/>
        <v>9.2671003512136731E-3</v>
      </c>
      <c r="T183" s="24">
        <v>85.927101135253906</v>
      </c>
      <c r="U183" s="23">
        <f t="shared" si="9"/>
        <v>2.0433488439777531E-3</v>
      </c>
    </row>
    <row r="184" spans="1:21">
      <c r="A184" s="13">
        <v>45709</v>
      </c>
      <c r="B184" s="35">
        <v>702.6279296875</v>
      </c>
      <c r="C184" s="23">
        <f t="shared" si="0"/>
        <v>-2.6188209857618259E-3</v>
      </c>
      <c r="D184" s="24">
        <v>105.08750152587891</v>
      </c>
      <c r="E184" s="23">
        <f t="shared" si="1"/>
        <v>-1.2599228992671178E-2</v>
      </c>
      <c r="F184" s="24">
        <v>382.222412109375</v>
      </c>
      <c r="G184" s="23">
        <f t="shared" si="2"/>
        <v>-6.1692010873198909E-3</v>
      </c>
      <c r="H184" s="36">
        <v>85.157302856445298</v>
      </c>
      <c r="I184" s="23">
        <f t="shared" si="3"/>
        <v>-8.9991075276136222E-3</v>
      </c>
      <c r="J184" s="35"/>
      <c r="K184" s="23" t="e">
        <f t="shared" si="4"/>
        <v>#DIV/0!</v>
      </c>
      <c r="L184" s="36">
        <v>132.52200317382801</v>
      </c>
      <c r="M184" s="23">
        <f t="shared" si="5"/>
        <v>-1.1023920144621746E-2</v>
      </c>
      <c r="N184" s="24">
        <v>89.849502563476563</v>
      </c>
      <c r="O184" s="23">
        <f t="shared" si="6"/>
        <v>-5.5427634176161136E-3</v>
      </c>
      <c r="P184" s="36">
        <v>16.704999923706001</v>
      </c>
      <c r="Q184" s="23">
        <f t="shared" si="7"/>
        <v>-5.4326634175554328E-3</v>
      </c>
      <c r="R184" s="24">
        <v>46.554000854492188</v>
      </c>
      <c r="S184" s="23">
        <f t="shared" si="8"/>
        <v>-1.2615021132609866E-2</v>
      </c>
      <c r="T184" s="24">
        <v>85.157302856445313</v>
      </c>
      <c r="U184" s="23">
        <f t="shared" si="9"/>
        <v>-8.9991075276133984E-3</v>
      </c>
    </row>
    <row r="185" spans="1:21">
      <c r="A185" s="13">
        <v>45712</v>
      </c>
      <c r="B185" s="35">
        <v>699.04748535156205</v>
      </c>
      <c r="C185" s="23">
        <f t="shared" si="0"/>
        <v>-5.1088177547964526E-3</v>
      </c>
      <c r="D185" s="24">
        <v>104.53769683837891</v>
      </c>
      <c r="E185" s="23">
        <f t="shared" si="1"/>
        <v>-5.2456093304709059E-3</v>
      </c>
      <c r="F185" s="24">
        <v>379.38250732421875</v>
      </c>
      <c r="G185" s="23">
        <f t="shared" si="2"/>
        <v>-7.4577195474059589E-3</v>
      </c>
      <c r="H185" s="36">
        <v>84.562797546386705</v>
      </c>
      <c r="I185" s="23">
        <f t="shared" si="3"/>
        <v>-7.0057434587196508E-3</v>
      </c>
      <c r="J185" s="35"/>
      <c r="K185" s="23" t="e">
        <f t="shared" si="4"/>
        <v>#DIV/0!</v>
      </c>
      <c r="L185" s="36">
        <v>130.76600646972599</v>
      </c>
      <c r="M185" s="23">
        <f t="shared" si="5"/>
        <v>-1.3339177458010058E-2</v>
      </c>
      <c r="N185" s="24">
        <v>88.933403015136719</v>
      </c>
      <c r="O185" s="23">
        <f t="shared" si="6"/>
        <v>-1.0248268013018081E-2</v>
      </c>
      <c r="P185" s="36">
        <v>16.520999908447202</v>
      </c>
      <c r="Q185" s="23">
        <f t="shared" si="7"/>
        <v>-1.1075777834731753E-2</v>
      </c>
      <c r="R185" s="24">
        <v>46.174999237060547</v>
      </c>
      <c r="S185" s="23">
        <f t="shared" si="8"/>
        <v>-8.1744379322061158E-3</v>
      </c>
      <c r="T185" s="24">
        <v>84.562797546386719</v>
      </c>
      <c r="U185" s="23">
        <f t="shared" si="9"/>
        <v>-7.0057434587196508E-3</v>
      </c>
    </row>
    <row r="186" spans="1:21">
      <c r="A186" s="13">
        <v>45713</v>
      </c>
      <c r="B186" s="35">
        <v>698.07141113281205</v>
      </c>
      <c r="C186" s="23">
        <f t="shared" si="0"/>
        <v>-1.3972674480459601E-3</v>
      </c>
      <c r="D186" s="24">
        <v>104.18579864501953</v>
      </c>
      <c r="E186" s="23">
        <f t="shared" si="1"/>
        <v>-3.3719110152072261E-3</v>
      </c>
      <c r="F186" s="24">
        <v>378.627197265625</v>
      </c>
      <c r="G186" s="23">
        <f t="shared" si="2"/>
        <v>-1.992877674257387E-3</v>
      </c>
      <c r="H186" s="36">
        <v>84.292800903320298</v>
      </c>
      <c r="I186" s="23">
        <f t="shared" si="3"/>
        <v>-3.1979617572526838E-3</v>
      </c>
      <c r="J186" s="35"/>
      <c r="K186" s="23" t="e">
        <f t="shared" si="4"/>
        <v>#DIV/0!</v>
      </c>
      <c r="L186" s="36">
        <v>130.13000488281199</v>
      </c>
      <c r="M186" s="23">
        <f t="shared" si="5"/>
        <v>-4.8755275595839444E-3</v>
      </c>
      <c r="N186" s="24">
        <v>88.760498046875</v>
      </c>
      <c r="O186" s="23">
        <f t="shared" si="6"/>
        <v>-1.9460996893942582E-3</v>
      </c>
      <c r="P186" s="36">
        <v>16.458999633788999</v>
      </c>
      <c r="Q186" s="23">
        <f t="shared" si="7"/>
        <v>-3.7598755948156726E-3</v>
      </c>
      <c r="R186" s="24">
        <v>45.930000305175781</v>
      </c>
      <c r="S186" s="23">
        <f t="shared" si="8"/>
        <v>-5.3200045804524592E-3</v>
      </c>
      <c r="T186" s="24">
        <v>84.292800903320313</v>
      </c>
      <c r="U186" s="23">
        <f t="shared" si="9"/>
        <v>-3.1979617572526838E-3</v>
      </c>
    </row>
    <row r="187" spans="1:21">
      <c r="A187" s="13">
        <v>45715</v>
      </c>
      <c r="B187" s="35">
        <v>697.00012207031205</v>
      </c>
      <c r="C187" s="23">
        <f t="shared" si="0"/>
        <v>-1.5358198451873057E-3</v>
      </c>
      <c r="D187" s="24">
        <v>102.22940063476563</v>
      </c>
      <c r="E187" s="23">
        <f t="shared" si="1"/>
        <v>-1.8956516793543939E-2</v>
      </c>
      <c r="F187" s="24">
        <v>377.8756103515625</v>
      </c>
      <c r="G187" s="23">
        <f t="shared" si="2"/>
        <v>-1.9870042880965697E-3</v>
      </c>
      <c r="H187" s="36">
        <v>84.197196960449205</v>
      </c>
      <c r="I187" s="23">
        <f t="shared" si="3"/>
        <v>-1.1348323858208183E-3</v>
      </c>
      <c r="J187" s="35"/>
      <c r="K187" s="23" t="e">
        <f t="shared" si="4"/>
        <v>#DIV/0!</v>
      </c>
      <c r="L187" s="36">
        <v>128.04699707031199</v>
      </c>
      <c r="M187" s="23">
        <f t="shared" si="5"/>
        <v>-1.6136627168236849E-2</v>
      </c>
      <c r="N187" s="24">
        <v>88.432098388671875</v>
      </c>
      <c r="O187" s="23">
        <f t="shared" si="6"/>
        <v>-3.7067015306155911E-3</v>
      </c>
      <c r="P187" s="36">
        <v>16.489000320434499</v>
      </c>
      <c r="Q187" s="23">
        <f t="shared" si="7"/>
        <v>1.8210935400221639E-3</v>
      </c>
      <c r="R187" s="24">
        <v>45.749000549316406</v>
      </c>
      <c r="S187" s="23">
        <f t="shared" si="8"/>
        <v>-3.948559415745641E-3</v>
      </c>
      <c r="T187" s="24">
        <v>84.197196960449219</v>
      </c>
      <c r="U187" s="23">
        <f t="shared" si="9"/>
        <v>-1.1348323858208183E-3</v>
      </c>
    </row>
    <row r="188" spans="1:21">
      <c r="A188" s="13">
        <v>45716</v>
      </c>
      <c r="B188" s="35">
        <v>689.08728027343705</v>
      </c>
      <c r="C188" s="23">
        <f t="shared" si="0"/>
        <v>-1.1417646167030563E-2</v>
      </c>
      <c r="D188" s="24">
        <v>101.21189880371094</v>
      </c>
      <c r="E188" s="23">
        <f t="shared" si="1"/>
        <v>-1.00029867887866E-2</v>
      </c>
      <c r="F188" s="24">
        <v>371.65121459960938</v>
      </c>
      <c r="G188" s="23">
        <f t="shared" si="2"/>
        <v>-1.6609249025598086E-2</v>
      </c>
      <c r="H188" s="36">
        <v>83.491302490234304</v>
      </c>
      <c r="I188" s="23">
        <f t="shared" si="3"/>
        <v>-8.4191658002081542E-3</v>
      </c>
      <c r="J188" s="35"/>
      <c r="K188" s="23" t="e">
        <f t="shared" si="4"/>
        <v>#DIV/0!</v>
      </c>
      <c r="L188" s="36">
        <v>125.41600036621</v>
      </c>
      <c r="M188" s="23">
        <f t="shared" si="5"/>
        <v>-2.0761146456805771E-2</v>
      </c>
      <c r="N188" s="24">
        <v>86.922203063964844</v>
      </c>
      <c r="O188" s="23">
        <f t="shared" si="6"/>
        <v>-1.7221506733672804E-2</v>
      </c>
      <c r="P188" s="36">
        <v>16.1840000152587</v>
      </c>
      <c r="Q188" s="23">
        <f t="shared" si="7"/>
        <v>-1.8670410543788568E-2</v>
      </c>
      <c r="R188" s="24">
        <v>44.804000854492188</v>
      </c>
      <c r="S188" s="23">
        <f t="shared" si="8"/>
        <v>-2.0872505345047192E-2</v>
      </c>
      <c r="T188" s="24">
        <v>83.491302490234375</v>
      </c>
      <c r="U188" s="23">
        <f t="shared" si="9"/>
        <v>-8.4191658002074829E-3</v>
      </c>
    </row>
    <row r="189" spans="1:21">
      <c r="A189" s="12">
        <v>45719</v>
      </c>
      <c r="B189" s="35">
        <v>689.50299072265602</v>
      </c>
      <c r="C189" s="23">
        <f t="shared" si="0"/>
        <v>6.0309501751944726E-4</v>
      </c>
      <c r="D189" s="24">
        <v>101.49800109863281</v>
      </c>
      <c r="E189" s="23">
        <f t="shared" si="1"/>
        <v>2.8227776249049553E-3</v>
      </c>
      <c r="F189" s="24">
        <v>370.710693359375</v>
      </c>
      <c r="G189" s="23">
        <f t="shared" si="2"/>
        <v>-2.5338631558703612E-3</v>
      </c>
      <c r="H189" s="36">
        <v>82.890998840332003</v>
      </c>
      <c r="I189" s="23">
        <f t="shared" si="3"/>
        <v>-7.215986916160262E-3</v>
      </c>
      <c r="J189" s="35"/>
      <c r="K189" s="23" t="e">
        <f t="shared" si="4"/>
        <v>#DIV/0!</v>
      </c>
      <c r="L189" s="36">
        <v>126.449996948242</v>
      </c>
      <c r="M189" s="23">
        <f t="shared" si="5"/>
        <v>8.2107342956732506E-3</v>
      </c>
      <c r="N189" s="24">
        <v>86.983001708984375</v>
      </c>
      <c r="O189" s="23">
        <f t="shared" si="6"/>
        <v>6.9921596166098239E-4</v>
      </c>
      <c r="P189" s="36">
        <v>16.187999725341701</v>
      </c>
      <c r="Q189" s="23">
        <f t="shared" si="7"/>
        <v>2.4710923856448801E-4</v>
      </c>
      <c r="R189" s="24">
        <v>44.812999725341797</v>
      </c>
      <c r="S189" s="23">
        <f t="shared" si="8"/>
        <v>2.0082954844789498E-4</v>
      </c>
      <c r="T189" s="24">
        <v>82.890998840332031</v>
      </c>
      <c r="U189" s="23">
        <f t="shared" si="9"/>
        <v>-7.2159869161607096E-3</v>
      </c>
    </row>
    <row r="190" spans="1:21">
      <c r="A190" s="12">
        <v>45720</v>
      </c>
      <c r="B190" s="35">
        <v>689.69488525390602</v>
      </c>
      <c r="C190" s="23">
        <f t="shared" si="0"/>
        <v>2.7826976220127696E-4</v>
      </c>
      <c r="D190" s="24">
        <v>101.43039703369141</v>
      </c>
      <c r="E190" s="23">
        <f t="shared" si="1"/>
        <v>-6.6628493660423076E-4</v>
      </c>
      <c r="F190" s="24">
        <v>370.727294921875</v>
      </c>
      <c r="G190" s="23">
        <f t="shared" si="2"/>
        <v>4.4782066107125734E-5</v>
      </c>
      <c r="H190" s="36">
        <v>82.684303283691406</v>
      </c>
      <c r="I190" s="23">
        <f t="shared" si="3"/>
        <v>-2.4966968063316556E-3</v>
      </c>
      <c r="J190" s="35"/>
      <c r="K190" s="23" t="e">
        <f t="shared" si="4"/>
        <v>#DIV/0!</v>
      </c>
      <c r="L190" s="36">
        <v>126.814002990722</v>
      </c>
      <c r="M190" s="23">
        <f t="shared" si="5"/>
        <v>2.874520604682765E-3</v>
      </c>
      <c r="N190" s="24">
        <v>87.164299011230469</v>
      </c>
      <c r="O190" s="23">
        <f t="shared" si="6"/>
        <v>2.0821151633476295E-3</v>
      </c>
      <c r="P190" s="36">
        <v>16.174999237060501</v>
      </c>
      <c r="Q190" s="23">
        <f t="shared" si="7"/>
        <v>-8.0341682769253424E-4</v>
      </c>
      <c r="R190" s="24">
        <v>44.705001831054688</v>
      </c>
      <c r="S190" s="23">
        <f t="shared" si="8"/>
        <v>-2.4128766238331704E-3</v>
      </c>
      <c r="T190" s="24">
        <v>82.684303283691406</v>
      </c>
      <c r="U190" s="23">
        <f t="shared" si="9"/>
        <v>-2.4966968063319895E-3</v>
      </c>
    </row>
    <row r="191" spans="1:21">
      <c r="A191" s="12">
        <v>45721</v>
      </c>
      <c r="B191" s="35">
        <v>695.752197265625</v>
      </c>
      <c r="C191" s="23">
        <f t="shared" si="0"/>
        <v>8.744254016293012E-3</v>
      </c>
      <c r="D191" s="24">
        <v>104.06900024414063</v>
      </c>
      <c r="E191" s="23">
        <f t="shared" si="1"/>
        <v>2.5681323290689322E-2</v>
      </c>
      <c r="F191" s="24">
        <v>375.73870849609375</v>
      </c>
      <c r="G191" s="23">
        <f t="shared" si="2"/>
        <v>1.342723940186117E-2</v>
      </c>
      <c r="H191" s="36">
        <v>83.735298156738196</v>
      </c>
      <c r="I191" s="23">
        <f t="shared" si="3"/>
        <v>1.2630829982798438E-2</v>
      </c>
      <c r="J191" s="35"/>
      <c r="K191" s="23" t="e">
        <f t="shared" si="4"/>
        <v>#DIV/0!</v>
      </c>
      <c r="L191" s="36">
        <v>129.86199951171801</v>
      </c>
      <c r="M191" s="23">
        <f t="shared" si="5"/>
        <v>2.3750874816482078E-2</v>
      </c>
      <c r="N191" s="24">
        <v>88.253501892089844</v>
      </c>
      <c r="O191" s="23">
        <f t="shared" si="6"/>
        <v>1.2418544449983422E-2</v>
      </c>
      <c r="P191" s="36">
        <v>16.318000793456999</v>
      </c>
      <c r="Q191" s="23">
        <f t="shared" si="7"/>
        <v>8.8020484121122938E-3</v>
      </c>
      <c r="R191" s="24">
        <v>45.840000152587891</v>
      </c>
      <c r="S191" s="23">
        <f t="shared" si="8"/>
        <v>2.5071682589299146E-2</v>
      </c>
      <c r="T191" s="24">
        <v>83.735298156738281</v>
      </c>
      <c r="U191" s="23">
        <f t="shared" si="9"/>
        <v>1.2630829982799534E-2</v>
      </c>
    </row>
    <row r="192" spans="1:21">
      <c r="A192" s="12">
        <v>45722</v>
      </c>
      <c r="B192" s="35">
        <v>700.10479736328102</v>
      </c>
      <c r="C192" s="23">
        <f t="shared" si="0"/>
        <v>6.2364758306384062E-3</v>
      </c>
      <c r="D192" s="24">
        <v>103.19110107421875</v>
      </c>
      <c r="E192" s="23">
        <f t="shared" si="1"/>
        <v>-8.471523604007011E-3</v>
      </c>
      <c r="F192" s="24">
        <v>378.8865966796875</v>
      </c>
      <c r="G192" s="23">
        <f t="shared" si="2"/>
        <v>8.3429654984114327E-3</v>
      </c>
      <c r="H192" s="36">
        <v>83.867401123046804</v>
      </c>
      <c r="I192" s="23">
        <f t="shared" si="3"/>
        <v>1.5763826505469022E-3</v>
      </c>
      <c r="J192" s="35"/>
      <c r="K192" s="23" t="e">
        <f t="shared" si="4"/>
        <v>#DIV/0!</v>
      </c>
      <c r="L192" s="36">
        <v>130.815994262695</v>
      </c>
      <c r="M192" s="23">
        <f t="shared" si="5"/>
        <v>7.3193674402752687E-3</v>
      </c>
      <c r="N192" s="24">
        <v>89.174003601074219</v>
      </c>
      <c r="O192" s="23">
        <f t="shared" si="6"/>
        <v>1.037618113650844E-2</v>
      </c>
      <c r="P192" s="36">
        <v>16.552999496459901</v>
      </c>
      <c r="Q192" s="23">
        <f t="shared" si="7"/>
        <v>1.4298482226903747E-2</v>
      </c>
      <c r="R192" s="24">
        <v>46.188999176025391</v>
      </c>
      <c r="S192" s="23">
        <f t="shared" si="8"/>
        <v>7.5845809260405928E-3</v>
      </c>
      <c r="T192" s="24">
        <v>83.867401123046875</v>
      </c>
      <c r="U192" s="23">
        <f t="shared" si="9"/>
        <v>1.5763826505466806E-3</v>
      </c>
    </row>
    <row r="193" spans="1:21">
      <c r="A193" s="12">
        <v>45723</v>
      </c>
      <c r="B193" s="35">
        <v>699.99987792968705</v>
      </c>
      <c r="C193" s="23">
        <f t="shared" si="0"/>
        <v>-1.498736996481418E-4</v>
      </c>
      <c r="D193" s="24">
        <v>102.53990173339844</v>
      </c>
      <c r="E193" s="23">
        <f t="shared" si="1"/>
        <v>-6.3306113979457969E-3</v>
      </c>
      <c r="F193" s="24">
        <v>379.0419921875</v>
      </c>
      <c r="G193" s="23">
        <f t="shared" si="2"/>
        <v>4.1005316931554158E-4</v>
      </c>
      <c r="H193" s="36">
        <v>83.816596984863196</v>
      </c>
      <c r="I193" s="23">
        <f t="shared" si="3"/>
        <v>-6.0595095908218114E-4</v>
      </c>
      <c r="J193" s="35"/>
      <c r="K193" s="23" t="e">
        <f t="shared" si="4"/>
        <v>#DIV/0!</v>
      </c>
      <c r="L193" s="36">
        <v>130.30400085449199</v>
      </c>
      <c r="M193" s="23">
        <f t="shared" si="5"/>
        <v>-3.9215232376771676E-3</v>
      </c>
      <c r="N193" s="24">
        <v>89.119499206542969</v>
      </c>
      <c r="O193" s="23">
        <f t="shared" si="6"/>
        <v>-6.1140081237754458E-4</v>
      </c>
      <c r="P193" s="36">
        <v>16.544000625610298</v>
      </c>
      <c r="Q193" s="23">
        <f t="shared" si="7"/>
        <v>-5.4378771720475924E-4</v>
      </c>
      <c r="R193" s="24">
        <v>45.965999603271484</v>
      </c>
      <c r="S193" s="23">
        <f t="shared" si="8"/>
        <v>-4.8396725294044653E-3</v>
      </c>
      <c r="T193" s="24">
        <v>83.816596984863281</v>
      </c>
      <c r="U193" s="23">
        <f t="shared" si="9"/>
        <v>-6.0595095908207012E-4</v>
      </c>
    </row>
    <row r="194" spans="1:21">
      <c r="A194" s="13">
        <v>45726</v>
      </c>
      <c r="B194" s="35">
        <v>697.75537109375</v>
      </c>
      <c r="C194" s="23">
        <f t="shared" si="0"/>
        <v>-3.2115905366368156E-3</v>
      </c>
      <c r="D194" s="24">
        <v>100.52619934082031</v>
      </c>
      <c r="E194" s="23">
        <f t="shared" si="1"/>
        <v>-1.9833624546705245E-2</v>
      </c>
      <c r="F194" s="24">
        <v>375.926513671875</v>
      </c>
      <c r="G194" s="23">
        <f t="shared" si="2"/>
        <v>-8.2533143468390344E-3</v>
      </c>
      <c r="H194" s="36">
        <v>83.336997985839801</v>
      </c>
      <c r="I194" s="23">
        <f t="shared" si="3"/>
        <v>-5.7384385324575661E-3</v>
      </c>
      <c r="J194" s="35"/>
      <c r="K194" s="23" t="e">
        <f t="shared" si="4"/>
        <v>#DIV/0!</v>
      </c>
      <c r="L194" s="36">
        <v>128.78399658203099</v>
      </c>
      <c r="M194" s="23">
        <f t="shared" si="5"/>
        <v>-1.1733632794574324E-2</v>
      </c>
      <c r="N194" s="24">
        <v>88.587898254394531</v>
      </c>
      <c r="O194" s="23">
        <f t="shared" si="6"/>
        <v>-5.9828971158980776E-3</v>
      </c>
      <c r="P194" s="36">
        <v>16.361000061035099</v>
      </c>
      <c r="Q194" s="23">
        <f t="shared" si="7"/>
        <v>-1.1123078409490407E-2</v>
      </c>
      <c r="R194" s="24">
        <v>45.479999542236328</v>
      </c>
      <c r="S194" s="23">
        <f t="shared" si="8"/>
        <v>-1.0629325314655573E-2</v>
      </c>
      <c r="T194" s="24">
        <v>83.336997985839844</v>
      </c>
      <c r="U194" s="23">
        <f t="shared" si="9"/>
        <v>-5.7384385324580128E-3</v>
      </c>
    </row>
    <row r="195" spans="1:21">
      <c r="A195" s="13">
        <v>45727</v>
      </c>
      <c r="B195" s="35">
        <v>698.26068115234295</v>
      </c>
      <c r="C195" s="23">
        <f t="shared" si="0"/>
        <v>7.2393161933696011E-4</v>
      </c>
      <c r="D195" s="24">
        <v>102.00530242919922</v>
      </c>
      <c r="E195" s="23">
        <f t="shared" si="1"/>
        <v>1.4606413049292333E-2</v>
      </c>
      <c r="F195" s="24">
        <v>375.42019653320313</v>
      </c>
      <c r="G195" s="23">
        <f t="shared" si="2"/>
        <v>-1.347759186103332E-3</v>
      </c>
      <c r="H195" s="36">
        <v>83.260299682617102</v>
      </c>
      <c r="I195" s="23">
        <f t="shared" si="3"/>
        <v>-9.207629381132237E-4</v>
      </c>
      <c r="J195" s="35"/>
      <c r="K195" s="23" t="e">
        <f t="shared" si="4"/>
        <v>#DIV/0!</v>
      </c>
      <c r="L195" s="36">
        <v>128.83599853515599</v>
      </c>
      <c r="M195" s="23">
        <f t="shared" si="5"/>
        <v>4.0371054123827343E-4</v>
      </c>
      <c r="N195" s="24">
        <v>88.504203796386719</v>
      </c>
      <c r="O195" s="23">
        <f t="shared" si="6"/>
        <v>-9.4520832120445605E-4</v>
      </c>
      <c r="P195" s="36">
        <v>16.5090007781982</v>
      </c>
      <c r="Q195" s="23">
        <f t="shared" si="7"/>
        <v>9.0052761520827782E-3</v>
      </c>
      <c r="R195" s="24">
        <v>45.472000122070313</v>
      </c>
      <c r="S195" s="23">
        <f t="shared" si="8"/>
        <v>-1.759042179648481E-4</v>
      </c>
      <c r="T195" s="24">
        <v>83.260299682617188</v>
      </c>
      <c r="U195" s="23">
        <f t="shared" si="9"/>
        <v>-9.2076293811266805E-4</v>
      </c>
    </row>
    <row r="196" spans="1:21">
      <c r="A196" s="13">
        <v>45728</v>
      </c>
      <c r="B196" s="35">
        <v>698.05847167968705</v>
      </c>
      <c r="C196" s="23">
        <f t="shared" si="0"/>
        <v>-2.8963217135472507E-4</v>
      </c>
      <c r="D196" s="24">
        <v>101.43630218505859</v>
      </c>
      <c r="E196" s="23">
        <f t="shared" si="1"/>
        <v>-5.5937597316327841E-3</v>
      </c>
      <c r="F196" s="24">
        <v>374.81451416015625</v>
      </c>
      <c r="G196" s="23">
        <f t="shared" si="2"/>
        <v>-1.6146480454791701E-3</v>
      </c>
      <c r="H196" s="36">
        <v>83.557899475097599</v>
      </c>
      <c r="I196" s="23">
        <f t="shared" si="3"/>
        <v>3.5679573295330073E-3</v>
      </c>
      <c r="J196" s="35"/>
      <c r="K196" s="23" t="e">
        <f t="shared" si="4"/>
        <v>#DIV/0!</v>
      </c>
      <c r="L196" s="36">
        <v>128.26100158691401</v>
      </c>
      <c r="M196" s="23">
        <f t="shared" si="5"/>
        <v>-4.4730036264040464E-3</v>
      </c>
      <c r="N196" s="24">
        <v>88.373802185058594</v>
      </c>
      <c r="O196" s="23">
        <f t="shared" si="6"/>
        <v>-1.4744810608872457E-3</v>
      </c>
      <c r="P196" s="36">
        <v>16.5259990692138</v>
      </c>
      <c r="Q196" s="23">
        <f t="shared" si="7"/>
        <v>1.0291080729107533E-3</v>
      </c>
      <c r="R196" s="24">
        <v>45.251998901367188</v>
      </c>
      <c r="S196" s="23">
        <f t="shared" si="8"/>
        <v>-4.8499108130912287E-3</v>
      </c>
      <c r="T196" s="24">
        <v>83.557899475097656</v>
      </c>
      <c r="U196" s="23">
        <f t="shared" si="9"/>
        <v>3.5679573295327861E-3</v>
      </c>
    </row>
    <row r="197" spans="1:21">
      <c r="A197" s="13">
        <v>45729</v>
      </c>
      <c r="B197" s="35">
        <v>697.81817626953102</v>
      </c>
      <c r="C197" s="23">
        <f t="shared" si="0"/>
        <v>-3.4429319078122672E-4</v>
      </c>
      <c r="D197" s="24">
        <v>101.16539764404297</v>
      </c>
      <c r="E197" s="23">
        <f t="shared" si="1"/>
        <v>-2.6742589296690779E-3</v>
      </c>
      <c r="F197" s="24">
        <v>373.35018920898438</v>
      </c>
      <c r="G197" s="23">
        <f t="shared" si="2"/>
        <v>-3.9144504261926791E-3</v>
      </c>
      <c r="H197" s="36">
        <v>83.048797607421804</v>
      </c>
      <c r="I197" s="23">
        <f t="shared" si="3"/>
        <v>-6.1114404301486841E-3</v>
      </c>
      <c r="J197" s="35"/>
      <c r="K197" s="23" t="e">
        <f t="shared" si="4"/>
        <v>#DIV/0!</v>
      </c>
      <c r="L197" s="36">
        <v>127.67400360107401</v>
      </c>
      <c r="M197" s="23">
        <f t="shared" si="5"/>
        <v>-4.5870944045486202E-3</v>
      </c>
      <c r="N197" s="24">
        <v>88.065597534179688</v>
      </c>
      <c r="O197" s="23">
        <f t="shared" si="6"/>
        <v>-3.4936070384113602E-3</v>
      </c>
      <c r="P197" s="36">
        <v>16.408000946044901</v>
      </c>
      <c r="Q197" s="23">
        <f t="shared" si="7"/>
        <v>-7.1657635288399323E-3</v>
      </c>
      <c r="R197" s="24">
        <v>44.819000244140625</v>
      </c>
      <c r="S197" s="23">
        <f t="shared" si="8"/>
        <v>-9.6146816830758111E-3</v>
      </c>
      <c r="T197" s="24">
        <v>83.048797607421875</v>
      </c>
      <c r="U197" s="23">
        <f t="shared" si="9"/>
        <v>-6.1114404301484612E-3</v>
      </c>
    </row>
    <row r="198" spans="1:21">
      <c r="A198" s="13">
        <v>45733</v>
      </c>
      <c r="B198" s="35">
        <v>700.82940673828102</v>
      </c>
      <c r="C198" s="23">
        <f t="shared" si="0"/>
        <v>4.3059240339446674E-3</v>
      </c>
      <c r="D198" s="24">
        <v>101.63950347900391</v>
      </c>
      <c r="E198" s="23">
        <f t="shared" si="1"/>
        <v>4.6754954738096755E-3</v>
      </c>
      <c r="F198" s="24">
        <v>374.81619262695313</v>
      </c>
      <c r="G198" s="23">
        <f t="shared" si="2"/>
        <v>3.9189285426350301E-3</v>
      </c>
      <c r="H198" s="36">
        <v>83.778602600097599</v>
      </c>
      <c r="I198" s="23">
        <f t="shared" si="3"/>
        <v>8.749277963949486E-3</v>
      </c>
      <c r="J198" s="35"/>
      <c r="K198" s="23" t="e">
        <f t="shared" si="4"/>
        <v>#DIV/0!</v>
      </c>
      <c r="L198" s="36">
        <v>128.746002197265</v>
      </c>
      <c r="M198" s="23">
        <f t="shared" si="5"/>
        <v>8.3613198453875957E-3</v>
      </c>
      <c r="N198" s="24">
        <v>88.674598693847656</v>
      </c>
      <c r="O198" s="23">
        <f t="shared" si="6"/>
        <v>6.8915117549302289E-3</v>
      </c>
      <c r="P198" s="36">
        <v>16.507999420166001</v>
      </c>
      <c r="Q198" s="23">
        <f t="shared" si="7"/>
        <v>6.0759983382935277E-3</v>
      </c>
      <c r="R198" s="24">
        <v>45.124000549316406</v>
      </c>
      <c r="S198" s="23">
        <f t="shared" si="8"/>
        <v>6.7821058131213169E-3</v>
      </c>
      <c r="T198" s="24">
        <v>83.778602600097656</v>
      </c>
      <c r="U198" s="23">
        <f t="shared" si="9"/>
        <v>8.7492779639492674E-3</v>
      </c>
    </row>
    <row r="199" spans="1:21">
      <c r="A199" s="13">
        <v>45734</v>
      </c>
      <c r="B199" s="35">
        <v>706.03472900390602</v>
      </c>
      <c r="C199" s="23">
        <f t="shared" si="0"/>
        <v>7.3999270953193945E-3</v>
      </c>
      <c r="D199" s="24">
        <v>103.17140197753906</v>
      </c>
      <c r="E199" s="23">
        <f t="shared" si="1"/>
        <v>1.4959428678301152E-2</v>
      </c>
      <c r="F199" s="24">
        <v>379.5421142578125</v>
      </c>
      <c r="G199" s="23">
        <f t="shared" si="2"/>
        <v>1.2529810878626551E-2</v>
      </c>
      <c r="H199" s="36">
        <v>84.296302795410099</v>
      </c>
      <c r="I199" s="23">
        <f t="shared" si="3"/>
        <v>6.1603703578131776E-3</v>
      </c>
      <c r="J199" s="35"/>
      <c r="K199" s="23" t="e">
        <f t="shared" si="4"/>
        <v>#DIV/0!</v>
      </c>
      <c r="L199" s="36">
        <v>131.70599365234301</v>
      </c>
      <c r="M199" s="23">
        <f t="shared" si="5"/>
        <v>2.27306294356736E-2</v>
      </c>
      <c r="N199" s="24">
        <v>90.254402160644531</v>
      </c>
      <c r="O199" s="23">
        <f t="shared" si="6"/>
        <v>1.7658898361129945E-2</v>
      </c>
      <c r="P199" s="36">
        <v>16.804000854492099</v>
      </c>
      <c r="Q199" s="23">
        <f t="shared" si="7"/>
        <v>1.7771927391741587E-2</v>
      </c>
      <c r="R199" s="24">
        <v>46.027000427246094</v>
      </c>
      <c r="S199" s="23">
        <f t="shared" si="8"/>
        <v>1.981392218558066E-2</v>
      </c>
      <c r="T199" s="24">
        <v>84.296302795410156</v>
      </c>
      <c r="U199" s="23">
        <f t="shared" si="9"/>
        <v>6.1603703578131776E-3</v>
      </c>
    </row>
    <row r="200" spans="1:21">
      <c r="A200" s="13">
        <v>45735</v>
      </c>
      <c r="B200" s="35">
        <v>707.72479248046795</v>
      </c>
      <c r="C200" s="23">
        <f t="shared" si="0"/>
        <v>2.3908794331072808E-3</v>
      </c>
      <c r="D200" s="24">
        <v>104.56089782714844</v>
      </c>
      <c r="E200" s="23">
        <f t="shared" si="1"/>
        <v>1.3377953972362008E-2</v>
      </c>
      <c r="F200" s="24">
        <v>382.35549926757813</v>
      </c>
      <c r="G200" s="23">
        <f t="shared" si="2"/>
        <v>7.3852385072600999E-3</v>
      </c>
      <c r="H200" s="36">
        <v>84.767799377441406</v>
      </c>
      <c r="I200" s="23">
        <f t="shared" si="3"/>
        <v>5.5777400213561359E-3</v>
      </c>
      <c r="J200" s="35"/>
      <c r="K200" s="23" t="e">
        <f t="shared" si="4"/>
        <v>#DIV/0!</v>
      </c>
      <c r="L200" s="36">
        <v>133.59899902343699</v>
      </c>
      <c r="M200" s="23">
        <f t="shared" si="5"/>
        <v>1.4270651132532978E-2</v>
      </c>
      <c r="N200" s="24">
        <v>90.971099853515625</v>
      </c>
      <c r="O200" s="23">
        <f t="shared" si="6"/>
        <v>7.9094986223874168E-3</v>
      </c>
      <c r="P200" s="36">
        <v>16.902999877929599</v>
      </c>
      <c r="Q200" s="23">
        <f t="shared" si="7"/>
        <v>5.8741095885700622E-3</v>
      </c>
      <c r="R200" s="24">
        <v>46.807998657226563</v>
      </c>
      <c r="S200" s="23">
        <f t="shared" si="8"/>
        <v>1.682590969735721E-2</v>
      </c>
      <c r="T200" s="24">
        <v>84.767799377441406</v>
      </c>
      <c r="U200" s="23">
        <f t="shared" si="9"/>
        <v>5.5777400213554732E-3</v>
      </c>
    </row>
    <row r="201" spans="1:21">
      <c r="A201" s="13">
        <v>45736</v>
      </c>
      <c r="B201" s="35">
        <v>712.06610107421795</v>
      </c>
      <c r="C201" s="23">
        <f t="shared" si="0"/>
        <v>6.1154387499617584E-3</v>
      </c>
      <c r="D201" s="24">
        <v>104.17459869384766</v>
      </c>
      <c r="E201" s="23">
        <f t="shared" si="1"/>
        <v>-3.7013309260684785E-3</v>
      </c>
      <c r="F201" s="24">
        <v>385.15240478515625</v>
      </c>
      <c r="G201" s="23">
        <f t="shared" si="2"/>
        <v>7.2883103447995501E-3</v>
      </c>
      <c r="H201" s="36">
        <v>85.229301452636705</v>
      </c>
      <c r="I201" s="23">
        <f t="shared" si="3"/>
        <v>5.4295421121331186E-3</v>
      </c>
      <c r="J201" s="35"/>
      <c r="K201" s="23" t="e">
        <f t="shared" si="4"/>
        <v>#DIV/0!</v>
      </c>
      <c r="L201" s="36">
        <v>134.46400451660099</v>
      </c>
      <c r="M201" s="23">
        <f t="shared" si="5"/>
        <v>6.453770077267597E-3</v>
      </c>
      <c r="N201" s="24">
        <v>91.67669677734375</v>
      </c>
      <c r="O201" s="23">
        <f t="shared" si="6"/>
        <v>7.7263503527390184E-3</v>
      </c>
      <c r="P201" s="36">
        <v>17.0820007324218</v>
      </c>
      <c r="Q201" s="23">
        <f t="shared" si="7"/>
        <v>1.0534206654550349E-2</v>
      </c>
      <c r="R201" s="24">
        <v>47.220001220703125</v>
      </c>
      <c r="S201" s="23">
        <f t="shared" si="8"/>
        <v>8.7634577096686404E-3</v>
      </c>
      <c r="T201" s="24">
        <v>85.229301452636719</v>
      </c>
      <c r="U201" s="23">
        <f t="shared" si="9"/>
        <v>5.4295421121331186E-3</v>
      </c>
    </row>
    <row r="202" spans="1:21">
      <c r="A202" s="13">
        <v>45737</v>
      </c>
      <c r="B202" s="35">
        <v>714.79119873046795</v>
      </c>
      <c r="C202" s="23">
        <f t="shared" si="0"/>
        <v>3.8197246072945758E-3</v>
      </c>
      <c r="D202" s="24">
        <v>104.90239715576172</v>
      </c>
      <c r="E202" s="23">
        <f t="shared" si="1"/>
        <v>6.9620418894495552E-3</v>
      </c>
      <c r="F202" s="24">
        <v>388.85971069335938</v>
      </c>
      <c r="G202" s="23">
        <f t="shared" si="2"/>
        <v>9.5795251387147638E-3</v>
      </c>
      <c r="H202" s="36">
        <v>85.848297119140597</v>
      </c>
      <c r="I202" s="23">
        <f t="shared" si="3"/>
        <v>7.2364631358361403E-3</v>
      </c>
      <c r="J202" s="35"/>
      <c r="K202" s="23" t="e">
        <f t="shared" si="4"/>
        <v>#DIV/0!</v>
      </c>
      <c r="L202" s="36">
        <v>135.87600708007801</v>
      </c>
      <c r="M202" s="23">
        <f t="shared" si="5"/>
        <v>1.0446218414606122E-2</v>
      </c>
      <c r="N202" s="24">
        <v>92.542999267578125</v>
      </c>
      <c r="O202" s="23">
        <f t="shared" si="6"/>
        <v>9.4051710508504804E-3</v>
      </c>
      <c r="P202" s="36">
        <v>17.246999740600501</v>
      </c>
      <c r="Q202" s="23">
        <f t="shared" si="7"/>
        <v>9.6128798682233313E-3</v>
      </c>
      <c r="R202" s="24">
        <v>47.811000823974609</v>
      </c>
      <c r="S202" s="23">
        <f t="shared" si="8"/>
        <v>1.2438198270835855E-2</v>
      </c>
      <c r="T202" s="24">
        <v>85.848297119140625</v>
      </c>
      <c r="U202" s="23">
        <f t="shared" si="9"/>
        <v>7.2364631358363607E-3</v>
      </c>
    </row>
    <row r="203" spans="1:21">
      <c r="A203" s="13">
        <v>45740</v>
      </c>
      <c r="B203" s="35">
        <v>719.04388427734295</v>
      </c>
      <c r="C203" s="23">
        <f t="shared" si="0"/>
        <v>5.9319207173059545E-3</v>
      </c>
      <c r="D203" s="24">
        <v>105.98789978027344</v>
      </c>
      <c r="E203" s="23">
        <f t="shared" si="1"/>
        <v>1.0294567620164563E-2</v>
      </c>
      <c r="F203" s="24">
        <v>393.8953857421875</v>
      </c>
      <c r="G203" s="23">
        <f t="shared" si="2"/>
        <v>1.2866717940059339E-2</v>
      </c>
      <c r="H203" s="36">
        <v>86.930198669433594</v>
      </c>
      <c r="I203" s="23">
        <f t="shared" si="3"/>
        <v>1.2523730874228386E-2</v>
      </c>
      <c r="J203" s="35"/>
      <c r="K203" s="23" t="e">
        <f t="shared" si="4"/>
        <v>#DIV/0!</v>
      </c>
      <c r="L203" s="36">
        <v>137.68200683593699</v>
      </c>
      <c r="M203" s="23">
        <f t="shared" si="5"/>
        <v>1.3203970659271107E-2</v>
      </c>
      <c r="N203" s="24">
        <v>93.812301635742188</v>
      </c>
      <c r="O203" s="23">
        <f t="shared" si="6"/>
        <v>1.3622601463027129E-2</v>
      </c>
      <c r="P203" s="36">
        <v>17.437999725341701</v>
      </c>
      <c r="Q203" s="23">
        <f t="shared" si="7"/>
        <v>1.1013516986065583E-2</v>
      </c>
      <c r="R203" s="24">
        <v>48.331001281738281</v>
      </c>
      <c r="S203" s="23">
        <f t="shared" si="8"/>
        <v>1.0817447465479029E-2</v>
      </c>
      <c r="T203" s="24">
        <v>86.930198669433594</v>
      </c>
      <c r="U203" s="23">
        <f t="shared" si="9"/>
        <v>1.2523730874228168E-2</v>
      </c>
    </row>
    <row r="204" spans="1:21">
      <c r="A204" s="13">
        <v>45741</v>
      </c>
      <c r="B204" s="35">
        <v>719.06231689453102</v>
      </c>
      <c r="C204" s="23">
        <f t="shared" si="0"/>
        <v>2.5634570206426542E-5</v>
      </c>
      <c r="D204" s="24">
        <v>105.94750213623047</v>
      </c>
      <c r="E204" s="23">
        <f t="shared" si="1"/>
        <v>-3.8122601667221935E-4</v>
      </c>
      <c r="F204" s="24">
        <v>392.59579467773438</v>
      </c>
      <c r="G204" s="23">
        <f t="shared" si="2"/>
        <v>-3.3047853036593253E-3</v>
      </c>
      <c r="H204" s="36">
        <v>86.937797546386705</v>
      </c>
      <c r="I204" s="23">
        <f t="shared" si="3"/>
        <v>8.74097260374534E-5</v>
      </c>
      <c r="J204" s="35"/>
      <c r="K204" s="23" t="e">
        <f t="shared" si="4"/>
        <v>#DIV/0!</v>
      </c>
      <c r="L204" s="36">
        <v>136.79100036621</v>
      </c>
      <c r="M204" s="23">
        <f t="shared" si="5"/>
        <v>-6.4925116583856544E-3</v>
      </c>
      <c r="N204" s="24">
        <v>93.515800476074219</v>
      </c>
      <c r="O204" s="23">
        <f t="shared" si="6"/>
        <v>-3.1655838491565359E-3</v>
      </c>
      <c r="P204" s="36">
        <v>17.346000671386701</v>
      </c>
      <c r="Q204" s="23">
        <f t="shared" si="7"/>
        <v>-5.2897462872346255E-3</v>
      </c>
      <c r="R204" s="24">
        <v>47.978000640869141</v>
      </c>
      <c r="S204" s="23">
        <f t="shared" si="8"/>
        <v>-7.3306173797888681E-3</v>
      </c>
      <c r="T204" s="24">
        <v>86.937797546386719</v>
      </c>
      <c r="U204" s="23">
        <f t="shared" si="9"/>
        <v>8.7409726037675418E-5</v>
      </c>
    </row>
    <row r="205" spans="1:21">
      <c r="A205" s="13">
        <v>45742</v>
      </c>
      <c r="B205" s="35">
        <v>716.94610595703102</v>
      </c>
      <c r="C205" s="23">
        <f t="shared" si="0"/>
        <v>-2.9473538396652178E-3</v>
      </c>
      <c r="D205" s="24">
        <v>105.81960296630859</v>
      </c>
      <c r="E205" s="23">
        <f t="shared" si="1"/>
        <v>-1.2079230663439159E-3</v>
      </c>
      <c r="F205" s="24">
        <v>390.11318969726563</v>
      </c>
      <c r="G205" s="23">
        <f t="shared" si="2"/>
        <v>-6.3436433090701171E-3</v>
      </c>
      <c r="H205" s="36">
        <v>86.385803222656193</v>
      </c>
      <c r="I205" s="23">
        <f t="shared" si="3"/>
        <v>-6.3695444536263635E-3</v>
      </c>
      <c r="J205" s="35"/>
      <c r="K205" s="23" t="e">
        <f t="shared" si="4"/>
        <v>#DIV/0!</v>
      </c>
      <c r="L205" s="36">
        <v>135.42500305175699</v>
      </c>
      <c r="M205" s="23">
        <f t="shared" si="5"/>
        <v>-1.0036212149066184E-2</v>
      </c>
      <c r="N205" s="24">
        <v>92.656997680664063</v>
      </c>
      <c r="O205" s="23">
        <f t="shared" si="6"/>
        <v>-9.225933063523685E-3</v>
      </c>
      <c r="P205" s="36">
        <v>17.267999649047798</v>
      </c>
      <c r="Q205" s="23">
        <f t="shared" si="7"/>
        <v>-4.5069135984433977E-3</v>
      </c>
      <c r="R205" s="24">
        <v>47.622001647949219</v>
      </c>
      <c r="S205" s="23">
        <f t="shared" si="8"/>
        <v>-7.4477119237119829E-3</v>
      </c>
      <c r="T205" s="24">
        <v>86.38580322265625</v>
      </c>
      <c r="U205" s="23">
        <f t="shared" si="9"/>
        <v>-6.3695444536258049E-3</v>
      </c>
    </row>
    <row r="206" spans="1:21">
      <c r="A206" s="13">
        <v>45743</v>
      </c>
      <c r="B206" s="35">
        <v>719.347900390625</v>
      </c>
      <c r="C206" s="23">
        <f t="shared" si="0"/>
        <v>3.3444359743922607E-3</v>
      </c>
      <c r="D206" s="24">
        <v>106.53749847412109</v>
      </c>
      <c r="E206" s="23">
        <f t="shared" si="1"/>
        <v>6.7612360291463888E-3</v>
      </c>
      <c r="F206" s="24">
        <v>391.92498779296875</v>
      </c>
      <c r="G206" s="23">
        <f t="shared" si="2"/>
        <v>4.6335368001455433E-3</v>
      </c>
      <c r="H206" s="36">
        <v>86.447097778320298</v>
      </c>
      <c r="I206" s="23">
        <f t="shared" si="3"/>
        <v>7.0929270849330107E-4</v>
      </c>
      <c r="J206" s="35"/>
      <c r="K206" s="23" t="e">
        <f t="shared" si="4"/>
        <v>#DIV/0!</v>
      </c>
      <c r="L206" s="36">
        <v>136.66900634765599</v>
      </c>
      <c r="M206" s="23">
        <f t="shared" si="5"/>
        <v>9.1439864220726336E-3</v>
      </c>
      <c r="N206" s="24">
        <v>93.388397216796875</v>
      </c>
      <c r="O206" s="23">
        <f t="shared" si="6"/>
        <v>7.862632714120096E-3</v>
      </c>
      <c r="P206" s="36">
        <v>17.3589992523193</v>
      </c>
      <c r="Q206" s="23">
        <f t="shared" si="7"/>
        <v>5.2560034453820875E-3</v>
      </c>
      <c r="R206" s="24">
        <v>47.96099853515625</v>
      </c>
      <c r="S206" s="23">
        <f t="shared" si="8"/>
        <v>7.0932761668892931E-3</v>
      </c>
      <c r="T206" s="24">
        <v>86.447097778320313</v>
      </c>
      <c r="U206" s="23">
        <f t="shared" si="9"/>
        <v>7.0929270849263537E-4</v>
      </c>
    </row>
    <row r="207" spans="1:21">
      <c r="A207" s="13">
        <v>45744</v>
      </c>
      <c r="B207" s="35">
        <v>719.58160400390602</v>
      </c>
      <c r="C207" s="23">
        <f t="shared" si="0"/>
        <v>3.248298330421395E-4</v>
      </c>
      <c r="D207" s="24">
        <v>105.79869842529297</v>
      </c>
      <c r="E207" s="23">
        <f t="shared" si="1"/>
        <v>-6.9588043958344146E-3</v>
      </c>
      <c r="F207" s="24">
        <v>390.4193115234375</v>
      </c>
      <c r="G207" s="23">
        <f t="shared" si="2"/>
        <v>-3.8491445003021553E-3</v>
      </c>
      <c r="H207" s="36">
        <v>85.837097167968693</v>
      </c>
      <c r="I207" s="23">
        <f t="shared" si="3"/>
        <v>-7.0813594899155393E-3</v>
      </c>
      <c r="J207" s="35"/>
      <c r="K207" s="23" t="e">
        <f t="shared" si="4"/>
        <v>#DIV/0!</v>
      </c>
      <c r="L207" s="36">
        <v>136.35200500488199</v>
      </c>
      <c r="M207" s="23">
        <f t="shared" si="5"/>
        <v>-2.3221764775989253E-3</v>
      </c>
      <c r="N207" s="24">
        <v>92.873497009277344</v>
      </c>
      <c r="O207" s="23">
        <f t="shared" si="6"/>
        <v>-5.5287907519729158E-3</v>
      </c>
      <c r="P207" s="36">
        <v>17.280000686645501</v>
      </c>
      <c r="Q207" s="23">
        <f t="shared" si="7"/>
        <v>-4.561257702427159E-3</v>
      </c>
      <c r="R207" s="24">
        <v>47.819000244140625</v>
      </c>
      <c r="S207" s="23">
        <f t="shared" si="8"/>
        <v>-2.96509494383514E-3</v>
      </c>
      <c r="T207" s="24">
        <v>85.83709716796875</v>
      </c>
      <c r="U207" s="23">
        <f t="shared" si="9"/>
        <v>-7.0813594899149807E-3</v>
      </c>
    </row>
    <row r="208" spans="1:21">
      <c r="A208" s="12">
        <v>45748</v>
      </c>
      <c r="B208" s="35">
        <v>716.01019287109295</v>
      </c>
      <c r="C208" s="23">
        <f t="shared" si="0"/>
        <v>-4.9755348399032331E-3</v>
      </c>
      <c r="D208" s="24">
        <v>104.34269714355469</v>
      </c>
      <c r="E208" s="23">
        <f t="shared" si="1"/>
        <v>-1.3857570305520981E-2</v>
      </c>
      <c r="F208" s="24">
        <v>388.44329833984375</v>
      </c>
      <c r="G208" s="23">
        <f t="shared" si="2"/>
        <v>-5.0741103712071229E-3</v>
      </c>
      <c r="H208" s="36">
        <v>84.964302062988196</v>
      </c>
      <c r="I208" s="23">
        <f t="shared" si="3"/>
        <v>-1.0220088428622574E-2</v>
      </c>
      <c r="J208" s="35"/>
      <c r="K208" s="23" t="e">
        <f t="shared" si="4"/>
        <v>#DIV/0!</v>
      </c>
      <c r="L208" s="36">
        <v>134.38600158691401</v>
      </c>
      <c r="M208" s="23">
        <f t="shared" si="5"/>
        <v>-1.4523546217816574E-2</v>
      </c>
      <c r="N208" s="24">
        <v>91.66290283203125</v>
      </c>
      <c r="O208" s="23">
        <f t="shared" si="6"/>
        <v>-1.3120571823874275E-2</v>
      </c>
      <c r="P208" s="36">
        <v>17.0489997863769</v>
      </c>
      <c r="Q208" s="23">
        <f t="shared" si="7"/>
        <v>-1.3458264659193173E-2</v>
      </c>
      <c r="R208" s="24">
        <v>47.208000183105469</v>
      </c>
      <c r="S208" s="23">
        <f t="shared" si="8"/>
        <v>-1.2859681531071797E-2</v>
      </c>
      <c r="T208" s="24">
        <v>84.964302062988281</v>
      </c>
      <c r="U208" s="23">
        <f t="shared" si="9"/>
        <v>-1.0220088428622237E-2</v>
      </c>
    </row>
    <row r="209" spans="1:21">
      <c r="A209" s="12">
        <v>45749</v>
      </c>
      <c r="B209" s="35">
        <v>718.78338623046795</v>
      </c>
      <c r="C209" s="23">
        <f t="shared" si="0"/>
        <v>3.8656387275825084E-3</v>
      </c>
      <c r="D209" s="24">
        <v>106.09839630126953</v>
      </c>
      <c r="E209" s="23">
        <f t="shared" si="1"/>
        <v>1.6686283707205964E-2</v>
      </c>
      <c r="F209" s="24">
        <v>390.68170166015625</v>
      </c>
      <c r="G209" s="23">
        <f t="shared" si="2"/>
        <v>5.7459572697767282E-3</v>
      </c>
      <c r="H209" s="36">
        <v>85.115898132324205</v>
      </c>
      <c r="I209" s="23">
        <f t="shared" si="3"/>
        <v>1.7826426510230496E-3</v>
      </c>
      <c r="J209" s="35"/>
      <c r="K209" s="23" t="e">
        <f t="shared" si="4"/>
        <v>#DIV/0!</v>
      </c>
      <c r="L209" s="36">
        <v>135.64300537109301</v>
      </c>
      <c r="M209" s="23">
        <f t="shared" si="5"/>
        <v>9.310206174348707E-3</v>
      </c>
      <c r="N209" s="24">
        <v>92.416496276855469</v>
      </c>
      <c r="O209" s="23">
        <f t="shared" si="6"/>
        <v>8.1877457063799248E-3</v>
      </c>
      <c r="P209" s="36">
        <v>17.139999389648398</v>
      </c>
      <c r="Q209" s="23">
        <f t="shared" si="7"/>
        <v>5.3233391067097425E-3</v>
      </c>
      <c r="R209" s="24">
        <v>47.580001831054688</v>
      </c>
      <c r="S209" s="23">
        <f t="shared" si="8"/>
        <v>7.8491697249525056E-3</v>
      </c>
      <c r="T209" s="24">
        <v>85.115898132324219</v>
      </c>
      <c r="U209" s="23">
        <f t="shared" si="9"/>
        <v>1.7826426510223847E-3</v>
      </c>
    </row>
    <row r="210" spans="1:21">
      <c r="A210" s="12">
        <v>45750</v>
      </c>
      <c r="B210" s="35">
        <v>716.97619628906205</v>
      </c>
      <c r="C210" s="23">
        <f t="shared" si="0"/>
        <v>-2.5174004308260258E-3</v>
      </c>
      <c r="D210" s="24">
        <v>104.20179748535156</v>
      </c>
      <c r="E210" s="23">
        <f t="shared" si="1"/>
        <v>-1.8037551022060505E-2</v>
      </c>
      <c r="F210" s="24">
        <v>389.6470947265625</v>
      </c>
      <c r="G210" s="23">
        <f t="shared" si="2"/>
        <v>-2.6517220551955942E-3</v>
      </c>
      <c r="H210" s="36">
        <v>84.584899902343693</v>
      </c>
      <c r="I210" s="23">
        <f t="shared" si="3"/>
        <v>-6.2580726679768378E-3</v>
      </c>
      <c r="J210" s="35"/>
      <c r="K210" s="23" t="e">
        <f t="shared" si="4"/>
        <v>#DIV/0!</v>
      </c>
      <c r="L210" s="36">
        <v>135.04400634765599</v>
      </c>
      <c r="M210" s="23">
        <f t="shared" si="5"/>
        <v>-4.425775713241242E-3</v>
      </c>
      <c r="N210" s="24">
        <v>92.224296569824219</v>
      </c>
      <c r="O210" s="23">
        <f t="shared" si="6"/>
        <v>-2.0818777203844441E-3</v>
      </c>
      <c r="P210" s="36">
        <v>17.135999679565401</v>
      </c>
      <c r="Q210" s="23">
        <f t="shared" si="7"/>
        <v>-2.3338255395997817E-4</v>
      </c>
      <c r="R210" s="24">
        <v>47.553001403808594</v>
      </c>
      <c r="S210" s="23">
        <f t="shared" si="8"/>
        <v>-5.6763535372517809E-4</v>
      </c>
      <c r="T210" s="24">
        <v>84.58489990234375</v>
      </c>
      <c r="U210" s="23">
        <f t="shared" si="9"/>
        <v>-6.2580726679763912E-3</v>
      </c>
    </row>
    <row r="211" spans="1:21">
      <c r="A211" s="12">
        <v>45751</v>
      </c>
      <c r="B211" s="35">
        <v>707.26300048828102</v>
      </c>
      <c r="C211" s="23">
        <f t="shared" si="0"/>
        <v>-1.364004925305104E-2</v>
      </c>
      <c r="D211" s="24">
        <v>101.60269927978516</v>
      </c>
      <c r="E211" s="23">
        <f t="shared" si="1"/>
        <v>-2.5259277003860721E-2</v>
      </c>
      <c r="F211" s="24">
        <v>382.4534912109375</v>
      </c>
      <c r="G211" s="23">
        <f t="shared" si="2"/>
        <v>-1.8634389882981495E-2</v>
      </c>
      <c r="H211" s="36">
        <v>83.617103576660099</v>
      </c>
      <c r="I211" s="23">
        <f t="shared" si="3"/>
        <v>-1.1507675126408481E-2</v>
      </c>
      <c r="J211" s="35"/>
      <c r="K211" s="23" t="e">
        <f t="shared" si="4"/>
        <v>#DIV/0!</v>
      </c>
      <c r="L211" s="36">
        <v>131.53999328613199</v>
      </c>
      <c r="M211" s="23">
        <f t="shared" si="5"/>
        <v>-2.6289761433692906E-2</v>
      </c>
      <c r="N211" s="24">
        <v>90.433296203613281</v>
      </c>
      <c r="O211" s="23">
        <f t="shared" si="6"/>
        <v>-1.9611095706174437E-2</v>
      </c>
      <c r="P211" s="36">
        <v>16.8519992828369</v>
      </c>
      <c r="Q211" s="23">
        <f t="shared" si="7"/>
        <v>-1.6712193445682571E-2</v>
      </c>
      <c r="R211" s="24">
        <v>46.305999755859375</v>
      </c>
      <c r="S211" s="23">
        <f t="shared" si="8"/>
        <v>-2.6573370948116626E-2</v>
      </c>
      <c r="T211" s="24">
        <v>83.617103576660156</v>
      </c>
      <c r="U211" s="23">
        <f t="shared" si="9"/>
        <v>-1.1507675126408481E-2</v>
      </c>
    </row>
    <row r="212" spans="1:21">
      <c r="A212" s="12">
        <v>45754</v>
      </c>
      <c r="B212" s="35">
        <v>696.16387939453102</v>
      </c>
      <c r="C212" s="23">
        <f t="shared" si="0"/>
        <v>-1.5817500237992364E-2</v>
      </c>
      <c r="D212" s="24">
        <v>98.874099731445313</v>
      </c>
      <c r="E212" s="23">
        <f t="shared" si="1"/>
        <v>-2.7222781577646578E-2</v>
      </c>
      <c r="F212" s="24">
        <v>371.96240234375</v>
      </c>
      <c r="G212" s="23">
        <f t="shared" si="2"/>
        <v>-2.7814274071419658E-2</v>
      </c>
      <c r="H212" s="36">
        <v>82.059402465820298</v>
      </c>
      <c r="I212" s="23">
        <f t="shared" si="3"/>
        <v>-1.8804682089506176E-2</v>
      </c>
      <c r="J212" s="35"/>
      <c r="K212" s="23" t="e">
        <f t="shared" si="4"/>
        <v>#DIV/0!</v>
      </c>
      <c r="L212" s="36">
        <v>126.853996276855</v>
      </c>
      <c r="M212" s="23">
        <f t="shared" si="5"/>
        <v>-3.6274147327360208E-2</v>
      </c>
      <c r="N212" s="24">
        <v>87.780197143554688</v>
      </c>
      <c r="O212" s="23">
        <f t="shared" si="6"/>
        <v>-2.9776590281153769E-2</v>
      </c>
      <c r="P212" s="36">
        <v>16.3159999847412</v>
      </c>
      <c r="Q212" s="23">
        <f t="shared" si="7"/>
        <v>-3.2323081040104812E-2</v>
      </c>
      <c r="R212" s="24">
        <v>44.88800048828125</v>
      </c>
      <c r="S212" s="23">
        <f t="shared" si="8"/>
        <v>-3.1101027730235379E-2</v>
      </c>
      <c r="T212" s="24">
        <v>82.059402465820313</v>
      </c>
      <c r="U212" s="23">
        <f t="shared" si="9"/>
        <v>-1.8804682089506742E-2</v>
      </c>
    </row>
    <row r="213" spans="1:21">
      <c r="A213" s="12">
        <v>45755</v>
      </c>
      <c r="B213" s="35">
        <v>702.47259521484295</v>
      </c>
      <c r="C213" s="23">
        <f t="shared" si="0"/>
        <v>9.0212985581345582E-3</v>
      </c>
      <c r="D213" s="24">
        <v>99.809097290039063</v>
      </c>
      <c r="E213" s="23">
        <f t="shared" si="1"/>
        <v>9.4120134456064306E-3</v>
      </c>
      <c r="F213" s="24">
        <v>377.09600830078125</v>
      </c>
      <c r="G213" s="23">
        <f t="shared" si="2"/>
        <v>1.3707038757538358E-2</v>
      </c>
      <c r="H213" s="36">
        <v>82.620796203613196</v>
      </c>
      <c r="I213" s="23">
        <f t="shared" si="3"/>
        <v>6.8180135443185949E-3</v>
      </c>
      <c r="J213" s="35"/>
      <c r="K213" s="23" t="e">
        <f t="shared" si="4"/>
        <v>#DIV/0!</v>
      </c>
      <c r="L213" s="36">
        <v>129.54100036621</v>
      </c>
      <c r="M213" s="23">
        <f t="shared" si="5"/>
        <v>2.0960646669900052E-2</v>
      </c>
      <c r="N213" s="24">
        <v>89.240898132324219</v>
      </c>
      <c r="O213" s="23">
        <f t="shared" si="6"/>
        <v>1.6503503608668355E-2</v>
      </c>
      <c r="P213" s="36">
        <v>16.590000152587798</v>
      </c>
      <c r="Q213" s="23">
        <f t="shared" si="7"/>
        <v>1.6653892879822493E-2</v>
      </c>
      <c r="R213" s="24">
        <v>45.557998657226563</v>
      </c>
      <c r="S213" s="23">
        <f t="shared" si="8"/>
        <v>1.4815700658779395E-2</v>
      </c>
      <c r="T213" s="24">
        <v>82.620796203613281</v>
      </c>
      <c r="U213" s="23">
        <f t="shared" si="9"/>
        <v>6.818013544319477E-3</v>
      </c>
    </row>
    <row r="214" spans="1:21">
      <c r="A214" s="12">
        <v>45756</v>
      </c>
      <c r="B214" s="35">
        <v>702.81689453125</v>
      </c>
      <c r="C214" s="23">
        <f t="shared" si="0"/>
        <v>4.9000483645289669E-4</v>
      </c>
      <c r="D214" s="24">
        <v>99.115097045898438</v>
      </c>
      <c r="E214" s="23">
        <f t="shared" si="1"/>
        <v>-6.9775631079180252E-3</v>
      </c>
      <c r="F214" s="24">
        <v>376.472900390625</v>
      </c>
      <c r="G214" s="23">
        <f t="shared" si="2"/>
        <v>-1.6537520191738399E-3</v>
      </c>
      <c r="H214" s="36">
        <v>83.590896606445298</v>
      </c>
      <c r="I214" s="23">
        <f t="shared" si="3"/>
        <v>1.1673203036351762E-2</v>
      </c>
      <c r="J214" s="35"/>
      <c r="K214" s="23" t="e">
        <f t="shared" si="4"/>
        <v>#DIV/0!</v>
      </c>
      <c r="L214" s="36">
        <v>128.49499511718699</v>
      </c>
      <c r="M214" s="23">
        <f t="shared" si="5"/>
        <v>-8.1074811028582147E-3</v>
      </c>
      <c r="N214" s="24">
        <v>88.640998840332031</v>
      </c>
      <c r="O214" s="23">
        <f t="shared" si="6"/>
        <v>-6.7449423075718329E-3</v>
      </c>
      <c r="P214" s="36">
        <v>16.5030002593994</v>
      </c>
      <c r="Q214" s="23">
        <f t="shared" si="7"/>
        <v>-5.2579151201814075E-3</v>
      </c>
      <c r="R214" s="24">
        <v>45.233001708984375</v>
      </c>
      <c r="S214" s="23">
        <f t="shared" si="8"/>
        <v>-7.1592632546107491E-3</v>
      </c>
      <c r="T214" s="24">
        <v>83.590896606445313</v>
      </c>
      <c r="U214" s="23">
        <f t="shared" si="9"/>
        <v>1.1673203036350884E-2</v>
      </c>
    </row>
    <row r="215" spans="1:21">
      <c r="A215" s="13">
        <v>45758</v>
      </c>
      <c r="B215" s="35">
        <v>711.29107666015602</v>
      </c>
      <c r="C215" s="23">
        <f t="shared" si="0"/>
        <v>1.198534163332011E-2</v>
      </c>
      <c r="D215" s="24">
        <v>100.56009674072266</v>
      </c>
      <c r="E215" s="23">
        <f t="shared" si="1"/>
        <v>1.4473755035515522E-2</v>
      </c>
      <c r="F215" s="24">
        <v>381.90289306640625</v>
      </c>
      <c r="G215" s="23">
        <f t="shared" si="2"/>
        <v>1.4320302722863146E-2</v>
      </c>
      <c r="H215" s="36">
        <v>84.398696899414006</v>
      </c>
      <c r="I215" s="23">
        <f t="shared" si="3"/>
        <v>9.6173400082553134E-3</v>
      </c>
      <c r="J215" s="35"/>
      <c r="K215" s="23" t="e">
        <f t="shared" si="4"/>
        <v>#DIV/0!</v>
      </c>
      <c r="L215" s="36">
        <v>131.37899780273401</v>
      </c>
      <c r="M215" s="23">
        <f t="shared" si="5"/>
        <v>2.2196304129741329E-2</v>
      </c>
      <c r="N215" s="24">
        <v>90.069297790527344</v>
      </c>
      <c r="O215" s="23">
        <f t="shared" si="6"/>
        <v>1.5984858060511642E-2</v>
      </c>
      <c r="P215" s="36">
        <v>16.790000915527301</v>
      </c>
      <c r="Q215" s="23">
        <f t="shared" si="7"/>
        <v>1.7241327337829439E-2</v>
      </c>
      <c r="R215" s="24">
        <v>46.015998840332031</v>
      </c>
      <c r="S215" s="23">
        <f t="shared" si="8"/>
        <v>1.7162190166565967E-2</v>
      </c>
      <c r="T215" s="24">
        <v>84.398696899414063</v>
      </c>
      <c r="U215" s="23">
        <f t="shared" si="9"/>
        <v>9.6173400082557522E-3</v>
      </c>
    </row>
    <row r="216" spans="1:21">
      <c r="A216" s="13">
        <v>45762</v>
      </c>
      <c r="B216" s="35">
        <v>720.32672119140602</v>
      </c>
      <c r="C216" s="23">
        <f t="shared" si="0"/>
        <v>1.2623151969439502E-2</v>
      </c>
      <c r="D216" s="24">
        <v>102.40899658203125</v>
      </c>
      <c r="E216" s="23">
        <f t="shared" si="1"/>
        <v>1.8219039691140294E-2</v>
      </c>
      <c r="F216" s="24">
        <v>389.25729370117188</v>
      </c>
      <c r="G216" s="23">
        <f t="shared" si="2"/>
        <v>1.9074178712577949E-2</v>
      </c>
      <c r="H216" s="36">
        <v>85.409103393554602</v>
      </c>
      <c r="I216" s="23">
        <f t="shared" si="3"/>
        <v>1.1900730325361012E-2</v>
      </c>
      <c r="J216" s="35"/>
      <c r="K216" s="23" t="e">
        <f t="shared" si="4"/>
        <v>#DIV/0!</v>
      </c>
      <c r="L216" s="36">
        <v>135.225006103515</v>
      </c>
      <c r="M216" s="23">
        <f t="shared" si="5"/>
        <v>2.8853843691363529E-2</v>
      </c>
      <c r="N216" s="24">
        <v>92.326797485351563</v>
      </c>
      <c r="O216" s="23">
        <f t="shared" si="6"/>
        <v>2.4755080155076686E-2</v>
      </c>
      <c r="P216" s="36">
        <v>17.197999954223601</v>
      </c>
      <c r="Q216" s="23">
        <f t="shared" si="7"/>
        <v>2.4009569709398798E-2</v>
      </c>
      <c r="R216" s="24">
        <v>47.254001617431641</v>
      </c>
      <c r="S216" s="23">
        <f t="shared" si="8"/>
        <v>2.6548203772569293E-2</v>
      </c>
      <c r="T216" s="24">
        <v>85.409103393554688</v>
      </c>
      <c r="U216" s="23">
        <f t="shared" si="9"/>
        <v>1.1900730325361233E-2</v>
      </c>
    </row>
    <row r="217" spans="1:21">
      <c r="A217" s="13">
        <v>45763</v>
      </c>
      <c r="B217" s="35">
        <v>723.88897705078102</v>
      </c>
      <c r="C217" s="23">
        <f t="shared" si="0"/>
        <v>4.9331454961197702E-3</v>
      </c>
      <c r="D217" s="24">
        <v>102.92530059814453</v>
      </c>
      <c r="E217" s="23">
        <f t="shared" si="1"/>
        <v>5.0289222143246604E-3</v>
      </c>
      <c r="F217" s="24">
        <v>391.58840942382813</v>
      </c>
      <c r="G217" s="23">
        <f t="shared" si="2"/>
        <v>5.9707638492039472E-3</v>
      </c>
      <c r="H217" s="36">
        <v>85.245597839355398</v>
      </c>
      <c r="I217" s="23">
        <f t="shared" si="3"/>
        <v>-1.9162156453826388E-3</v>
      </c>
      <c r="J217" s="35"/>
      <c r="K217" s="23" t="e">
        <f t="shared" si="4"/>
        <v>#DIV/0!</v>
      </c>
      <c r="L217" s="36">
        <v>136.09899902343699</v>
      </c>
      <c r="M217" s="23">
        <f t="shared" si="5"/>
        <v>6.4424520229802188E-3</v>
      </c>
      <c r="N217" s="24">
        <v>92.898300170898438</v>
      </c>
      <c r="O217" s="23">
        <f t="shared" si="6"/>
        <v>6.1709185888633054E-3</v>
      </c>
      <c r="P217" s="36">
        <v>17.277000427246001</v>
      </c>
      <c r="Q217" s="23">
        <f t="shared" si="7"/>
        <v>4.5830665948456287E-3</v>
      </c>
      <c r="R217" s="24">
        <v>47.666999816894531</v>
      </c>
      <c r="S217" s="23">
        <f t="shared" si="8"/>
        <v>8.7019900632500421E-3</v>
      </c>
      <c r="T217" s="24">
        <v>85.245597839355469</v>
      </c>
      <c r="U217" s="23">
        <f t="shared" si="9"/>
        <v>-1.91621564538275E-3</v>
      </c>
    </row>
    <row r="218" spans="1:21">
      <c r="A218" s="13">
        <v>45764</v>
      </c>
      <c r="B218" s="35">
        <v>728.59490966796795</v>
      </c>
      <c r="C218" s="23">
        <f t="shared" si="0"/>
        <v>6.4798640818178269E-3</v>
      </c>
      <c r="D218" s="24">
        <v>103.86100006103516</v>
      </c>
      <c r="E218" s="23">
        <f t="shared" si="1"/>
        <v>9.0499790964237506E-3</v>
      </c>
      <c r="F218" s="24">
        <v>395.70639038085938</v>
      </c>
      <c r="G218" s="23">
        <f t="shared" si="2"/>
        <v>1.0461185600963541E-2</v>
      </c>
      <c r="H218" s="36">
        <v>85.985099792480398</v>
      </c>
      <c r="I218" s="23">
        <f t="shared" si="3"/>
        <v>8.6375464332996612E-3</v>
      </c>
      <c r="J218" s="35"/>
      <c r="K218" s="23" t="e">
        <f t="shared" si="4"/>
        <v>#DIV/0!</v>
      </c>
      <c r="L218" s="36">
        <v>136.61199951171801</v>
      </c>
      <c r="M218" s="23">
        <f t="shared" si="5"/>
        <v>3.7622325182139048E-3</v>
      </c>
      <c r="N218" s="24">
        <v>94.105499267578125</v>
      </c>
      <c r="O218" s="23">
        <f t="shared" si="6"/>
        <v>1.291113731390117E-2</v>
      </c>
      <c r="P218" s="36">
        <v>17.5590000152587</v>
      </c>
      <c r="Q218" s="23">
        <f t="shared" si="7"/>
        <v>1.6190477924367272E-2</v>
      </c>
      <c r="R218" s="24">
        <v>47.977001190185547</v>
      </c>
      <c r="S218" s="23">
        <f t="shared" si="8"/>
        <v>6.4824234786173629E-3</v>
      </c>
      <c r="T218" s="24">
        <v>85.985099792480469</v>
      </c>
      <c r="U218" s="23">
        <f t="shared" si="9"/>
        <v>8.6375464332996612E-3</v>
      </c>
    </row>
    <row r="219" spans="1:21">
      <c r="A219" s="13">
        <v>45768</v>
      </c>
      <c r="B219" s="35">
        <v>733.93170166015602</v>
      </c>
      <c r="C219" s="23">
        <f t="shared" si="0"/>
        <v>7.2980766820205161E-3</v>
      </c>
      <c r="D219" s="24">
        <v>105.57929992675781</v>
      </c>
      <c r="E219" s="23">
        <f t="shared" si="1"/>
        <v>1.6408861332872338E-2</v>
      </c>
      <c r="F219" s="24">
        <v>400.28179931640625</v>
      </c>
      <c r="G219" s="23">
        <f t="shared" si="2"/>
        <v>1.1496299535673332E-2</v>
      </c>
      <c r="H219" s="36">
        <v>86.602897644042898</v>
      </c>
      <c r="I219" s="23">
        <f t="shared" si="3"/>
        <v>7.1592520858919477E-3</v>
      </c>
      <c r="J219" s="35"/>
      <c r="K219" s="23" t="e">
        <f t="shared" si="4"/>
        <v>#DIV/0!</v>
      </c>
      <c r="L219" s="36">
        <v>138.94400024414</v>
      </c>
      <c r="M219" s="23">
        <f t="shared" si="5"/>
        <v>1.6926188578258144E-2</v>
      </c>
      <c r="N219" s="24">
        <v>95.38690185546875</v>
      </c>
      <c r="O219" s="23">
        <f t="shared" si="6"/>
        <v>1.3524786356254146E-2</v>
      </c>
      <c r="P219" s="36">
        <v>17.771999359130799</v>
      </c>
      <c r="Q219" s="23">
        <f t="shared" si="7"/>
        <v>1.2057509166859673E-2</v>
      </c>
      <c r="R219" s="24">
        <v>48.708999633789063</v>
      </c>
      <c r="S219" s="23">
        <f t="shared" si="8"/>
        <v>1.5142056212395592E-2</v>
      </c>
      <c r="T219" s="24">
        <v>86.602897644042969</v>
      </c>
      <c r="U219" s="23">
        <f t="shared" si="9"/>
        <v>7.1592520858919477E-3</v>
      </c>
    </row>
    <row r="220" spans="1:21">
      <c r="A220" s="13">
        <v>45769</v>
      </c>
      <c r="B220" s="35">
        <v>734.5927734375</v>
      </c>
      <c r="C220" s="23">
        <f t="shared" si="0"/>
        <v>9.0032114984566977E-4</v>
      </c>
      <c r="D220" s="24">
        <v>106.38690185546875</v>
      </c>
      <c r="E220" s="23">
        <f t="shared" si="1"/>
        <v>7.6201378314238533E-3</v>
      </c>
      <c r="F220" s="24">
        <v>401.6094970703125</v>
      </c>
      <c r="G220" s="23">
        <f t="shared" si="2"/>
        <v>3.3114188247887217E-3</v>
      </c>
      <c r="H220" s="36">
        <v>87.120101928710895</v>
      </c>
      <c r="I220" s="23">
        <f t="shared" si="3"/>
        <v>5.9543735031452822E-3</v>
      </c>
      <c r="J220" s="35"/>
      <c r="K220" s="23" t="e">
        <f t="shared" si="4"/>
        <v>#DIV/0!</v>
      </c>
      <c r="L220" s="36">
        <v>140.11199951171801</v>
      </c>
      <c r="M220" s="23">
        <f t="shared" si="5"/>
        <v>8.3711232819907461E-3</v>
      </c>
      <c r="N220" s="24">
        <v>95.620399475097656</v>
      </c>
      <c r="O220" s="23">
        <f t="shared" si="6"/>
        <v>2.4449090093928579E-3</v>
      </c>
      <c r="P220" s="36">
        <v>17.771999359130799</v>
      </c>
      <c r="Q220" s="23">
        <f t="shared" si="7"/>
        <v>0</v>
      </c>
      <c r="R220" s="24">
        <v>48.998001098632813</v>
      </c>
      <c r="S220" s="23">
        <f t="shared" si="8"/>
        <v>5.9156929490738848E-3</v>
      </c>
      <c r="T220" s="24">
        <v>87.120101928710938</v>
      </c>
      <c r="U220" s="23">
        <f t="shared" si="9"/>
        <v>5.9543735031448407E-3</v>
      </c>
    </row>
    <row r="221" spans="1:21">
      <c r="A221" s="13">
        <v>45770</v>
      </c>
      <c r="B221" s="35">
        <v>737.21771240234295</v>
      </c>
      <c r="C221" s="23">
        <f t="shared" si="0"/>
        <v>3.5669561716358779E-3</v>
      </c>
      <c r="D221" s="24">
        <v>108.04100036621094</v>
      </c>
      <c r="E221" s="23">
        <f t="shared" si="1"/>
        <v>1.5428321634679795E-2</v>
      </c>
      <c r="F221" s="24">
        <v>403.24578857421875</v>
      </c>
      <c r="G221" s="23">
        <f t="shared" si="2"/>
        <v>4.0660570601119116E-3</v>
      </c>
      <c r="H221" s="36">
        <v>87.751701354980398</v>
      </c>
      <c r="I221" s="23">
        <f t="shared" si="3"/>
        <v>7.2236022141304226E-3</v>
      </c>
      <c r="J221" s="35"/>
      <c r="K221" s="23" t="e">
        <f t="shared" si="4"/>
        <v>#DIV/0!</v>
      </c>
      <c r="L221" s="36">
        <v>140.96299743652301</v>
      </c>
      <c r="M221" s="23">
        <f t="shared" si="5"/>
        <v>6.0553271143802476E-3</v>
      </c>
      <c r="N221" s="24">
        <v>96.170799255371094</v>
      </c>
      <c r="O221" s="23">
        <f t="shared" si="6"/>
        <v>5.7395886244549464E-3</v>
      </c>
      <c r="P221" s="36">
        <v>17.931999206542901</v>
      </c>
      <c r="Q221" s="23">
        <f t="shared" si="7"/>
        <v>8.9626330320334222E-3</v>
      </c>
      <c r="R221" s="24">
        <v>49.4010009765625</v>
      </c>
      <c r="S221" s="23">
        <f t="shared" si="8"/>
        <v>8.1911832989630222E-3</v>
      </c>
      <c r="T221" s="24">
        <v>87.751701354980469</v>
      </c>
      <c r="U221" s="23">
        <f t="shared" si="9"/>
        <v>7.2236022141308632E-3</v>
      </c>
    </row>
    <row r="222" spans="1:21">
      <c r="A222" s="13">
        <v>45771</v>
      </c>
      <c r="B222" s="35">
        <v>736.79681396484295</v>
      </c>
      <c r="C222" s="23">
        <f t="shared" si="0"/>
        <v>-5.7109131750121534E-4</v>
      </c>
      <c r="D222" s="24">
        <v>107.18599700927734</v>
      </c>
      <c r="E222" s="23">
        <f t="shared" si="1"/>
        <v>-7.9451729112417404E-3</v>
      </c>
      <c r="F222" s="24">
        <v>403.1962890625</v>
      </c>
      <c r="G222" s="23">
        <f t="shared" si="2"/>
        <v>-1.2276024070064257E-4</v>
      </c>
      <c r="H222" s="36">
        <v>87.863197326660099</v>
      </c>
      <c r="I222" s="23">
        <f t="shared" si="3"/>
        <v>1.2697782192452084E-3</v>
      </c>
      <c r="J222" s="35"/>
      <c r="K222" s="23" t="e">
        <f t="shared" si="4"/>
        <v>#DIV/0!</v>
      </c>
      <c r="L222" s="36">
        <v>140.86700439453099</v>
      </c>
      <c r="M222" s="23">
        <f t="shared" si="5"/>
        <v>-6.8121239811575818E-4</v>
      </c>
      <c r="N222" s="24">
        <v>96.059700012207031</v>
      </c>
      <c r="O222" s="23">
        <f t="shared" si="6"/>
        <v>-1.155896238706169E-3</v>
      </c>
      <c r="P222" s="36">
        <v>17.892999649047798</v>
      </c>
      <c r="Q222" s="23">
        <f t="shared" si="7"/>
        <v>-2.1772267492965905E-3</v>
      </c>
      <c r="R222" s="24">
        <v>49.430000305175781</v>
      </c>
      <c r="S222" s="23">
        <f t="shared" si="8"/>
        <v>5.868468207232085E-4</v>
      </c>
      <c r="T222" s="24">
        <v>87.863197326660156</v>
      </c>
      <c r="U222" s="23">
        <f t="shared" si="9"/>
        <v>1.2697782192452084E-3</v>
      </c>
    </row>
    <row r="223" spans="1:21">
      <c r="A223" s="13">
        <v>45772</v>
      </c>
      <c r="B223" s="35">
        <v>731.152099609375</v>
      </c>
      <c r="C223" s="23">
        <f t="shared" si="0"/>
        <v>-7.6906520726441486E-3</v>
      </c>
      <c r="D223" s="24">
        <v>106.36219787597656</v>
      </c>
      <c r="E223" s="23">
        <f t="shared" si="1"/>
        <v>-7.7153845320445469E-3</v>
      </c>
      <c r="F223" s="24">
        <v>398.12789916992188</v>
      </c>
      <c r="G223" s="23">
        <f t="shared" si="2"/>
        <v>-1.2650204641394554E-2</v>
      </c>
      <c r="H223" s="36">
        <v>87.293403625488196</v>
      </c>
      <c r="I223" s="23">
        <f t="shared" si="3"/>
        <v>-6.5061288927365651E-3</v>
      </c>
      <c r="J223" s="35"/>
      <c r="K223" s="23" t="e">
        <f t="shared" si="4"/>
        <v>#DIV/0!</v>
      </c>
      <c r="L223" s="36">
        <v>138.11500549316401</v>
      </c>
      <c r="M223" s="23">
        <f t="shared" si="5"/>
        <v>-1.9729502777704279E-2</v>
      </c>
      <c r="N223" s="24">
        <v>94.8843994140625</v>
      </c>
      <c r="O223" s="23">
        <f t="shared" si="6"/>
        <v>-1.2310570944281837E-2</v>
      </c>
      <c r="P223" s="36">
        <v>17.701000213623001</v>
      </c>
      <c r="Q223" s="23">
        <f t="shared" si="7"/>
        <v>-1.0788408068352469E-2</v>
      </c>
      <c r="R223" s="24">
        <v>48.678001403808594</v>
      </c>
      <c r="S223" s="23">
        <f t="shared" si="8"/>
        <v>-1.5330322013117171E-2</v>
      </c>
      <c r="T223" s="24">
        <v>87.293403625488281</v>
      </c>
      <c r="U223" s="23">
        <f t="shared" si="9"/>
        <v>-6.5061288927362295E-3</v>
      </c>
    </row>
    <row r="224" spans="1:21">
      <c r="A224" s="13">
        <v>45775</v>
      </c>
      <c r="B224" s="35">
        <v>734.72320556640602</v>
      </c>
      <c r="C224" s="23">
        <f t="shared" si="0"/>
        <v>4.872328511345554E-3</v>
      </c>
      <c r="D224" s="24">
        <v>107.4136962890625</v>
      </c>
      <c r="E224" s="23">
        <f t="shared" si="1"/>
        <v>9.8374692539212865E-3</v>
      </c>
      <c r="F224" s="24">
        <v>402.5791015625</v>
      </c>
      <c r="G224" s="23">
        <f t="shared" si="2"/>
        <v>1.1118294811733785E-2</v>
      </c>
      <c r="H224" s="36">
        <v>87.811302185058594</v>
      </c>
      <c r="I224" s="23">
        <f t="shared" si="3"/>
        <v>5.9153186925620252E-3</v>
      </c>
      <c r="J224" s="35"/>
      <c r="K224" s="23" t="e">
        <f t="shared" si="4"/>
        <v>#DIV/0!</v>
      </c>
      <c r="L224" s="36">
        <v>139.61300659179599</v>
      </c>
      <c r="M224" s="23">
        <f t="shared" si="5"/>
        <v>1.0787645183027113E-2</v>
      </c>
      <c r="N224" s="24">
        <v>96.0281982421875</v>
      </c>
      <c r="O224" s="23">
        <f t="shared" si="6"/>
        <v>1.1982577660080113E-2</v>
      </c>
      <c r="P224" s="36">
        <v>17.9270000457763</v>
      </c>
      <c r="Q224" s="23">
        <f t="shared" si="7"/>
        <v>1.2686811598751532E-2</v>
      </c>
      <c r="R224" s="24">
        <v>49.116001129150391</v>
      </c>
      <c r="S224" s="23">
        <f t="shared" si="8"/>
        <v>8.9576588080788177E-3</v>
      </c>
      <c r="T224" s="24">
        <v>87.811302185058594</v>
      </c>
      <c r="U224" s="23">
        <f t="shared" si="9"/>
        <v>5.9153186925611423E-3</v>
      </c>
    </row>
    <row r="225" spans="1:21">
      <c r="A225" s="13">
        <v>45776</v>
      </c>
      <c r="B225" s="35">
        <v>735.56970214843705</v>
      </c>
      <c r="C225" s="23">
        <f t="shared" si="0"/>
        <v>1.1514667194794498E-3</v>
      </c>
      <c r="D225" s="24">
        <v>108.48069763183594</v>
      </c>
      <c r="E225" s="23">
        <f t="shared" si="1"/>
        <v>9.8845552304020774E-3</v>
      </c>
      <c r="F225" s="24">
        <v>402.880615234375</v>
      </c>
      <c r="G225" s="23">
        <f t="shared" si="2"/>
        <v>7.4867477459348946E-4</v>
      </c>
      <c r="H225" s="36">
        <v>87.519599914550696</v>
      </c>
      <c r="I225" s="23">
        <f t="shared" si="3"/>
        <v>-3.3274515348637843E-3</v>
      </c>
      <c r="J225" s="35"/>
      <c r="K225" s="23" t="e">
        <f t="shared" si="4"/>
        <v>#DIV/0!</v>
      </c>
      <c r="L225" s="36">
        <v>139.98399353027301</v>
      </c>
      <c r="M225" s="23">
        <f t="shared" si="5"/>
        <v>2.6537277297746685E-3</v>
      </c>
      <c r="N225" s="24">
        <v>96.092903137207031</v>
      </c>
      <c r="O225" s="23">
        <f t="shared" si="6"/>
        <v>6.7358449437807404E-4</v>
      </c>
      <c r="P225" s="36">
        <v>17.922000885009702</v>
      </c>
      <c r="Q225" s="23">
        <f t="shared" si="7"/>
        <v>-2.7890098296773905E-4</v>
      </c>
      <c r="R225" s="24">
        <v>49.21099853515625</v>
      </c>
      <c r="S225" s="23">
        <f t="shared" si="8"/>
        <v>1.9322756900496038E-3</v>
      </c>
      <c r="T225" s="24">
        <v>87.519599914550781</v>
      </c>
      <c r="U225" s="23">
        <f t="shared" si="9"/>
        <v>-3.327451534862782E-3</v>
      </c>
    </row>
    <row r="226" spans="1:21">
      <c r="A226" s="13">
        <v>45777</v>
      </c>
      <c r="B226" s="35">
        <v>733.40557861328102</v>
      </c>
      <c r="C226" s="23">
        <f t="shared" si="0"/>
        <v>-2.9464418212542718E-3</v>
      </c>
      <c r="D226" s="24">
        <v>108.15920257568359</v>
      </c>
      <c r="E226" s="23">
        <f t="shared" si="1"/>
        <v>-2.9680155119312787E-3</v>
      </c>
      <c r="F226" s="24">
        <v>402.41268920898438</v>
      </c>
      <c r="G226" s="23">
        <f t="shared" si="2"/>
        <v>-1.1621258378067547E-3</v>
      </c>
      <c r="H226" s="36">
        <v>87.411903381347599</v>
      </c>
      <c r="I226" s="23">
        <f t="shared" si="3"/>
        <v>-1.2312996204860399E-3</v>
      </c>
      <c r="J226" s="35"/>
      <c r="K226" s="23" t="e">
        <f t="shared" si="4"/>
        <v>#DIV/0!</v>
      </c>
      <c r="L226" s="36">
        <v>139.49899291992099</v>
      </c>
      <c r="M226" s="23">
        <f t="shared" si="5"/>
        <v>-3.470702122964236E-3</v>
      </c>
      <c r="N226" s="24">
        <v>95.814697265625</v>
      </c>
      <c r="O226" s="23">
        <f t="shared" si="6"/>
        <v>-2.899375177324537E-3</v>
      </c>
      <c r="P226" s="36">
        <v>17.922000885009702</v>
      </c>
      <c r="Q226" s="23">
        <f t="shared" si="7"/>
        <v>0</v>
      </c>
      <c r="R226" s="24">
        <v>48.976001739501953</v>
      </c>
      <c r="S226" s="23">
        <f t="shared" si="8"/>
        <v>-4.7867282572848641E-3</v>
      </c>
      <c r="T226" s="24">
        <v>87.411903381347656</v>
      </c>
      <c r="U226" s="23">
        <f t="shared" si="9"/>
        <v>-1.2312996204863734E-3</v>
      </c>
    </row>
    <row r="227" spans="1:21">
      <c r="A227" s="25">
        <v>45779</v>
      </c>
      <c r="B227" s="35">
        <v>732.90460205078102</v>
      </c>
      <c r="C227" s="23">
        <f t="shared" si="0"/>
        <v>-6.8331597038509258E-4</v>
      </c>
      <c r="D227" s="24">
        <v>107.95020294189453</v>
      </c>
      <c r="E227" s="23">
        <f t="shared" si="1"/>
        <v>-1.9342027103964236E-3</v>
      </c>
      <c r="F227" s="24">
        <v>402.080810546875</v>
      </c>
      <c r="G227" s="23">
        <f t="shared" si="2"/>
        <v>-8.2506243005489057E-4</v>
      </c>
      <c r="H227" s="36">
        <v>87.984703063964801</v>
      </c>
      <c r="I227" s="23">
        <f t="shared" si="3"/>
        <v>6.5315028671607649E-3</v>
      </c>
      <c r="J227" s="35"/>
      <c r="K227" s="23" t="e">
        <f t="shared" si="4"/>
        <v>#DIV/0!</v>
      </c>
      <c r="L227" s="36">
        <v>139.25199890136699</v>
      </c>
      <c r="M227" s="23">
        <f t="shared" si="5"/>
        <v>-1.7721485515140901E-3</v>
      </c>
      <c r="N227" s="24">
        <v>95.93890380859375</v>
      </c>
      <c r="O227" s="23">
        <f t="shared" si="6"/>
        <v>1.295480863399162E-3</v>
      </c>
      <c r="P227" s="36">
        <v>17.934999465942301</v>
      </c>
      <c r="Q227" s="23">
        <f t="shared" si="7"/>
        <v>7.250233636264911E-4</v>
      </c>
      <c r="R227" s="24">
        <v>48.859001159667969</v>
      </c>
      <c r="S227" s="23">
        <f t="shared" si="8"/>
        <v>-2.3917950047285482E-3</v>
      </c>
      <c r="T227" s="24">
        <v>87.984703063964844</v>
      </c>
      <c r="U227" s="23">
        <f t="shared" si="9"/>
        <v>6.5315028671605446E-3</v>
      </c>
    </row>
    <row r="228" spans="1:21">
      <c r="A228" s="25">
        <v>45782</v>
      </c>
      <c r="B228" s="35">
        <v>735.43719482421795</v>
      </c>
      <c r="C228" s="23">
        <f t="shared" si="0"/>
        <v>3.4495991195758221E-3</v>
      </c>
      <c r="D228" s="24">
        <v>109.89309692382813</v>
      </c>
      <c r="E228" s="23">
        <f t="shared" si="1"/>
        <v>1.7838010175726608E-2</v>
      </c>
      <c r="F228" s="24">
        <v>404.13198852539063</v>
      </c>
      <c r="G228" s="23">
        <f t="shared" si="2"/>
        <v>5.0884391978617948E-3</v>
      </c>
      <c r="H228" s="36">
        <v>88.061500549316406</v>
      </c>
      <c r="I228" s="23">
        <f t="shared" si="3"/>
        <v>8.7246971132463956E-4</v>
      </c>
      <c r="J228" s="35"/>
      <c r="K228" s="23" t="e">
        <f t="shared" si="4"/>
        <v>#DIV/0!</v>
      </c>
      <c r="L228" s="36">
        <v>140.90499877929599</v>
      </c>
      <c r="M228" s="23">
        <f t="shared" si="5"/>
        <v>1.1800662300289226E-2</v>
      </c>
      <c r="N228" s="24">
        <v>96.555198669433594</v>
      </c>
      <c r="O228" s="23">
        <f t="shared" si="6"/>
        <v>6.4032815414313557E-3</v>
      </c>
      <c r="P228" s="36">
        <v>18.0820007324218</v>
      </c>
      <c r="Q228" s="23">
        <f t="shared" si="7"/>
        <v>8.1629276139046376E-3</v>
      </c>
      <c r="R228" s="24">
        <v>49.491001129150391</v>
      </c>
      <c r="S228" s="23">
        <f t="shared" si="8"/>
        <v>1.2852234961400233E-2</v>
      </c>
      <c r="T228" s="24">
        <v>88.061500549316406</v>
      </c>
      <c r="U228" s="23">
        <f t="shared" si="9"/>
        <v>8.7246971132419579E-4</v>
      </c>
    </row>
    <row r="229" spans="1:21">
      <c r="A229" s="25">
        <v>45783</v>
      </c>
      <c r="B229" s="35">
        <v>735.06561279296795</v>
      </c>
      <c r="C229" s="23">
        <f t="shared" si="0"/>
        <v>-5.0538093124881129E-4</v>
      </c>
      <c r="D229" s="24">
        <v>108.51029968261719</v>
      </c>
      <c r="E229" s="23">
        <f t="shared" si="1"/>
        <v>-1.266295067121429E-2</v>
      </c>
      <c r="F229" s="24">
        <v>400.81729125976563</v>
      </c>
      <c r="G229" s="23">
        <f t="shared" si="2"/>
        <v>-8.2358381699452442E-3</v>
      </c>
      <c r="H229" s="36">
        <v>87.785003662109304</v>
      </c>
      <c r="I229" s="23">
        <f t="shared" si="3"/>
        <v>-3.1447553229980189E-3</v>
      </c>
      <c r="J229" s="35"/>
      <c r="K229" s="23" t="e">
        <f t="shared" si="4"/>
        <v>#DIV/0!</v>
      </c>
      <c r="L229" s="36">
        <v>138.91499328613199</v>
      </c>
      <c r="M229" s="23">
        <f t="shared" si="5"/>
        <v>-1.4223708812523517E-2</v>
      </c>
      <c r="N229" s="24">
        <v>95.564796447753906</v>
      </c>
      <c r="O229" s="23">
        <f t="shared" si="6"/>
        <v>-1.0310337501575954E-2</v>
      </c>
      <c r="P229" s="36">
        <v>17.94700050354</v>
      </c>
      <c r="Q229" s="23">
        <f t="shared" si="7"/>
        <v>-7.4940107165525635E-3</v>
      </c>
      <c r="R229" s="24">
        <v>48.741001129150391</v>
      </c>
      <c r="S229" s="23">
        <f t="shared" si="8"/>
        <v>-1.5270269495105127E-2</v>
      </c>
      <c r="T229" s="24">
        <v>87.785003662109375</v>
      </c>
      <c r="U229" s="23">
        <f t="shared" si="9"/>
        <v>-3.1447553229972396E-3</v>
      </c>
    </row>
    <row r="230" spans="1:21">
      <c r="A230" s="25">
        <v>45784</v>
      </c>
      <c r="B230" s="35">
        <v>736.00762939453102</v>
      </c>
      <c r="C230" s="23">
        <f t="shared" si="0"/>
        <v>1.2807203656613161E-3</v>
      </c>
      <c r="D230" s="24">
        <v>109.70570373535156</v>
      </c>
      <c r="E230" s="23">
        <f t="shared" si="1"/>
        <v>1.0956263445233757E-2</v>
      </c>
      <c r="F230" s="24">
        <v>402.69290161132813</v>
      </c>
      <c r="G230" s="23">
        <f t="shared" si="2"/>
        <v>4.6685500067965187E-3</v>
      </c>
      <c r="H230" s="36">
        <v>88.044601440429602</v>
      </c>
      <c r="I230" s="23">
        <f t="shared" si="3"/>
        <v>2.9528356933231415E-3</v>
      </c>
      <c r="J230" s="35"/>
      <c r="K230" s="23" t="e">
        <f t="shared" si="4"/>
        <v>#DIV/0!</v>
      </c>
      <c r="L230" s="36">
        <v>140.60299682617099</v>
      </c>
      <c r="M230" s="23">
        <f t="shared" si="5"/>
        <v>1.2078106742971743E-2</v>
      </c>
      <c r="N230" s="24">
        <v>96.020797729492188</v>
      </c>
      <c r="O230" s="23">
        <f t="shared" si="6"/>
        <v>4.7602967727800637E-3</v>
      </c>
      <c r="P230" s="36">
        <v>17.9340000152587</v>
      </c>
      <c r="Q230" s="23">
        <f t="shared" si="7"/>
        <v>-7.2464472351483418E-4</v>
      </c>
      <c r="R230" s="24">
        <v>49.215000152587891</v>
      </c>
      <c r="S230" s="23">
        <f t="shared" si="8"/>
        <v>9.6778699995503994E-3</v>
      </c>
      <c r="T230" s="24">
        <v>88.044601440429688</v>
      </c>
      <c r="U230" s="23">
        <f t="shared" si="9"/>
        <v>2.9528356933233627E-3</v>
      </c>
    </row>
    <row r="231" spans="1:21">
      <c r="A231" s="25">
        <v>45785</v>
      </c>
      <c r="B231" s="35">
        <v>732.64880371093705</v>
      </c>
      <c r="C231" s="23">
        <f t="shared" si="0"/>
        <v>-4.5740194423897563E-3</v>
      </c>
      <c r="D231" s="24">
        <v>109.05449676513672</v>
      </c>
      <c r="E231" s="23">
        <f t="shared" si="1"/>
        <v>-5.9536322627830734E-3</v>
      </c>
      <c r="F231" s="24">
        <v>399.66531372070313</v>
      </c>
      <c r="G231" s="23">
        <f t="shared" si="2"/>
        <v>-7.5467595447729673E-3</v>
      </c>
      <c r="H231" s="36">
        <v>87.831001281738196</v>
      </c>
      <c r="I231" s="23">
        <f t="shared" si="3"/>
        <v>-2.4289925425185922E-3</v>
      </c>
      <c r="J231" s="35"/>
      <c r="K231" s="23" t="e">
        <f t="shared" si="4"/>
        <v>#DIV/0!</v>
      </c>
      <c r="L231" s="36">
        <v>138.72099304199199</v>
      </c>
      <c r="M231" s="23">
        <f t="shared" si="5"/>
        <v>-1.3475622088731529E-2</v>
      </c>
      <c r="N231" s="24">
        <v>95.148696899414063</v>
      </c>
      <c r="O231" s="23">
        <f t="shared" si="6"/>
        <v>-9.1239125955272001E-3</v>
      </c>
      <c r="P231" s="36">
        <v>17.8159999847412</v>
      </c>
      <c r="Q231" s="23">
        <f t="shared" si="7"/>
        <v>-6.6014242820805974E-3</v>
      </c>
      <c r="R231" s="24">
        <v>48.609001159667969</v>
      </c>
      <c r="S231" s="23">
        <f t="shared" si="8"/>
        <v>-1.2389735377573216E-2</v>
      </c>
      <c r="T231" s="24">
        <v>87.831001281738281</v>
      </c>
      <c r="U231" s="23">
        <f t="shared" si="9"/>
        <v>-2.4289925425185922E-3</v>
      </c>
    </row>
    <row r="232" spans="1:21">
      <c r="A232" s="25">
        <v>45786</v>
      </c>
      <c r="B232" s="35">
        <v>730.10241699218705</v>
      </c>
      <c r="C232" s="23">
        <f t="shared" si="0"/>
        <v>-3.4816437066682144E-3</v>
      </c>
      <c r="D232" s="24">
        <v>108.79029846191406</v>
      </c>
      <c r="E232" s="23">
        <f t="shared" si="1"/>
        <v>-2.4255657104739941E-3</v>
      </c>
      <c r="F232" s="24">
        <v>396.73040771484375</v>
      </c>
      <c r="G232" s="23">
        <f t="shared" si="2"/>
        <v>-7.3705049217500035E-3</v>
      </c>
      <c r="H232" s="36">
        <v>86.864601135253906</v>
      </c>
      <c r="I232" s="23">
        <f t="shared" si="3"/>
        <v>-1.1063930530881021E-2</v>
      </c>
      <c r="J232" s="35"/>
      <c r="K232" s="23" t="e">
        <f t="shared" si="4"/>
        <v>#DIV/0!</v>
      </c>
      <c r="L232" s="36">
        <v>138.95799255371</v>
      </c>
      <c r="M232" s="23">
        <f t="shared" si="5"/>
        <v>1.7070039978591164E-3</v>
      </c>
      <c r="N232" s="24">
        <v>94.348197937011719</v>
      </c>
      <c r="O232" s="23">
        <f t="shared" si="6"/>
        <v>-8.4487265586884238E-3</v>
      </c>
      <c r="P232" s="36">
        <v>17.620000839233398</v>
      </c>
      <c r="Q232" s="23">
        <f t="shared" si="7"/>
        <v>-1.1062260960976792E-2</v>
      </c>
      <c r="R232" s="24">
        <v>48.488998413085938</v>
      </c>
      <c r="S232" s="23">
        <f t="shared" si="8"/>
        <v>-2.4717874355555283E-3</v>
      </c>
      <c r="T232" s="24">
        <v>86.864601135253906</v>
      </c>
      <c r="U232" s="23">
        <f t="shared" si="9"/>
        <v>-1.1063930530882031E-2</v>
      </c>
    </row>
    <row r="233" spans="1:21">
      <c r="A233" s="6">
        <v>45789</v>
      </c>
      <c r="B233" s="35">
        <v>740.877197265625</v>
      </c>
      <c r="C233" s="23">
        <f t="shared" si="0"/>
        <v>1.4650064323382801E-2</v>
      </c>
      <c r="D233" s="24">
        <v>112.61019897460938</v>
      </c>
      <c r="E233" s="23">
        <f t="shared" si="1"/>
        <v>3.4510126745390397E-2</v>
      </c>
      <c r="F233" s="24">
        <v>409.385498046875</v>
      </c>
      <c r="G233" s="23">
        <f t="shared" si="2"/>
        <v>3.1400273898654192E-2</v>
      </c>
      <c r="H233" s="36">
        <v>89.536697387695298</v>
      </c>
      <c r="I233" s="23">
        <f t="shared" si="3"/>
        <v>3.0297970363107482E-2</v>
      </c>
      <c r="J233" s="35"/>
      <c r="K233" s="23" t="e">
        <f t="shared" si="4"/>
        <v>#DIV/0!</v>
      </c>
      <c r="L233" s="36">
        <v>143.33399963378901</v>
      </c>
      <c r="M233" s="23">
        <f t="shared" si="5"/>
        <v>3.1005893004847133E-2</v>
      </c>
      <c r="N233" s="24">
        <v>97.909896850585938</v>
      </c>
      <c r="O233" s="23">
        <f t="shared" si="6"/>
        <v>3.705546398741718E-2</v>
      </c>
      <c r="P233" s="36">
        <v>18.291999816894499</v>
      </c>
      <c r="Q233" s="23">
        <f t="shared" si="7"/>
        <v>3.7429127648043965E-2</v>
      </c>
      <c r="R233" s="24">
        <v>49.971000671386719</v>
      </c>
      <c r="S233" s="23">
        <f t="shared" si="8"/>
        <v>3.0105915230126876E-2</v>
      </c>
      <c r="T233" s="24">
        <v>89.536697387695313</v>
      </c>
      <c r="U233" s="23">
        <f t="shared" si="9"/>
        <v>3.0297970363107482E-2</v>
      </c>
    </row>
    <row r="234" spans="1:21">
      <c r="A234" s="6">
        <v>45790</v>
      </c>
      <c r="B234" s="35">
        <v>738.912109375</v>
      </c>
      <c r="C234" s="23">
        <f t="shared" si="0"/>
        <v>-2.6559038329605224E-3</v>
      </c>
      <c r="D234" s="24">
        <v>112.58950042724609</v>
      </c>
      <c r="E234" s="23">
        <f t="shared" si="1"/>
        <v>-1.8382393472591161E-4</v>
      </c>
      <c r="F234" s="24">
        <v>406.091796875</v>
      </c>
      <c r="G234" s="23">
        <f t="shared" si="2"/>
        <v>-8.0780154225152632E-3</v>
      </c>
      <c r="H234" s="36">
        <v>88.874000549316406</v>
      </c>
      <c r="I234" s="23">
        <f t="shared" si="3"/>
        <v>-7.4289254381410532E-3</v>
      </c>
      <c r="J234" s="35"/>
      <c r="K234" s="23" t="e">
        <f t="shared" si="4"/>
        <v>#DIV/0!</v>
      </c>
      <c r="L234" s="36">
        <v>143.60299682617099</v>
      </c>
      <c r="M234" s="23">
        <f t="shared" si="5"/>
        <v>1.8749570428689695E-3</v>
      </c>
      <c r="N234" s="24">
        <v>97.054000854492188</v>
      </c>
      <c r="O234" s="23">
        <f t="shared" si="6"/>
        <v>-8.7801024147977583E-3</v>
      </c>
      <c r="P234" s="36">
        <v>18.0550003051757</v>
      </c>
      <c r="Q234" s="23">
        <f t="shared" si="7"/>
        <v>-1.3041124153687893E-2</v>
      </c>
      <c r="R234" s="24">
        <v>50.105998992919922</v>
      </c>
      <c r="S234" s="23">
        <f t="shared" si="8"/>
        <v>2.697890701548068E-3</v>
      </c>
      <c r="T234" s="24">
        <v>88.874000549316406</v>
      </c>
      <c r="U234" s="23">
        <f t="shared" si="9"/>
        <v>-7.4289254381411651E-3</v>
      </c>
    </row>
    <row r="235" spans="1:21">
      <c r="A235" s="6">
        <v>45791</v>
      </c>
      <c r="B235" s="35">
        <v>740.65539550781205</v>
      </c>
      <c r="C235" s="23">
        <f t="shared" si="0"/>
        <v>2.3564817877731125E-3</v>
      </c>
      <c r="D235" s="24">
        <v>113.11430358886719</v>
      </c>
      <c r="E235" s="23">
        <f t="shared" si="1"/>
        <v>4.6503789308496466E-3</v>
      </c>
      <c r="F235" s="24">
        <v>408.57659912109375</v>
      </c>
      <c r="G235" s="23">
        <f t="shared" si="2"/>
        <v>6.1001751478302483E-3</v>
      </c>
      <c r="H235" s="36">
        <v>89.217597961425696</v>
      </c>
      <c r="I235" s="23">
        <f t="shared" si="3"/>
        <v>3.8586642077360904E-3</v>
      </c>
      <c r="J235" s="35"/>
      <c r="K235" s="23" t="e">
        <f t="shared" si="4"/>
        <v>#DIV/0!</v>
      </c>
      <c r="L235" s="36">
        <v>145.13299560546801</v>
      </c>
      <c r="M235" s="23">
        <f t="shared" si="5"/>
        <v>1.0598007452331666E-2</v>
      </c>
      <c r="N235" s="24">
        <v>97.647300720214844</v>
      </c>
      <c r="O235" s="23">
        <f t="shared" si="6"/>
        <v>6.0944811084424275E-3</v>
      </c>
      <c r="P235" s="36">
        <v>18.146999359130799</v>
      </c>
      <c r="Q235" s="23">
        <f t="shared" si="7"/>
        <v>5.0825508454714141E-3</v>
      </c>
      <c r="R235" s="24">
        <v>50.756000518798828</v>
      </c>
      <c r="S235" s="23">
        <f t="shared" si="8"/>
        <v>1.2889106455941124E-2</v>
      </c>
      <c r="T235" s="24">
        <v>89.217597961425781</v>
      </c>
      <c r="U235" s="23">
        <f t="shared" si="9"/>
        <v>3.8586642077371963E-3</v>
      </c>
    </row>
    <row r="236" spans="1:21">
      <c r="A236" s="6">
        <v>45792</v>
      </c>
      <c r="B236" s="35">
        <v>745.14862060546795</v>
      </c>
      <c r="C236" s="23">
        <f t="shared" si="0"/>
        <v>6.0482254000566059E-3</v>
      </c>
      <c r="D236" s="24">
        <v>113.24160003662109</v>
      </c>
      <c r="E236" s="23">
        <f t="shared" si="1"/>
        <v>1.1247461111884309E-3</v>
      </c>
      <c r="F236" s="24">
        <v>412.44140625</v>
      </c>
      <c r="G236" s="23">
        <f t="shared" si="2"/>
        <v>9.4147403607822231E-3</v>
      </c>
      <c r="H236" s="36">
        <v>89.996002197265597</v>
      </c>
      <c r="I236" s="23">
        <f t="shared" si="3"/>
        <v>8.6869426226867975E-3</v>
      </c>
      <c r="J236" s="35"/>
      <c r="K236" s="23" t="e">
        <f t="shared" si="4"/>
        <v>#DIV/0!</v>
      </c>
      <c r="L236" s="36">
        <v>146.697998046875</v>
      </c>
      <c r="M236" s="23">
        <f t="shared" si="5"/>
        <v>1.0725505365193582E-2</v>
      </c>
      <c r="N236" s="24">
        <v>98.945297241210938</v>
      </c>
      <c r="O236" s="23">
        <f t="shared" si="6"/>
        <v>1.3205129755259499E-2</v>
      </c>
      <c r="P236" s="36">
        <v>18.429000854492099</v>
      </c>
      <c r="Q236" s="23">
        <f t="shared" si="7"/>
        <v>1.5420334739157847E-2</v>
      </c>
      <c r="R236" s="24">
        <v>51.034000396728516</v>
      </c>
      <c r="S236" s="23">
        <f t="shared" si="8"/>
        <v>5.4622372851975652E-3</v>
      </c>
      <c r="T236" s="24">
        <v>89.996002197265625</v>
      </c>
      <c r="U236" s="23">
        <f t="shared" si="9"/>
        <v>8.6869426226861366E-3</v>
      </c>
    </row>
    <row r="237" spans="1:21">
      <c r="A237" s="6">
        <v>45793</v>
      </c>
      <c r="B237" s="35">
        <v>746.12322998046795</v>
      </c>
      <c r="C237" s="23">
        <f t="shared" si="0"/>
        <v>1.3070849736414609E-3</v>
      </c>
      <c r="D237" s="24">
        <v>113.70670318603516</v>
      </c>
      <c r="E237" s="23">
        <f t="shared" si="1"/>
        <v>4.0987642907988238E-3</v>
      </c>
      <c r="F237" s="24">
        <v>413.50421142578125</v>
      </c>
      <c r="G237" s="23">
        <f t="shared" si="2"/>
        <v>2.5735490076586867E-3</v>
      </c>
      <c r="H237" s="36">
        <v>90.289596557617102</v>
      </c>
      <c r="I237" s="23">
        <f t="shared" si="3"/>
        <v>3.2569947008179801E-3</v>
      </c>
      <c r="J237" s="35"/>
      <c r="K237" s="23" t="e">
        <f t="shared" si="4"/>
        <v>#DIV/0!</v>
      </c>
      <c r="L237" s="36">
        <v>147.697998046875</v>
      </c>
      <c r="M237" s="23">
        <f t="shared" si="5"/>
        <v>6.7935967835538805E-3</v>
      </c>
      <c r="N237" s="24">
        <v>99.222503662109375</v>
      </c>
      <c r="O237" s="23">
        <f t="shared" si="6"/>
        <v>2.7976956947096281E-3</v>
      </c>
      <c r="P237" s="36">
        <v>18.429000854492099</v>
      </c>
      <c r="Q237" s="23">
        <f t="shared" si="7"/>
        <v>0</v>
      </c>
      <c r="R237" s="24">
        <v>51.404998779296875</v>
      </c>
      <c r="S237" s="23">
        <f t="shared" si="8"/>
        <v>7.2433352066093668E-3</v>
      </c>
      <c r="T237" s="24">
        <v>90.289596557617188</v>
      </c>
      <c r="U237" s="23">
        <f t="shared" si="9"/>
        <v>3.256994700818644E-3</v>
      </c>
    </row>
    <row r="238" spans="1:21">
      <c r="A238" s="6">
        <v>45796</v>
      </c>
      <c r="B238" s="35">
        <v>746.29327392578102</v>
      </c>
      <c r="C238" s="23">
        <f t="shared" si="0"/>
        <v>2.2787733263972748E-4</v>
      </c>
      <c r="D238" s="24">
        <v>113.61789703369141</v>
      </c>
      <c r="E238" s="23">
        <f t="shared" si="1"/>
        <v>-7.8131585209504555E-4</v>
      </c>
      <c r="F238" s="24">
        <v>414.05050659179688</v>
      </c>
      <c r="G238" s="23">
        <f t="shared" si="2"/>
        <v>1.3202637444397606E-3</v>
      </c>
      <c r="H238" s="36">
        <v>90.698097229003906</v>
      </c>
      <c r="I238" s="23">
        <f t="shared" si="3"/>
        <v>4.5141341548914585E-3</v>
      </c>
      <c r="J238" s="35"/>
      <c r="K238" s="23" t="e">
        <f t="shared" si="4"/>
        <v>#DIV/0!</v>
      </c>
      <c r="L238" s="36">
        <v>148.01899719238199</v>
      </c>
      <c r="M238" s="23">
        <f t="shared" si="5"/>
        <v>2.1709896742656224E-3</v>
      </c>
      <c r="N238" s="24">
        <v>99.132499694824219</v>
      </c>
      <c r="O238" s="23">
        <f t="shared" si="6"/>
        <v>-9.075039392900401E-4</v>
      </c>
      <c r="P238" s="36">
        <v>18.4409999847412</v>
      </c>
      <c r="Q238" s="23">
        <f t="shared" si="7"/>
        <v>6.508885489343708E-4</v>
      </c>
      <c r="R238" s="24">
        <v>51.529998779296875</v>
      </c>
      <c r="S238" s="23">
        <f t="shared" si="8"/>
        <v>2.4287184030552258E-3</v>
      </c>
      <c r="T238" s="24">
        <v>90.698097229003906</v>
      </c>
      <c r="U238" s="23">
        <f t="shared" si="9"/>
        <v>4.5141341548905738E-3</v>
      </c>
    </row>
    <row r="239" spans="1:21">
      <c r="A239" s="6">
        <v>45797</v>
      </c>
      <c r="B239" s="35">
        <v>742.55712890625</v>
      </c>
      <c r="C239" s="23">
        <f t="shared" si="0"/>
        <v>-5.0188425308980997E-3</v>
      </c>
      <c r="D239" s="24">
        <v>112.51229858398438</v>
      </c>
      <c r="E239" s="23">
        <f t="shared" si="1"/>
        <v>-9.7785017729879152E-3</v>
      </c>
      <c r="F239" s="24">
        <v>410.918212890625</v>
      </c>
      <c r="G239" s="23">
        <f t="shared" si="2"/>
        <v>-7.5937636887939228E-3</v>
      </c>
      <c r="H239" s="36">
        <v>89.683502197265597</v>
      </c>
      <c r="I239" s="23">
        <f t="shared" si="3"/>
        <v>-1.1249548012546649E-2</v>
      </c>
      <c r="J239" s="35"/>
      <c r="K239" s="23" t="e">
        <f t="shared" si="4"/>
        <v>#DIV/0!</v>
      </c>
      <c r="L239" s="36">
        <v>146.04400634765599</v>
      </c>
      <c r="M239" s="23">
        <f t="shared" si="5"/>
        <v>-1.3432635302166632E-2</v>
      </c>
      <c r="N239" s="24">
        <v>97.911300659179688</v>
      </c>
      <c r="O239" s="23">
        <f t="shared" si="6"/>
        <v>-1.2395362547199496E-2</v>
      </c>
      <c r="P239" s="36">
        <v>18.228000640869102</v>
      </c>
      <c r="Q239" s="23">
        <f t="shared" si="7"/>
        <v>-1.1617537205409792E-2</v>
      </c>
      <c r="R239" s="24">
        <v>51.043998718261719</v>
      </c>
      <c r="S239" s="23">
        <f t="shared" si="8"/>
        <v>-9.4761578896884417E-3</v>
      </c>
      <c r="T239" s="24">
        <v>89.683502197265625</v>
      </c>
      <c r="U239" s="23">
        <f t="shared" si="9"/>
        <v>-1.1249548012546313E-2</v>
      </c>
    </row>
    <row r="240" spans="1:21">
      <c r="A240" s="6">
        <v>45798</v>
      </c>
      <c r="B240" s="35">
        <v>746.02258300781205</v>
      </c>
      <c r="C240" s="23">
        <f t="shared" si="0"/>
        <v>4.6560628690991389E-3</v>
      </c>
      <c r="D240" s="24">
        <v>112.75800323486328</v>
      </c>
      <c r="E240" s="23">
        <f t="shared" si="1"/>
        <v>2.1814215751409945E-3</v>
      </c>
      <c r="F240" s="24">
        <v>412.34130859375</v>
      </c>
      <c r="G240" s="23">
        <f t="shared" si="2"/>
        <v>3.457226022751466E-3</v>
      </c>
      <c r="H240" s="36">
        <v>89.865699768066406</v>
      </c>
      <c r="I240" s="23">
        <f t="shared" si="3"/>
        <v>2.029500898293006E-3</v>
      </c>
      <c r="J240" s="35"/>
      <c r="K240" s="23" t="e">
        <f t="shared" si="4"/>
        <v>#DIV/0!</v>
      </c>
      <c r="L240" s="36">
        <v>147.00799560546801</v>
      </c>
      <c r="M240" s="23">
        <f t="shared" si="5"/>
        <v>6.5789875409130944E-3</v>
      </c>
      <c r="N240" s="24">
        <v>98.603797912597656</v>
      </c>
      <c r="O240" s="23">
        <f t="shared" si="6"/>
        <v>7.0478057401230461E-3</v>
      </c>
      <c r="P240" s="36">
        <v>18.327999114990199</v>
      </c>
      <c r="Q240" s="23">
        <f t="shared" si="7"/>
        <v>5.4709883037505477E-3</v>
      </c>
      <c r="R240" s="24">
        <v>51.442001342773438</v>
      </c>
      <c r="S240" s="23">
        <f t="shared" si="8"/>
        <v>7.7670047637772976E-3</v>
      </c>
      <c r="T240" s="24">
        <v>89.865699768066406</v>
      </c>
      <c r="U240" s="23">
        <f t="shared" si="9"/>
        <v>2.0295008982925628E-3</v>
      </c>
    </row>
    <row r="241" spans="1:21">
      <c r="A241" s="6">
        <v>45799</v>
      </c>
      <c r="B241" s="35">
        <v>743.05401611328102</v>
      </c>
      <c r="C241" s="23">
        <f t="shared" si="0"/>
        <v>-3.9871297808878308E-3</v>
      </c>
      <c r="D241" s="24">
        <v>112.38999938964844</v>
      </c>
      <c r="E241" s="23">
        <f t="shared" si="1"/>
        <v>-3.2689978915477614E-3</v>
      </c>
      <c r="F241" s="24">
        <v>409.83889770507813</v>
      </c>
      <c r="G241" s="23">
        <f t="shared" si="2"/>
        <v>-6.0872752632947598E-3</v>
      </c>
      <c r="H241" s="36">
        <v>89.483497619628906</v>
      </c>
      <c r="I241" s="23">
        <f t="shared" si="3"/>
        <v>-4.2621069129995673E-3</v>
      </c>
      <c r="J241" s="35"/>
      <c r="K241" s="23" t="e">
        <f t="shared" si="4"/>
        <v>#DIV/0!</v>
      </c>
      <c r="L241" s="36">
        <v>147.02299499511699</v>
      </c>
      <c r="M241" s="23">
        <f t="shared" si="5"/>
        <v>1.0202590979501104E-4</v>
      </c>
      <c r="N241" s="24">
        <v>97.910102844238281</v>
      </c>
      <c r="O241" s="23">
        <f t="shared" si="6"/>
        <v>-7.0600394890390017E-3</v>
      </c>
      <c r="P241" s="36">
        <v>18.122999191284102</v>
      </c>
      <c r="Q241" s="23">
        <f t="shared" si="7"/>
        <v>-1.1248091662903463E-2</v>
      </c>
      <c r="R241" s="24">
        <v>51.355998992919922</v>
      </c>
      <c r="S241" s="23">
        <f t="shared" si="8"/>
        <v>-1.6732304059949646E-3</v>
      </c>
      <c r="T241" s="24">
        <v>89.483497619628906</v>
      </c>
      <c r="U241" s="23">
        <f t="shared" si="9"/>
        <v>-4.2621069129995673E-3</v>
      </c>
    </row>
    <row r="242" spans="1:21">
      <c r="A242" s="6">
        <v>45800</v>
      </c>
      <c r="B242" s="35">
        <v>746.19830322265602</v>
      </c>
      <c r="C242" s="23">
        <f t="shared" si="0"/>
        <v>4.2226448005175084E-3</v>
      </c>
      <c r="D242" s="24">
        <v>112.74230194091797</v>
      </c>
      <c r="E242" s="23">
        <f t="shared" si="1"/>
        <v>3.1297404838165148E-3</v>
      </c>
      <c r="F242" s="24">
        <v>412.06689453125</v>
      </c>
      <c r="G242" s="23">
        <f t="shared" si="2"/>
        <v>5.4215514832679571E-3</v>
      </c>
      <c r="H242" s="36">
        <v>90.063796997070298</v>
      </c>
      <c r="I242" s="23">
        <f t="shared" si="3"/>
        <v>6.4640505921165423E-3</v>
      </c>
      <c r="J242" s="35"/>
      <c r="K242" s="23" t="e">
        <f t="shared" si="4"/>
        <v>#DIV/0!</v>
      </c>
      <c r="L242" s="36">
        <v>147.71699523925699</v>
      </c>
      <c r="M242" s="23">
        <f t="shared" si="5"/>
        <v>4.7092457739290605E-3</v>
      </c>
      <c r="N242" s="24">
        <v>98.861099243164063</v>
      </c>
      <c r="O242" s="23">
        <f t="shared" si="6"/>
        <v>9.6660872463264803E-3</v>
      </c>
      <c r="P242" s="36">
        <v>18.3619995117187</v>
      </c>
      <c r="Q242" s="23">
        <f t="shared" si="7"/>
        <v>1.3101479928581815E-2</v>
      </c>
      <c r="R242" s="24">
        <v>51.674999237060547</v>
      </c>
      <c r="S242" s="23">
        <f t="shared" si="8"/>
        <v>6.192335684590264E-3</v>
      </c>
      <c r="T242" s="24">
        <v>90.063796997070313</v>
      </c>
      <c r="U242" s="23">
        <f t="shared" si="9"/>
        <v>6.4640505921167626E-3</v>
      </c>
    </row>
    <row r="243" spans="1:21">
      <c r="A243" s="6">
        <v>45803</v>
      </c>
      <c r="B243" s="35">
        <v>748.3125</v>
      </c>
      <c r="C243" s="23">
        <f t="shared" si="0"/>
        <v>2.8292845834291354E-3</v>
      </c>
      <c r="D243" s="24">
        <v>113.41739654541016</v>
      </c>
      <c r="E243" s="23">
        <f t="shared" si="1"/>
        <v>5.9700876340908517E-3</v>
      </c>
      <c r="F243" s="24">
        <v>413.51480102539063</v>
      </c>
      <c r="G243" s="23">
        <f t="shared" si="2"/>
        <v>3.5076067854607502E-3</v>
      </c>
      <c r="H243" s="36">
        <v>90.348899841308594</v>
      </c>
      <c r="I243" s="23">
        <f t="shared" si="3"/>
        <v>3.1605655983532916E-3</v>
      </c>
      <c r="J243" s="35"/>
      <c r="K243" s="23" t="e">
        <f t="shared" si="4"/>
        <v>#DIV/0!</v>
      </c>
      <c r="L243" s="36">
        <v>148.60400390625</v>
      </c>
      <c r="M243" s="23">
        <f t="shared" si="5"/>
        <v>5.9868272508784084E-3</v>
      </c>
      <c r="N243" s="24">
        <v>99.653602600097656</v>
      </c>
      <c r="O243" s="23">
        <f t="shared" si="6"/>
        <v>7.9843715327583761E-3</v>
      </c>
      <c r="P243" s="36">
        <v>18.448999404907202</v>
      </c>
      <c r="Q243" s="23">
        <f t="shared" si="7"/>
        <v>4.7268510899647429E-3</v>
      </c>
      <c r="R243" s="24">
        <v>51.770999908447266</v>
      </c>
      <c r="S243" s="23">
        <f t="shared" si="8"/>
        <v>1.8560543614910224E-3</v>
      </c>
      <c r="T243" s="24">
        <v>90.348899841308594</v>
      </c>
      <c r="U243" s="23">
        <f t="shared" si="9"/>
        <v>3.1605655983532916E-3</v>
      </c>
    </row>
    <row r="244" spans="1:21">
      <c r="A244" s="6">
        <v>45804</v>
      </c>
      <c r="B244" s="35">
        <v>746.44207763671795</v>
      </c>
      <c r="C244" s="23">
        <f t="shared" si="0"/>
        <v>-2.5026494215303562E-3</v>
      </c>
      <c r="D244" s="24">
        <v>113.53780364990234</v>
      </c>
      <c r="E244" s="23">
        <f t="shared" si="1"/>
        <v>1.0610650532381981E-3</v>
      </c>
      <c r="F244" s="24">
        <v>412.27529907226563</v>
      </c>
      <c r="G244" s="23">
        <f t="shared" si="2"/>
        <v>-3.001980488341E-3</v>
      </c>
      <c r="H244" s="36">
        <v>90.133499145507798</v>
      </c>
      <c r="I244" s="23">
        <f t="shared" si="3"/>
        <v>-2.3869452010897661E-3</v>
      </c>
      <c r="J244" s="35"/>
      <c r="K244" s="23" t="e">
        <f t="shared" si="4"/>
        <v>#DIV/0!</v>
      </c>
      <c r="L244" s="36">
        <v>148.81399536132801</v>
      </c>
      <c r="M244" s="23">
        <f t="shared" si="5"/>
        <v>1.4120967156594374E-3</v>
      </c>
      <c r="N244" s="24">
        <v>99.24310302734375</v>
      </c>
      <c r="O244" s="23">
        <f t="shared" si="6"/>
        <v>-4.127772295845664E-3</v>
      </c>
      <c r="P244" s="36">
        <v>18.312999725341701</v>
      </c>
      <c r="Q244" s="23">
        <f t="shared" si="7"/>
        <v>-7.398961058711768E-3</v>
      </c>
      <c r="R244" s="24">
        <v>51.828998565673828</v>
      </c>
      <c r="S244" s="23">
        <f t="shared" si="8"/>
        <v>1.1196653308874242E-3</v>
      </c>
      <c r="T244" s="24">
        <v>90.133499145507813</v>
      </c>
      <c r="U244" s="23">
        <f t="shared" si="9"/>
        <v>-2.3869452010895436E-3</v>
      </c>
    </row>
    <row r="245" spans="1:21">
      <c r="A245" s="6">
        <v>45805</v>
      </c>
      <c r="B245" s="35">
        <v>746.24639892578102</v>
      </c>
      <c r="C245" s="23">
        <f t="shared" si="0"/>
        <v>-2.6218292045570961E-4</v>
      </c>
      <c r="D245" s="24">
        <v>113.88200378417969</v>
      </c>
      <c r="E245" s="23">
        <f t="shared" si="1"/>
        <v>3.0270045602389193E-3</v>
      </c>
      <c r="F245" s="24">
        <v>411.61819458007813</v>
      </c>
      <c r="G245" s="23">
        <f t="shared" si="2"/>
        <v>-1.5951203318843312E-3</v>
      </c>
      <c r="H245" s="36">
        <v>89.844902038574205</v>
      </c>
      <c r="I245" s="23">
        <f t="shared" si="3"/>
        <v>-3.2070220913888608E-3</v>
      </c>
      <c r="J245" s="35"/>
      <c r="K245" s="23" t="e">
        <f t="shared" si="4"/>
        <v>#DIV/0!</v>
      </c>
      <c r="L245" s="36">
        <v>149.48500061035099</v>
      </c>
      <c r="M245" s="23">
        <f t="shared" si="5"/>
        <v>4.4988846080220623E-3</v>
      </c>
      <c r="N245" s="24">
        <v>99.111801147460938</v>
      </c>
      <c r="O245" s="23">
        <f t="shared" si="6"/>
        <v>-1.3239087745994327E-3</v>
      </c>
      <c r="P245" s="36">
        <v>18.2430000305175</v>
      </c>
      <c r="Q245" s="23">
        <f t="shared" si="7"/>
        <v>-3.8297286818997408E-3</v>
      </c>
      <c r="R245" s="24">
        <v>51.887001037597656</v>
      </c>
      <c r="S245" s="23">
        <f t="shared" si="8"/>
        <v>1.1184866017300542E-3</v>
      </c>
      <c r="T245" s="24">
        <v>89.844902038574219</v>
      </c>
      <c r="U245" s="23">
        <f t="shared" si="9"/>
        <v>-3.2070220913888608E-3</v>
      </c>
    </row>
    <row r="246" spans="1:21">
      <c r="A246" s="6">
        <v>45806</v>
      </c>
      <c r="B246" s="35">
        <v>747.39691162109295</v>
      </c>
      <c r="C246" s="23">
        <f t="shared" si="0"/>
        <v>1.5405457443940734E-3</v>
      </c>
      <c r="D246" s="24">
        <v>114.55110168457031</v>
      </c>
      <c r="E246" s="23">
        <f t="shared" si="1"/>
        <v>5.8581685218762744E-3</v>
      </c>
      <c r="F246" s="24">
        <v>412.568115234375</v>
      </c>
      <c r="G246" s="23">
        <f t="shared" si="2"/>
        <v>2.305112481499753E-3</v>
      </c>
      <c r="H246" s="36">
        <v>89.9176025390625</v>
      </c>
      <c r="I246" s="23">
        <f t="shared" si="3"/>
        <v>8.0885059565389639E-4</v>
      </c>
      <c r="J246" s="35"/>
      <c r="K246" s="23" t="e">
        <f t="shared" si="4"/>
        <v>#DIV/0!</v>
      </c>
      <c r="L246" s="36">
        <v>149.91799926757801</v>
      </c>
      <c r="M246" s="23">
        <f t="shared" si="5"/>
        <v>2.8924156356363345E-3</v>
      </c>
      <c r="N246" s="24">
        <v>99.434097290039063</v>
      </c>
      <c r="O246" s="23">
        <f t="shared" si="6"/>
        <v>3.2465684580085413E-3</v>
      </c>
      <c r="P246" s="36">
        <v>18.368999481201101</v>
      </c>
      <c r="Q246" s="23">
        <f t="shared" si="7"/>
        <v>6.8829864418350831E-3</v>
      </c>
      <c r="R246" s="24">
        <v>51.965000152587891</v>
      </c>
      <c r="S246" s="23">
        <f t="shared" si="8"/>
        <v>1.5021208789923494E-3</v>
      </c>
      <c r="T246" s="24">
        <v>89.9176025390625</v>
      </c>
      <c r="U246" s="23">
        <f t="shared" si="9"/>
        <v>8.0885059565367456E-4</v>
      </c>
    </row>
    <row r="247" spans="1:21">
      <c r="A247" s="6">
        <v>45807</v>
      </c>
      <c r="B247" s="35">
        <v>745.385498046875</v>
      </c>
      <c r="C247" s="23">
        <f t="shared" si="0"/>
        <v>-2.6948532866821842E-3</v>
      </c>
      <c r="D247" s="24">
        <v>114.06700134277344</v>
      </c>
      <c r="E247" s="23">
        <f t="shared" si="1"/>
        <v>-4.2350195275902159E-3</v>
      </c>
      <c r="F247" s="24">
        <v>411.89950561523438</v>
      </c>
      <c r="G247" s="23">
        <f t="shared" si="2"/>
        <v>-1.6219187965759525E-3</v>
      </c>
      <c r="H247" s="36">
        <v>89.784103393554602</v>
      </c>
      <c r="J247" s="35"/>
      <c r="K247" s="23" t="e">
        <f t="shared" si="4"/>
        <v>#DIV/0!</v>
      </c>
      <c r="L247" s="36">
        <v>149.47200012207</v>
      </c>
      <c r="M247" s="23">
        <f t="shared" si="5"/>
        <v>-2.9793879310322357E-3</v>
      </c>
      <c r="N247" s="24">
        <v>99.161102294921875</v>
      </c>
      <c r="O247" s="23">
        <f t="shared" si="6"/>
        <v>-2.7492624961644777E-3</v>
      </c>
      <c r="P247" s="36">
        <v>18.304000854492099</v>
      </c>
      <c r="Q247" s="23">
        <f t="shared" si="7"/>
        <v>-3.5447710400111467E-3</v>
      </c>
      <c r="R247" s="24">
        <v>51.819999694824219</v>
      </c>
      <c r="S247" s="23">
        <f t="shared" si="8"/>
        <v>-2.7942487319305132E-3</v>
      </c>
      <c r="T247" s="24">
        <v>89.784103393554688</v>
      </c>
      <c r="U247" s="23">
        <f t="shared" si="9"/>
        <v>-1.4857863410248366E-3</v>
      </c>
    </row>
    <row r="248" spans="1:21">
      <c r="A248" s="43"/>
      <c r="B248" s="44"/>
      <c r="D248" s="23"/>
      <c r="F248" s="23"/>
      <c r="H248" s="45"/>
      <c r="J248" s="46"/>
      <c r="L248" s="45"/>
      <c r="N248" s="23"/>
      <c r="P248" s="45"/>
      <c r="R248" s="23"/>
      <c r="T248" s="23"/>
    </row>
    <row r="249" spans="1:21">
      <c r="A249" s="23"/>
      <c r="B249" s="44"/>
      <c r="C249" s="23">
        <f>AVERAGE(C2:C247)</f>
        <v>5.1189225683554568E-4</v>
      </c>
      <c r="E249" s="23">
        <f>AVERAGE(E2:E247)</f>
        <v>7.7504928883912578E-4</v>
      </c>
      <c r="F249" s="23"/>
      <c r="G249" s="23">
        <f>AVERAGE(G2:G247)</f>
        <v>3.1657206979256793E-4</v>
      </c>
      <c r="H249" s="45"/>
      <c r="I249" s="23">
        <f>AVERAGE(I2:I247)</f>
        <v>5.9484883365569724E-4</v>
      </c>
      <c r="J249" s="46"/>
      <c r="K249" s="23" t="e">
        <f>AVERAGE(K2:K247)</f>
        <v>#DIV/0!</v>
      </c>
      <c r="L249" s="45"/>
      <c r="M249" s="23">
        <f>AVERAGE(M2:M247)</f>
        <v>4.9388592330903264E-4</v>
      </c>
      <c r="N249" s="23"/>
      <c r="O249" s="23">
        <f>AVERAGE(O2:O247)</f>
        <v>4.2076443101206671E-4</v>
      </c>
      <c r="P249" s="45"/>
      <c r="Q249" s="23">
        <f>AVERAGE(Q2:Q247)</f>
        <v>4.2573441438114077E-4</v>
      </c>
      <c r="R249" s="23"/>
      <c r="S249" s="23">
        <f>AVERAGE(S2:S247)</f>
        <v>4.6694154588098957E-4</v>
      </c>
      <c r="U249" s="23">
        <f>AVERAGE(U2:U247)</f>
        <v>5.8635644518760662E-4</v>
      </c>
    </row>
    <row r="250" spans="1:21">
      <c r="A250" s="23"/>
      <c r="B250" s="23"/>
      <c r="D250" s="23"/>
      <c r="F250" s="23"/>
      <c r="H250" s="45"/>
      <c r="J250" s="23"/>
      <c r="L250" s="45"/>
      <c r="N250" s="23"/>
      <c r="P250" s="45"/>
      <c r="R250" s="23"/>
      <c r="T250" s="23"/>
    </row>
    <row r="251" spans="1:21">
      <c r="A251" s="23"/>
      <c r="B251" s="23"/>
      <c r="C251" s="23">
        <f>((1+C249)^252)-1</f>
        <v>0.13764899029097766</v>
      </c>
      <c r="D251" s="23"/>
      <c r="E251" s="23">
        <f>((1+E249)^252)-1</f>
        <v>0.21559877155901619</v>
      </c>
      <c r="F251" s="23"/>
      <c r="G251" s="23">
        <f>((1+G249)^252)-1</f>
        <v>8.3030940431733757E-2</v>
      </c>
      <c r="H251" s="45"/>
      <c r="I251" s="23">
        <f>((1+I249)^252)-1</f>
        <v>0.16166850642599195</v>
      </c>
      <c r="J251" s="23"/>
      <c r="K251" s="23" t="e">
        <f>((1+K249)^252)-1</f>
        <v>#DIV/0!</v>
      </c>
      <c r="L251" s="45"/>
      <c r="M251" s="23">
        <f>((1+M249)^252)-1</f>
        <v>0.13250107596398686</v>
      </c>
      <c r="N251" s="23"/>
      <c r="O251" s="23">
        <f>((1+O249)^252)-1</f>
        <v>0.11183336778926889</v>
      </c>
      <c r="P251" s="45"/>
      <c r="Q251" s="23">
        <f>((1+Q249)^252)-1</f>
        <v>0.11322615022168336</v>
      </c>
      <c r="R251" s="23"/>
      <c r="S251" s="23">
        <f>((1+S249)^252)-1</f>
        <v>0.12484112760319999</v>
      </c>
      <c r="U251" s="23">
        <f>((1+U249)^252)-1</f>
        <v>0.15918656325826319</v>
      </c>
    </row>
    <row r="252" spans="1:21">
      <c r="A252" s="23"/>
      <c r="B252" s="23"/>
      <c r="D252" s="23"/>
      <c r="F252" s="23"/>
      <c r="H252" s="45"/>
      <c r="J252" s="23"/>
      <c r="L252" s="45"/>
      <c r="N252" s="23"/>
      <c r="P252" s="45"/>
      <c r="R252" s="23"/>
      <c r="T252" s="23"/>
    </row>
    <row r="253" spans="1:21">
      <c r="A253" s="23"/>
      <c r="B253" s="23"/>
      <c r="C253" s="23">
        <f>VARP(C3:C247)</f>
        <v>2.6304771104653489E-5</v>
      </c>
      <c r="E253" s="23">
        <f>VARP(E3:E247)</f>
        <v>1.6255758532583857E-4</v>
      </c>
      <c r="F253" s="23"/>
      <c r="G253" s="23">
        <f>VARP(G3:G247)</f>
        <v>8.7847618833875678E-5</v>
      </c>
      <c r="I253" s="23">
        <f>VARP(I3:I247)</f>
        <v>5.4411410878546821E-5</v>
      </c>
      <c r="K253" s="23" t="e">
        <f>VARP(K3:K247)</f>
        <v>#DIV/0!</v>
      </c>
      <c r="M253" s="23">
        <f>VARP(M3:M247)</f>
        <v>1.5724089760269308E-4</v>
      </c>
      <c r="O253" s="23">
        <f>VARP(O3:O247)</f>
        <v>1.0371555843680969E-4</v>
      </c>
      <c r="Q253" s="23">
        <f>VARP(Q3:Q247)</f>
        <v>9.7845542984718016E-5</v>
      </c>
      <c r="S253" s="23">
        <f>VARP(S3:S247)</f>
        <v>1.3082178647298506E-4</v>
      </c>
      <c r="U253" s="23">
        <f>VARP(U3:U247)</f>
        <v>5.4206920928706912E-5</v>
      </c>
    </row>
    <row r="254" spans="1:21">
      <c r="A254" s="23"/>
      <c r="B254" s="23"/>
      <c r="C254" s="23">
        <f>SQRT(C253)</f>
        <v>5.1288177102187483E-3</v>
      </c>
      <c r="E254" s="23">
        <f>SQRT(E253)</f>
        <v>1.2749807266223226E-2</v>
      </c>
      <c r="F254" s="23"/>
      <c r="G254" s="23">
        <f>SQRT(G253)</f>
        <v>9.3727060571574348E-3</v>
      </c>
      <c r="I254" s="23">
        <f>SQRT(I253)</f>
        <v>7.3764090774947411E-3</v>
      </c>
      <c r="K254" s="23" t="e">
        <f>SQRT(K253)</f>
        <v>#DIV/0!</v>
      </c>
      <c r="M254" s="23">
        <f>SQRT(M253)</f>
        <v>1.2539573262383894E-2</v>
      </c>
      <c r="O254" s="23">
        <f>SQRT(O253)</f>
        <v>1.0184083583553783E-2</v>
      </c>
      <c r="Q254" s="23">
        <f>SQRT(Q253)</f>
        <v>9.891690602961559E-3</v>
      </c>
      <c r="S254" s="23">
        <f>SQRT(S253)</f>
        <v>1.1437735198586521E-2</v>
      </c>
      <c r="U254" s="23">
        <f>SQRT(U253)</f>
        <v>7.3625349526305756E-3</v>
      </c>
    </row>
    <row r="255" spans="1:21">
      <c r="A255" s="23"/>
      <c r="B255" s="23"/>
      <c r="C255" s="23">
        <f>SQRT(252)*C254</f>
        <v>8.1417457086135278E-2</v>
      </c>
      <c r="E255" s="23">
        <f>SQRT(252)*E254</f>
        <v>0.20239691574258567</v>
      </c>
      <c r="F255" s="23"/>
      <c r="G255" s="23">
        <f>SQRT(252)*G254</f>
        <v>0.1487870960336839</v>
      </c>
      <c r="I255" s="23">
        <f>SQRT(252)*I254</f>
        <v>0.11709686392638276</v>
      </c>
      <c r="K255" s="23" t="e">
        <f>SQRT(252)*K254</f>
        <v>#DIV/0!</v>
      </c>
      <c r="M255" s="23">
        <f>SQRT(252)*M254</f>
        <v>0.19905955439485604</v>
      </c>
      <c r="O255" s="23">
        <f>SQRT(252)*O254</f>
        <v>0.1616673149590728</v>
      </c>
      <c r="Q255" s="23">
        <f>SQRT(252)*Q254</f>
        <v>0.15702572028858502</v>
      </c>
      <c r="S255" s="23">
        <f>SQRT(252)*S254</f>
        <v>0.18156841738361942</v>
      </c>
      <c r="U255" s="23">
        <f>SQRT(252)*U254</f>
        <v>0.11687661902208732</v>
      </c>
    </row>
    <row r="256" spans="1:21">
      <c r="A256" s="23"/>
      <c r="B256" s="23"/>
      <c r="C256" s="57">
        <f>(C251-Z13)/C255</f>
        <v>1.0151261565875178</v>
      </c>
      <c r="E256" s="57">
        <f>(E251-Z13)/E255</f>
        <v>0.79348428294861184</v>
      </c>
      <c r="F256" s="23"/>
      <c r="G256" s="23">
        <f>(G251-Z13)/G255</f>
        <v>0.18839631378643101</v>
      </c>
      <c r="I256" s="57">
        <f>(I251-Z13)/I255</f>
        <v>0.91094246975779836</v>
      </c>
      <c r="K256" s="23" t="e">
        <f>(K251-Z13)/K255</f>
        <v>#DIV/0!</v>
      </c>
      <c r="M256" s="51">
        <f>(M251-Z13)/M255</f>
        <v>0.38933612706805898</v>
      </c>
      <c r="O256" s="23">
        <f>(O251-Z13)/O255</f>
        <v>0.3515451951661141</v>
      </c>
      <c r="Q256" s="23">
        <f>(Q251-Z13)/Q255</f>
        <v>0.37080645205558793</v>
      </c>
      <c r="S256" s="23">
        <f>(S251-Z13)/S255</f>
        <v>0.38465460353514574</v>
      </c>
      <c r="U256" s="57">
        <f>(U251-Z13)/U255</f>
        <v>0.89142348683592609</v>
      </c>
    </row>
    <row r="257" spans="1:20">
      <c r="A257" s="23"/>
      <c r="B257" s="23"/>
      <c r="D257" s="23"/>
      <c r="F257" s="23"/>
      <c r="H257" s="45"/>
      <c r="J257" s="23"/>
      <c r="L257" s="45"/>
      <c r="N257" s="23"/>
      <c r="P257" s="45"/>
      <c r="R257" s="23"/>
      <c r="T257" s="23"/>
    </row>
    <row r="258" spans="1:20">
      <c r="A258" s="23"/>
      <c r="B258" s="23"/>
      <c r="D258" s="23"/>
      <c r="F258" s="23"/>
      <c r="H258" s="45"/>
      <c r="J258" s="23"/>
      <c r="L258" s="45"/>
      <c r="N258" s="23"/>
      <c r="P258" s="45"/>
      <c r="R258" s="23"/>
      <c r="T258" s="23"/>
    </row>
    <row r="259" spans="1:20">
      <c r="A259" s="23"/>
      <c r="B259" s="23"/>
      <c r="D259" s="23"/>
      <c r="F259" s="23"/>
      <c r="H259" s="45"/>
      <c r="J259" s="23"/>
      <c r="L259" s="45"/>
      <c r="N259" s="23"/>
      <c r="P259" s="45"/>
      <c r="R259" s="23"/>
      <c r="T259" s="23"/>
    </row>
    <row r="260" spans="1:20">
      <c r="A260" s="23"/>
      <c r="B260" s="23"/>
      <c r="D260" s="23"/>
      <c r="F260" s="23"/>
      <c r="H260" s="45"/>
      <c r="J260" s="23"/>
      <c r="L260" s="45"/>
      <c r="N260" s="23"/>
      <c r="P260" s="45"/>
      <c r="R260" s="23"/>
      <c r="T260" s="23"/>
    </row>
    <row r="261" spans="1:20">
      <c r="A261" s="23"/>
      <c r="B261" s="23"/>
      <c r="D261" s="23"/>
      <c r="F261" s="23"/>
      <c r="H261" s="45"/>
      <c r="J261" s="23"/>
      <c r="L261" s="45"/>
      <c r="N261" s="23"/>
      <c r="P261" s="45"/>
      <c r="R261" s="23"/>
      <c r="T261" s="23"/>
    </row>
    <row r="262" spans="1:20">
      <c r="A262" s="23"/>
      <c r="B262" s="23"/>
      <c r="D262" s="23"/>
      <c r="F262" s="23"/>
      <c r="H262" s="45"/>
      <c r="J262" s="23"/>
      <c r="L262" s="45"/>
      <c r="N262" s="23"/>
      <c r="P262" s="45"/>
      <c r="R262" s="23"/>
      <c r="T262" s="23"/>
    </row>
    <row r="263" spans="1:20">
      <c r="A263" s="23"/>
      <c r="B263" s="23"/>
      <c r="D263" s="23"/>
      <c r="F263" s="23"/>
      <c r="H263" s="45"/>
      <c r="J263" s="23"/>
      <c r="L263" s="45"/>
      <c r="N263" s="23"/>
      <c r="P263" s="45"/>
      <c r="R263" s="23"/>
      <c r="T263" s="23"/>
    </row>
    <row r="264" spans="1:20">
      <c r="A264" s="23"/>
      <c r="B264" s="23"/>
      <c r="D264" s="23"/>
      <c r="F264" s="23"/>
      <c r="H264" s="45"/>
      <c r="J264" s="23"/>
      <c r="L264" s="45"/>
      <c r="N264" s="23"/>
      <c r="P264" s="45"/>
      <c r="R264" s="23"/>
      <c r="T264" s="23"/>
    </row>
    <row r="265" spans="1:20">
      <c r="A265" s="23"/>
      <c r="B265" s="23"/>
      <c r="D265" s="23"/>
      <c r="F265" s="23"/>
      <c r="H265" s="45"/>
      <c r="J265" s="23"/>
      <c r="L265" s="45"/>
      <c r="N265" s="23"/>
      <c r="P265" s="45"/>
      <c r="R265" s="23"/>
      <c r="T265" s="23"/>
    </row>
    <row r="266" spans="1:20">
      <c r="A266" s="23"/>
      <c r="B266" s="23"/>
      <c r="D266" s="23"/>
      <c r="F266" s="23"/>
      <c r="H266" s="45"/>
      <c r="J266" s="23"/>
      <c r="L266" s="45"/>
      <c r="N266" s="23"/>
      <c r="P266" s="45"/>
      <c r="R266" s="23"/>
      <c r="T266" s="23"/>
    </row>
    <row r="267" spans="1:20">
      <c r="A267" s="23"/>
      <c r="B267" s="23"/>
      <c r="D267" s="23"/>
      <c r="F267" s="23"/>
      <c r="H267" s="45"/>
      <c r="J267" s="23"/>
      <c r="L267" s="45"/>
      <c r="N267" s="23"/>
      <c r="P267" s="45"/>
      <c r="R267" s="23"/>
      <c r="T267" s="23"/>
    </row>
    <row r="268" spans="1:20">
      <c r="A268" s="23"/>
      <c r="B268" s="23"/>
      <c r="D268" s="23"/>
      <c r="F268" s="23"/>
      <c r="H268" s="45"/>
      <c r="J268" s="23"/>
      <c r="L268" s="45"/>
      <c r="N268" s="23"/>
      <c r="P268" s="45"/>
      <c r="R268" s="23"/>
      <c r="T268" s="23"/>
    </row>
    <row r="269" spans="1:20">
      <c r="A269" s="23"/>
      <c r="B269" s="23"/>
      <c r="D269" s="23"/>
      <c r="F269" s="23"/>
      <c r="H269" s="45"/>
      <c r="J269" s="23"/>
      <c r="L269" s="45"/>
      <c r="N269" s="23"/>
      <c r="P269" s="45"/>
      <c r="R269" s="23"/>
      <c r="T269" s="23"/>
    </row>
    <row r="270" spans="1:20">
      <c r="A270" s="23"/>
      <c r="B270" s="23"/>
      <c r="D270" s="23"/>
      <c r="F270" s="23"/>
      <c r="H270" s="45"/>
      <c r="J270" s="23"/>
      <c r="L270" s="45"/>
      <c r="N270" s="23"/>
      <c r="P270" s="45"/>
      <c r="R270" s="23"/>
      <c r="T270" s="23"/>
    </row>
    <row r="271" spans="1:20">
      <c r="A271" s="23"/>
      <c r="B271" s="23"/>
      <c r="D271" s="23"/>
      <c r="F271" s="23"/>
      <c r="H271" s="45"/>
      <c r="J271" s="23"/>
      <c r="L271" s="45"/>
      <c r="N271" s="23"/>
      <c r="P271" s="45"/>
      <c r="R271" s="23"/>
      <c r="T271" s="23"/>
    </row>
    <row r="272" spans="1:20">
      <c r="A272" s="23"/>
      <c r="B272" s="23"/>
      <c r="D272" s="23"/>
      <c r="F272" s="23"/>
      <c r="H272" s="45"/>
      <c r="J272" s="23"/>
      <c r="L272" s="45"/>
      <c r="N272" s="23"/>
      <c r="P272" s="45"/>
      <c r="R272" s="23"/>
      <c r="T272" s="23"/>
    </row>
    <row r="273" spans="1:20">
      <c r="A273" s="23"/>
      <c r="B273" s="23"/>
      <c r="D273" s="23"/>
      <c r="F273" s="23"/>
      <c r="H273" s="45"/>
      <c r="J273" s="23"/>
      <c r="L273" s="45"/>
      <c r="N273" s="23"/>
      <c r="P273" s="45"/>
      <c r="R273" s="23"/>
      <c r="T273" s="23"/>
    </row>
    <row r="274" spans="1:20">
      <c r="A274" s="23"/>
      <c r="B274" s="23"/>
      <c r="D274" s="23"/>
      <c r="F274" s="23"/>
      <c r="H274" s="45"/>
      <c r="J274" s="23"/>
      <c r="L274" s="45"/>
      <c r="N274" s="23"/>
      <c r="P274" s="45"/>
      <c r="R274" s="23"/>
      <c r="T274" s="23"/>
    </row>
    <row r="275" spans="1:20">
      <c r="A275" s="23"/>
      <c r="B275" s="23"/>
      <c r="D275" s="23"/>
      <c r="F275" s="23"/>
      <c r="H275" s="45"/>
      <c r="J275" s="23"/>
      <c r="L275" s="45"/>
      <c r="N275" s="23"/>
      <c r="P275" s="45"/>
      <c r="R275" s="23"/>
      <c r="T275" s="23"/>
    </row>
    <row r="276" spans="1:20">
      <c r="A276" s="23"/>
      <c r="B276" s="23"/>
      <c r="D276" s="23"/>
      <c r="F276" s="23"/>
      <c r="H276" s="45"/>
      <c r="J276" s="23"/>
      <c r="L276" s="45"/>
      <c r="N276" s="23"/>
      <c r="P276" s="45"/>
      <c r="R276" s="23"/>
      <c r="T276" s="23"/>
    </row>
    <row r="277" spans="1:20">
      <c r="A277" s="23"/>
      <c r="B277" s="23"/>
      <c r="D277" s="23"/>
      <c r="F277" s="23"/>
      <c r="H277" s="45"/>
      <c r="J277" s="23"/>
      <c r="L277" s="45"/>
      <c r="N277" s="23"/>
      <c r="P277" s="45"/>
      <c r="R277" s="23"/>
      <c r="T277" s="23"/>
    </row>
    <row r="278" spans="1:20">
      <c r="A278" s="23"/>
      <c r="B278" s="23"/>
      <c r="D278" s="23"/>
      <c r="F278" s="23"/>
      <c r="H278" s="45"/>
      <c r="J278" s="23"/>
      <c r="L278" s="45"/>
      <c r="N278" s="23"/>
      <c r="P278" s="45"/>
      <c r="R278" s="23"/>
      <c r="T278" s="23"/>
    </row>
    <row r="279" spans="1:20">
      <c r="A279" s="23"/>
      <c r="B279" s="23"/>
      <c r="D279" s="23"/>
      <c r="F279" s="23"/>
      <c r="H279" s="45"/>
      <c r="J279" s="23"/>
      <c r="L279" s="45"/>
      <c r="N279" s="23"/>
      <c r="P279" s="45"/>
      <c r="R279" s="23"/>
      <c r="T279" s="23"/>
    </row>
    <row r="280" spans="1:20">
      <c r="A280" s="23"/>
      <c r="B280" s="23"/>
      <c r="D280" s="23"/>
      <c r="F280" s="23"/>
      <c r="H280" s="45"/>
      <c r="J280" s="23"/>
      <c r="L280" s="45"/>
      <c r="N280" s="23"/>
      <c r="P280" s="45"/>
      <c r="R280" s="23"/>
      <c r="T280" s="23"/>
    </row>
    <row r="281" spans="1:20">
      <c r="A281" s="23"/>
      <c r="B281" s="23"/>
      <c r="D281" s="23"/>
      <c r="F281" s="23"/>
      <c r="H281" s="45"/>
      <c r="J281" s="23"/>
      <c r="L281" s="45"/>
      <c r="N281" s="23"/>
      <c r="P281" s="45"/>
      <c r="R281" s="23"/>
      <c r="T281" s="23"/>
    </row>
    <row r="282" spans="1:20">
      <c r="A282" s="23"/>
      <c r="B282" s="23"/>
      <c r="D282" s="23"/>
      <c r="F282" s="23"/>
      <c r="H282" s="45"/>
      <c r="J282" s="23"/>
      <c r="L282" s="45"/>
      <c r="N282" s="23"/>
      <c r="P282" s="45"/>
      <c r="R282" s="23"/>
      <c r="T282" s="23"/>
    </row>
    <row r="283" spans="1:20">
      <c r="A283" s="23"/>
      <c r="B283" s="23"/>
      <c r="D283" s="23"/>
      <c r="F283" s="23"/>
      <c r="H283" s="45"/>
      <c r="J283" s="23"/>
      <c r="L283" s="45"/>
      <c r="N283" s="23"/>
      <c r="P283" s="45"/>
      <c r="R283" s="23"/>
      <c r="T283" s="23"/>
    </row>
    <row r="284" spans="1:20">
      <c r="A284" s="23"/>
      <c r="B284" s="23"/>
      <c r="D284" s="23"/>
      <c r="F284" s="23"/>
      <c r="H284" s="45"/>
      <c r="J284" s="23"/>
      <c r="L284" s="45"/>
      <c r="N284" s="23"/>
      <c r="P284" s="45"/>
      <c r="R284" s="23"/>
      <c r="T284" s="23"/>
    </row>
    <row r="285" spans="1:20">
      <c r="A285" s="23"/>
      <c r="B285" s="23"/>
      <c r="D285" s="23"/>
      <c r="F285" s="23"/>
      <c r="H285" s="45"/>
      <c r="J285" s="23"/>
      <c r="L285" s="45"/>
      <c r="N285" s="23"/>
      <c r="P285" s="45"/>
      <c r="R285" s="23"/>
      <c r="T285" s="23"/>
    </row>
    <row r="286" spans="1:20">
      <c r="A286" s="23"/>
      <c r="B286" s="23"/>
      <c r="D286" s="23"/>
      <c r="F286" s="23"/>
      <c r="H286" s="45"/>
      <c r="J286" s="23"/>
      <c r="L286" s="45"/>
      <c r="N286" s="23"/>
      <c r="P286" s="45"/>
      <c r="R286" s="23"/>
      <c r="T286" s="23"/>
    </row>
    <row r="287" spans="1:20">
      <c r="A287" s="23"/>
      <c r="B287" s="23"/>
      <c r="D287" s="23"/>
      <c r="F287" s="23"/>
      <c r="H287" s="45"/>
      <c r="J287" s="23"/>
      <c r="L287" s="45"/>
      <c r="N287" s="23"/>
      <c r="P287" s="45"/>
      <c r="R287" s="23"/>
      <c r="T287" s="23"/>
    </row>
    <row r="288" spans="1:20">
      <c r="A288" s="23"/>
      <c r="B288" s="23"/>
      <c r="D288" s="23"/>
      <c r="F288" s="23"/>
      <c r="H288" s="45"/>
      <c r="J288" s="23"/>
      <c r="L288" s="45"/>
      <c r="N288" s="23"/>
      <c r="P288" s="45"/>
      <c r="R288" s="23"/>
      <c r="T288" s="23"/>
    </row>
    <row r="289" spans="1:20">
      <c r="A289" s="23"/>
      <c r="B289" s="23"/>
      <c r="D289" s="23"/>
      <c r="F289" s="23"/>
      <c r="H289" s="45"/>
      <c r="J289" s="23"/>
      <c r="L289" s="45"/>
      <c r="N289" s="23"/>
      <c r="P289" s="45"/>
      <c r="R289" s="23"/>
      <c r="T289" s="23"/>
    </row>
    <row r="290" spans="1:20">
      <c r="A290" s="23"/>
      <c r="B290" s="23"/>
      <c r="D290" s="23"/>
      <c r="F290" s="23"/>
      <c r="H290" s="45"/>
      <c r="J290" s="23"/>
      <c r="L290" s="45"/>
      <c r="N290" s="23"/>
      <c r="P290" s="45"/>
      <c r="R290" s="23"/>
      <c r="T290" s="23"/>
    </row>
    <row r="291" spans="1:20">
      <c r="A291" s="23"/>
      <c r="B291" s="23"/>
      <c r="D291" s="23"/>
      <c r="F291" s="23"/>
      <c r="H291" s="45"/>
      <c r="J291" s="23"/>
      <c r="L291" s="45"/>
      <c r="N291" s="23"/>
      <c r="P291" s="45"/>
      <c r="R291" s="23"/>
      <c r="T291" s="23"/>
    </row>
    <row r="292" spans="1:20">
      <c r="A292" s="23"/>
      <c r="B292" s="23"/>
      <c r="D292" s="23"/>
      <c r="F292" s="23"/>
      <c r="H292" s="45"/>
      <c r="J292" s="23"/>
      <c r="L292" s="45"/>
      <c r="N292" s="23"/>
      <c r="P292" s="45"/>
      <c r="R292" s="23"/>
      <c r="T292" s="23"/>
    </row>
    <row r="293" spans="1:20">
      <c r="A293" s="23"/>
      <c r="B293" s="23"/>
      <c r="D293" s="23"/>
      <c r="F293" s="23"/>
      <c r="H293" s="45"/>
      <c r="J293" s="23"/>
      <c r="L293" s="45"/>
      <c r="N293" s="23"/>
      <c r="P293" s="45"/>
      <c r="R293" s="23"/>
      <c r="T293" s="23"/>
    </row>
    <row r="294" spans="1:20">
      <c r="A294" s="23"/>
      <c r="B294" s="23"/>
      <c r="D294" s="23"/>
      <c r="F294" s="23"/>
      <c r="H294" s="45"/>
      <c r="J294" s="23"/>
      <c r="L294" s="45"/>
      <c r="N294" s="23"/>
      <c r="P294" s="45"/>
      <c r="R294" s="23"/>
      <c r="T294" s="23"/>
    </row>
    <row r="295" spans="1:20">
      <c r="A295" s="23"/>
      <c r="B295" s="23"/>
      <c r="D295" s="23"/>
      <c r="F295" s="23"/>
      <c r="H295" s="45"/>
      <c r="J295" s="23"/>
      <c r="L295" s="45"/>
      <c r="N295" s="23"/>
      <c r="P295" s="45"/>
      <c r="R295" s="23"/>
      <c r="T295" s="23"/>
    </row>
    <row r="296" spans="1:20">
      <c r="A296" s="23"/>
      <c r="B296" s="23"/>
      <c r="D296" s="23"/>
      <c r="F296" s="23"/>
      <c r="H296" s="45"/>
      <c r="J296" s="23"/>
      <c r="L296" s="45"/>
      <c r="N296" s="23"/>
      <c r="P296" s="45"/>
      <c r="R296" s="23"/>
      <c r="T296" s="23"/>
    </row>
    <row r="297" spans="1:20">
      <c r="A297" s="23"/>
      <c r="B297" s="23"/>
      <c r="D297" s="23"/>
      <c r="F297" s="23"/>
      <c r="H297" s="45"/>
      <c r="J297" s="23"/>
      <c r="L297" s="45"/>
      <c r="N297" s="23"/>
      <c r="P297" s="45"/>
      <c r="R297" s="23"/>
      <c r="T297" s="23"/>
    </row>
    <row r="298" spans="1:20">
      <c r="A298" s="23"/>
      <c r="B298" s="23"/>
      <c r="D298" s="23"/>
      <c r="F298" s="23"/>
      <c r="H298" s="45"/>
      <c r="J298" s="23"/>
      <c r="L298" s="45"/>
      <c r="N298" s="23"/>
      <c r="P298" s="45"/>
      <c r="R298" s="23"/>
      <c r="T298" s="23"/>
    </row>
    <row r="299" spans="1:20">
      <c r="A299" s="23"/>
      <c r="B299" s="23"/>
      <c r="D299" s="23"/>
      <c r="F299" s="23"/>
      <c r="H299" s="45"/>
      <c r="J299" s="23"/>
      <c r="L299" s="45"/>
      <c r="N299" s="23"/>
      <c r="P299" s="45"/>
      <c r="R299" s="23"/>
      <c r="T299" s="23"/>
    </row>
    <row r="300" spans="1:20">
      <c r="A300" s="23"/>
      <c r="B300" s="23"/>
      <c r="D300" s="23"/>
      <c r="F300" s="23"/>
      <c r="H300" s="45"/>
      <c r="J300" s="23"/>
      <c r="L300" s="45"/>
      <c r="N300" s="23"/>
      <c r="P300" s="45"/>
      <c r="R300" s="23"/>
      <c r="T300" s="23"/>
    </row>
    <row r="301" spans="1:20">
      <c r="A301" s="23"/>
      <c r="B301" s="23"/>
      <c r="D301" s="23"/>
      <c r="F301" s="23"/>
      <c r="H301" s="45"/>
      <c r="J301" s="23"/>
      <c r="L301" s="45"/>
      <c r="N301" s="23"/>
      <c r="P301" s="45"/>
      <c r="R301" s="23"/>
      <c r="T301" s="23"/>
    </row>
    <row r="302" spans="1:20">
      <c r="A302" s="23"/>
      <c r="B302" s="23"/>
      <c r="D302" s="23"/>
      <c r="F302" s="23"/>
      <c r="H302" s="45"/>
      <c r="J302" s="23"/>
      <c r="L302" s="45"/>
      <c r="N302" s="23"/>
      <c r="P302" s="45"/>
      <c r="R302" s="23"/>
      <c r="T302" s="23"/>
    </row>
    <row r="303" spans="1:20">
      <c r="A303" s="23"/>
      <c r="B303" s="23"/>
      <c r="D303" s="23"/>
      <c r="F303" s="23"/>
      <c r="H303" s="45"/>
      <c r="J303" s="23"/>
      <c r="L303" s="45"/>
      <c r="N303" s="23"/>
      <c r="P303" s="45"/>
      <c r="R303" s="23"/>
      <c r="T303" s="23"/>
    </row>
    <row r="304" spans="1:20">
      <c r="A304" s="23"/>
      <c r="B304" s="23"/>
      <c r="D304" s="23"/>
      <c r="F304" s="23"/>
      <c r="H304" s="45"/>
      <c r="J304" s="23"/>
      <c r="L304" s="45"/>
      <c r="N304" s="23"/>
      <c r="P304" s="45"/>
      <c r="R304" s="23"/>
      <c r="T304" s="23"/>
    </row>
    <row r="305" spans="1:20">
      <c r="A305" s="23"/>
      <c r="B305" s="23"/>
      <c r="D305" s="23"/>
      <c r="F305" s="23"/>
      <c r="H305" s="45"/>
      <c r="J305" s="23"/>
      <c r="L305" s="45"/>
      <c r="N305" s="23"/>
      <c r="P305" s="45"/>
      <c r="R305" s="23"/>
      <c r="T305" s="23"/>
    </row>
    <row r="306" spans="1:20">
      <c r="A306" s="23"/>
      <c r="B306" s="23"/>
      <c r="D306" s="23"/>
      <c r="F306" s="23"/>
      <c r="H306" s="45"/>
      <c r="J306" s="23"/>
      <c r="L306" s="45"/>
      <c r="N306" s="23"/>
      <c r="P306" s="45"/>
      <c r="R306" s="23"/>
      <c r="T306" s="23"/>
    </row>
    <row r="307" spans="1:20">
      <c r="A307" s="23"/>
      <c r="B307" s="23"/>
      <c r="D307" s="23"/>
      <c r="F307" s="23"/>
      <c r="H307" s="45"/>
      <c r="J307" s="23"/>
      <c r="L307" s="45"/>
      <c r="N307" s="23"/>
      <c r="P307" s="45"/>
      <c r="R307" s="23"/>
      <c r="T307" s="23"/>
    </row>
    <row r="308" spans="1:20">
      <c r="A308" s="23"/>
      <c r="B308" s="23"/>
      <c r="D308" s="23"/>
      <c r="F308" s="23"/>
      <c r="H308" s="45"/>
      <c r="J308" s="23"/>
      <c r="L308" s="45"/>
      <c r="N308" s="23"/>
      <c r="P308" s="45"/>
      <c r="R308" s="23"/>
      <c r="T308" s="23"/>
    </row>
    <row r="309" spans="1:20">
      <c r="A309" s="23"/>
      <c r="B309" s="23"/>
      <c r="D309" s="23"/>
      <c r="F309" s="23"/>
      <c r="H309" s="45"/>
      <c r="J309" s="23"/>
      <c r="L309" s="45"/>
      <c r="N309" s="23"/>
      <c r="P309" s="45"/>
      <c r="R309" s="23"/>
      <c r="T309" s="23"/>
    </row>
    <row r="310" spans="1:20">
      <c r="A310" s="23"/>
      <c r="B310" s="23"/>
      <c r="D310" s="23"/>
      <c r="F310" s="23"/>
      <c r="H310" s="45"/>
      <c r="J310" s="23"/>
      <c r="L310" s="45"/>
      <c r="N310" s="23"/>
      <c r="P310" s="45"/>
      <c r="R310" s="23"/>
      <c r="T310" s="23"/>
    </row>
    <row r="311" spans="1:20">
      <c r="A311" s="23"/>
      <c r="B311" s="23"/>
      <c r="D311" s="23"/>
      <c r="F311" s="23"/>
      <c r="H311" s="45"/>
      <c r="J311" s="23"/>
      <c r="L311" s="45"/>
      <c r="N311" s="23"/>
      <c r="P311" s="45"/>
      <c r="R311" s="23"/>
      <c r="T311" s="23"/>
    </row>
    <row r="312" spans="1:20">
      <c r="A312" s="23"/>
      <c r="B312" s="23"/>
      <c r="D312" s="23"/>
      <c r="F312" s="23"/>
      <c r="H312" s="45"/>
      <c r="J312" s="23"/>
      <c r="L312" s="45"/>
      <c r="N312" s="23"/>
      <c r="P312" s="45"/>
      <c r="R312" s="23"/>
      <c r="T312" s="23"/>
    </row>
    <row r="313" spans="1:20">
      <c r="A313" s="23"/>
      <c r="B313" s="23"/>
      <c r="D313" s="23"/>
      <c r="F313" s="23"/>
      <c r="H313" s="45"/>
      <c r="J313" s="23"/>
      <c r="L313" s="45"/>
      <c r="N313" s="23"/>
      <c r="P313" s="45"/>
      <c r="R313" s="23"/>
      <c r="T313" s="23"/>
    </row>
    <row r="314" spans="1:20">
      <c r="A314" s="23"/>
      <c r="B314" s="23"/>
      <c r="D314" s="23"/>
      <c r="F314" s="23"/>
      <c r="H314" s="45"/>
      <c r="J314" s="23"/>
      <c r="L314" s="45"/>
      <c r="N314" s="23"/>
      <c r="P314" s="45"/>
      <c r="R314" s="23"/>
      <c r="T314" s="23"/>
    </row>
    <row r="315" spans="1:20">
      <c r="A315" s="23"/>
      <c r="B315" s="23"/>
      <c r="D315" s="23"/>
      <c r="F315" s="23"/>
      <c r="H315" s="45"/>
      <c r="J315" s="23"/>
      <c r="L315" s="45"/>
      <c r="N315" s="23"/>
      <c r="P315" s="45"/>
      <c r="R315" s="23"/>
      <c r="T315" s="23"/>
    </row>
    <row r="316" spans="1:20">
      <c r="A316" s="23"/>
      <c r="B316" s="23"/>
      <c r="D316" s="23"/>
      <c r="F316" s="23"/>
      <c r="H316" s="45"/>
      <c r="J316" s="23"/>
      <c r="L316" s="45"/>
      <c r="N316" s="23"/>
      <c r="P316" s="45"/>
      <c r="R316" s="23"/>
      <c r="T316" s="23"/>
    </row>
    <row r="317" spans="1:20">
      <c r="A317" s="23"/>
      <c r="B317" s="23"/>
      <c r="D317" s="23"/>
      <c r="F317" s="23"/>
      <c r="H317" s="45"/>
      <c r="J317" s="23"/>
      <c r="L317" s="45"/>
      <c r="N317" s="23"/>
      <c r="P317" s="45"/>
      <c r="R317" s="23"/>
      <c r="T317" s="23"/>
    </row>
    <row r="318" spans="1:20">
      <c r="A318" s="23"/>
      <c r="B318" s="23"/>
      <c r="D318" s="23"/>
      <c r="F318" s="23"/>
      <c r="H318" s="45"/>
      <c r="J318" s="23"/>
      <c r="L318" s="45"/>
      <c r="N318" s="23"/>
      <c r="P318" s="45"/>
      <c r="R318" s="23"/>
      <c r="T318" s="23"/>
    </row>
    <row r="319" spans="1:20">
      <c r="A319" s="23"/>
      <c r="B319" s="23"/>
      <c r="D319" s="23"/>
      <c r="F319" s="23"/>
      <c r="H319" s="45"/>
      <c r="J319" s="23"/>
      <c r="L319" s="45"/>
      <c r="N319" s="23"/>
      <c r="P319" s="45"/>
      <c r="R319" s="23"/>
      <c r="T319" s="23"/>
    </row>
    <row r="320" spans="1:20">
      <c r="A320" s="23"/>
      <c r="B320" s="23"/>
      <c r="D320" s="23"/>
      <c r="F320" s="23"/>
      <c r="H320" s="45"/>
      <c r="J320" s="23"/>
      <c r="L320" s="45"/>
      <c r="N320" s="23"/>
      <c r="P320" s="45"/>
      <c r="R320" s="23"/>
      <c r="T320" s="23"/>
    </row>
    <row r="321" spans="1:20">
      <c r="A321" s="23"/>
      <c r="B321" s="23"/>
      <c r="D321" s="23"/>
      <c r="F321" s="23"/>
      <c r="H321" s="45"/>
      <c r="J321" s="23"/>
      <c r="L321" s="45"/>
      <c r="N321" s="23"/>
      <c r="P321" s="45"/>
      <c r="R321" s="23"/>
      <c r="T321" s="23"/>
    </row>
    <row r="322" spans="1:20">
      <c r="A322" s="23"/>
      <c r="B322" s="23"/>
      <c r="D322" s="23"/>
      <c r="F322" s="23"/>
      <c r="H322" s="45"/>
      <c r="J322" s="23"/>
      <c r="L322" s="45"/>
      <c r="N322" s="23"/>
      <c r="P322" s="45"/>
      <c r="R322" s="23"/>
      <c r="T322" s="23"/>
    </row>
    <row r="323" spans="1:20">
      <c r="A323" s="23"/>
      <c r="B323" s="23"/>
      <c r="D323" s="23"/>
      <c r="F323" s="23"/>
      <c r="H323" s="45"/>
      <c r="J323" s="23"/>
      <c r="L323" s="45"/>
      <c r="N323" s="23"/>
      <c r="P323" s="45"/>
      <c r="R323" s="23"/>
      <c r="T323" s="23"/>
    </row>
    <row r="324" spans="1:20">
      <c r="A324" s="23"/>
      <c r="B324" s="23"/>
      <c r="D324" s="23"/>
      <c r="F324" s="23"/>
      <c r="H324" s="45"/>
      <c r="J324" s="23"/>
      <c r="L324" s="45"/>
      <c r="N324" s="23"/>
      <c r="P324" s="45"/>
      <c r="R324" s="23"/>
      <c r="T324" s="23"/>
    </row>
    <row r="325" spans="1:20">
      <c r="A325" s="23"/>
      <c r="B325" s="23"/>
      <c r="D325" s="23"/>
      <c r="F325" s="23"/>
      <c r="H325" s="45"/>
      <c r="J325" s="23"/>
      <c r="L325" s="45"/>
      <c r="N325" s="23"/>
      <c r="P325" s="45"/>
      <c r="R325" s="23"/>
      <c r="T325" s="23"/>
    </row>
    <row r="326" spans="1:20">
      <c r="A326" s="23"/>
      <c r="B326" s="23"/>
      <c r="D326" s="23"/>
      <c r="F326" s="23"/>
      <c r="H326" s="45"/>
      <c r="J326" s="23"/>
      <c r="L326" s="45"/>
      <c r="N326" s="23"/>
      <c r="P326" s="45"/>
      <c r="R326" s="23"/>
      <c r="T326" s="23"/>
    </row>
    <row r="327" spans="1:20">
      <c r="A327" s="23"/>
      <c r="B327" s="23"/>
      <c r="D327" s="23"/>
      <c r="F327" s="23"/>
      <c r="H327" s="45"/>
      <c r="J327" s="23"/>
      <c r="L327" s="45"/>
      <c r="N327" s="23"/>
      <c r="P327" s="45"/>
      <c r="R327" s="23"/>
      <c r="T327" s="23"/>
    </row>
    <row r="328" spans="1:20">
      <c r="A328" s="23"/>
      <c r="B328" s="23"/>
      <c r="D328" s="23"/>
      <c r="F328" s="23"/>
      <c r="H328" s="45"/>
      <c r="J328" s="23"/>
      <c r="L328" s="45"/>
      <c r="N328" s="23"/>
      <c r="P328" s="45"/>
      <c r="R328" s="23"/>
      <c r="T328" s="23"/>
    </row>
    <row r="329" spans="1:20">
      <c r="A329" s="23"/>
      <c r="B329" s="23"/>
      <c r="D329" s="23"/>
      <c r="F329" s="23"/>
      <c r="H329" s="45"/>
      <c r="J329" s="23"/>
      <c r="L329" s="45"/>
      <c r="N329" s="23"/>
      <c r="P329" s="45"/>
      <c r="R329" s="23"/>
      <c r="T329" s="23"/>
    </row>
    <row r="330" spans="1:20">
      <c r="A330" s="23"/>
      <c r="B330" s="23"/>
      <c r="D330" s="23"/>
      <c r="F330" s="23"/>
      <c r="H330" s="45"/>
      <c r="J330" s="23"/>
      <c r="L330" s="45"/>
      <c r="N330" s="23"/>
      <c r="P330" s="45"/>
      <c r="R330" s="23"/>
      <c r="T330" s="23"/>
    </row>
    <row r="331" spans="1:20">
      <c r="A331" s="23"/>
      <c r="B331" s="23"/>
      <c r="D331" s="23"/>
      <c r="F331" s="23"/>
      <c r="H331" s="45"/>
      <c r="J331" s="23"/>
      <c r="L331" s="45"/>
      <c r="N331" s="23"/>
      <c r="P331" s="45"/>
      <c r="R331" s="23"/>
      <c r="T331" s="23"/>
    </row>
    <row r="332" spans="1:20">
      <c r="A332" s="23"/>
      <c r="B332" s="23"/>
      <c r="D332" s="23"/>
      <c r="F332" s="23"/>
      <c r="H332" s="45"/>
      <c r="J332" s="23"/>
      <c r="L332" s="45"/>
      <c r="N332" s="23"/>
      <c r="P332" s="45"/>
      <c r="R332" s="23"/>
      <c r="T332" s="23"/>
    </row>
    <row r="333" spans="1:20">
      <c r="A333" s="23"/>
      <c r="B333" s="23"/>
      <c r="D333" s="23"/>
      <c r="F333" s="23"/>
      <c r="H333" s="45"/>
      <c r="J333" s="23"/>
      <c r="L333" s="45"/>
      <c r="N333" s="23"/>
      <c r="P333" s="45"/>
      <c r="R333" s="23"/>
      <c r="T333" s="23"/>
    </row>
    <row r="334" spans="1:20">
      <c r="A334" s="23"/>
      <c r="B334" s="23"/>
      <c r="D334" s="23"/>
      <c r="F334" s="23"/>
      <c r="H334" s="45"/>
      <c r="J334" s="23"/>
      <c r="L334" s="45"/>
      <c r="N334" s="23"/>
      <c r="P334" s="45"/>
      <c r="R334" s="23"/>
      <c r="T334" s="23"/>
    </row>
    <row r="335" spans="1:20">
      <c r="A335" s="23"/>
      <c r="B335" s="23"/>
      <c r="D335" s="23"/>
      <c r="F335" s="23"/>
      <c r="H335" s="45"/>
      <c r="J335" s="23"/>
      <c r="L335" s="45"/>
      <c r="N335" s="23"/>
      <c r="P335" s="45"/>
      <c r="R335" s="23"/>
      <c r="T335" s="23"/>
    </row>
    <row r="336" spans="1:20">
      <c r="A336" s="23"/>
      <c r="B336" s="23"/>
      <c r="D336" s="23"/>
      <c r="F336" s="23"/>
      <c r="H336" s="45"/>
      <c r="J336" s="23"/>
      <c r="L336" s="45"/>
      <c r="N336" s="23"/>
      <c r="P336" s="45"/>
      <c r="R336" s="23"/>
      <c r="T336" s="23"/>
    </row>
    <row r="337" spans="1:20">
      <c r="A337" s="23"/>
      <c r="B337" s="23"/>
      <c r="D337" s="23"/>
      <c r="F337" s="23"/>
      <c r="H337" s="45"/>
      <c r="J337" s="23"/>
      <c r="L337" s="45"/>
      <c r="N337" s="23"/>
      <c r="P337" s="45"/>
      <c r="R337" s="23"/>
      <c r="T337" s="23"/>
    </row>
    <row r="338" spans="1:20">
      <c r="A338" s="23"/>
      <c r="B338" s="23"/>
      <c r="D338" s="23"/>
      <c r="F338" s="23"/>
      <c r="H338" s="45"/>
      <c r="J338" s="23"/>
      <c r="L338" s="45"/>
      <c r="N338" s="23"/>
      <c r="P338" s="45"/>
      <c r="R338" s="23"/>
      <c r="T338" s="23"/>
    </row>
    <row r="339" spans="1:20">
      <c r="A339" s="23"/>
      <c r="B339" s="23"/>
      <c r="D339" s="23"/>
      <c r="F339" s="23"/>
      <c r="H339" s="45"/>
      <c r="J339" s="23"/>
      <c r="L339" s="45"/>
      <c r="N339" s="23"/>
      <c r="P339" s="45"/>
      <c r="R339" s="23"/>
      <c r="T339" s="23"/>
    </row>
    <row r="340" spans="1:20">
      <c r="A340" s="23"/>
      <c r="B340" s="23"/>
      <c r="D340" s="23"/>
      <c r="F340" s="23"/>
      <c r="H340" s="45"/>
      <c r="J340" s="23"/>
      <c r="L340" s="45"/>
      <c r="N340" s="23"/>
      <c r="P340" s="45"/>
      <c r="R340" s="23"/>
      <c r="T340" s="23"/>
    </row>
    <row r="341" spans="1:20">
      <c r="A341" s="23"/>
      <c r="B341" s="23"/>
      <c r="D341" s="23"/>
      <c r="F341" s="23"/>
      <c r="H341" s="45"/>
      <c r="J341" s="23"/>
      <c r="L341" s="45"/>
      <c r="N341" s="23"/>
      <c r="P341" s="45"/>
      <c r="R341" s="23"/>
      <c r="T341" s="23"/>
    </row>
    <row r="342" spans="1:20">
      <c r="A342" s="23"/>
      <c r="B342" s="23"/>
      <c r="D342" s="23"/>
      <c r="F342" s="23"/>
      <c r="H342" s="45"/>
      <c r="J342" s="23"/>
      <c r="L342" s="45"/>
      <c r="N342" s="23"/>
      <c r="P342" s="45"/>
      <c r="R342" s="23"/>
      <c r="T342" s="23"/>
    </row>
    <row r="343" spans="1:20">
      <c r="A343" s="23"/>
      <c r="B343" s="23"/>
      <c r="D343" s="23"/>
      <c r="F343" s="23"/>
      <c r="H343" s="45"/>
      <c r="J343" s="23"/>
      <c r="L343" s="45"/>
      <c r="N343" s="23"/>
      <c r="P343" s="45"/>
      <c r="R343" s="23"/>
      <c r="T343" s="23"/>
    </row>
    <row r="344" spans="1:20">
      <c r="A344" s="23"/>
      <c r="B344" s="23"/>
      <c r="D344" s="23"/>
      <c r="F344" s="23"/>
      <c r="H344" s="45"/>
      <c r="J344" s="23"/>
      <c r="L344" s="45"/>
      <c r="N344" s="23"/>
      <c r="P344" s="45"/>
      <c r="R344" s="23"/>
      <c r="T344" s="23"/>
    </row>
    <row r="345" spans="1:20">
      <c r="A345" s="23"/>
      <c r="B345" s="23"/>
      <c r="D345" s="23"/>
      <c r="F345" s="23"/>
      <c r="H345" s="45"/>
      <c r="J345" s="23"/>
      <c r="L345" s="45"/>
      <c r="N345" s="23"/>
      <c r="P345" s="45"/>
      <c r="R345" s="23"/>
      <c r="T345" s="23"/>
    </row>
    <row r="346" spans="1:20">
      <c r="A346" s="23"/>
      <c r="B346" s="23"/>
      <c r="D346" s="23"/>
      <c r="F346" s="23"/>
      <c r="H346" s="45"/>
      <c r="J346" s="23"/>
      <c r="L346" s="45"/>
      <c r="N346" s="23"/>
      <c r="P346" s="45"/>
      <c r="R346" s="23"/>
      <c r="T346" s="23"/>
    </row>
    <row r="347" spans="1:20">
      <c r="A347" s="23"/>
      <c r="B347" s="23"/>
      <c r="D347" s="23"/>
      <c r="F347" s="23"/>
      <c r="H347" s="45"/>
      <c r="J347" s="23"/>
      <c r="L347" s="45"/>
      <c r="N347" s="23"/>
      <c r="P347" s="45"/>
      <c r="R347" s="23"/>
      <c r="T347" s="23"/>
    </row>
    <row r="348" spans="1:20">
      <c r="A348" s="23"/>
      <c r="B348" s="23"/>
      <c r="D348" s="23"/>
      <c r="F348" s="23"/>
      <c r="H348" s="45"/>
      <c r="J348" s="23"/>
      <c r="L348" s="45"/>
      <c r="N348" s="23"/>
      <c r="P348" s="45"/>
      <c r="R348" s="23"/>
      <c r="T348" s="23"/>
    </row>
    <row r="349" spans="1:20">
      <c r="A349" s="23"/>
      <c r="B349" s="23"/>
      <c r="D349" s="23"/>
      <c r="F349" s="23"/>
      <c r="H349" s="45"/>
      <c r="J349" s="23"/>
      <c r="L349" s="45"/>
      <c r="N349" s="23"/>
      <c r="P349" s="45"/>
      <c r="R349" s="23"/>
      <c r="T349" s="23"/>
    </row>
    <row r="350" spans="1:20">
      <c r="A350" s="23"/>
      <c r="B350" s="23"/>
      <c r="D350" s="23"/>
      <c r="F350" s="23"/>
      <c r="H350" s="45"/>
      <c r="J350" s="23"/>
      <c r="L350" s="45"/>
      <c r="N350" s="23"/>
      <c r="P350" s="45"/>
      <c r="R350" s="23"/>
      <c r="T350" s="23"/>
    </row>
    <row r="351" spans="1:20">
      <c r="A351" s="23"/>
      <c r="B351" s="23"/>
      <c r="D351" s="23"/>
      <c r="F351" s="23"/>
      <c r="H351" s="45"/>
      <c r="J351" s="23"/>
      <c r="L351" s="45"/>
      <c r="N351" s="23"/>
      <c r="P351" s="45"/>
      <c r="R351" s="23"/>
      <c r="T351" s="23"/>
    </row>
    <row r="352" spans="1:20">
      <c r="A352" s="23"/>
      <c r="B352" s="23"/>
      <c r="D352" s="23"/>
      <c r="F352" s="23"/>
      <c r="H352" s="45"/>
      <c r="J352" s="23"/>
      <c r="L352" s="45"/>
      <c r="N352" s="23"/>
      <c r="P352" s="45"/>
      <c r="R352" s="23"/>
      <c r="T352" s="23"/>
    </row>
    <row r="353" spans="1:20">
      <c r="A353" s="23"/>
      <c r="B353" s="23"/>
      <c r="D353" s="23"/>
      <c r="F353" s="23"/>
      <c r="H353" s="45"/>
      <c r="J353" s="23"/>
      <c r="L353" s="45"/>
      <c r="N353" s="23"/>
      <c r="P353" s="45"/>
      <c r="R353" s="23"/>
      <c r="T353" s="23"/>
    </row>
    <row r="354" spans="1:20">
      <c r="A354" s="23"/>
      <c r="B354" s="23"/>
      <c r="D354" s="23"/>
      <c r="F354" s="23"/>
      <c r="H354" s="45"/>
      <c r="J354" s="23"/>
      <c r="L354" s="45"/>
      <c r="N354" s="23"/>
      <c r="P354" s="45"/>
      <c r="R354" s="23"/>
      <c r="T354" s="23"/>
    </row>
    <row r="355" spans="1:20">
      <c r="A355" s="23"/>
      <c r="B355" s="23"/>
      <c r="D355" s="23"/>
      <c r="F355" s="23"/>
      <c r="H355" s="45"/>
      <c r="J355" s="23"/>
      <c r="L355" s="45"/>
      <c r="N355" s="23"/>
      <c r="P355" s="45"/>
      <c r="R355" s="23"/>
      <c r="T355" s="23"/>
    </row>
    <row r="356" spans="1:20">
      <c r="A356" s="23"/>
      <c r="B356" s="23"/>
      <c r="D356" s="23"/>
      <c r="F356" s="23"/>
      <c r="H356" s="45"/>
      <c r="J356" s="23"/>
      <c r="L356" s="45"/>
      <c r="N356" s="23"/>
      <c r="P356" s="45"/>
      <c r="R356" s="23"/>
      <c r="T356" s="23"/>
    </row>
    <row r="357" spans="1:20">
      <c r="A357" s="23"/>
      <c r="B357" s="23"/>
      <c r="D357" s="23"/>
      <c r="F357" s="23"/>
      <c r="H357" s="45"/>
      <c r="J357" s="23"/>
      <c r="L357" s="45"/>
      <c r="N357" s="23"/>
      <c r="P357" s="45"/>
      <c r="R357" s="23"/>
      <c r="T357" s="23"/>
    </row>
    <row r="358" spans="1:20">
      <c r="A358" s="23"/>
      <c r="B358" s="23"/>
      <c r="D358" s="23"/>
      <c r="F358" s="23"/>
      <c r="H358" s="45"/>
      <c r="J358" s="23"/>
      <c r="L358" s="45"/>
      <c r="N358" s="23"/>
      <c r="P358" s="45"/>
      <c r="R358" s="23"/>
      <c r="T358" s="23"/>
    </row>
    <row r="359" spans="1:20">
      <c r="A359" s="23"/>
      <c r="B359" s="23"/>
      <c r="D359" s="23"/>
      <c r="F359" s="23"/>
      <c r="H359" s="45"/>
      <c r="J359" s="23"/>
      <c r="L359" s="45"/>
      <c r="N359" s="23"/>
      <c r="P359" s="45"/>
      <c r="R359" s="23"/>
      <c r="T359" s="23"/>
    </row>
    <row r="360" spans="1:20">
      <c r="A360" s="23"/>
      <c r="B360" s="23"/>
      <c r="D360" s="23"/>
      <c r="F360" s="23"/>
      <c r="H360" s="45"/>
      <c r="J360" s="23"/>
      <c r="L360" s="45"/>
      <c r="N360" s="23"/>
      <c r="P360" s="45"/>
      <c r="R360" s="23"/>
      <c r="T360" s="23"/>
    </row>
    <row r="361" spans="1:20">
      <c r="A361" s="23"/>
      <c r="B361" s="23"/>
      <c r="D361" s="23"/>
      <c r="F361" s="23"/>
      <c r="H361" s="45"/>
      <c r="J361" s="23"/>
      <c r="L361" s="45"/>
      <c r="N361" s="23"/>
      <c r="P361" s="45"/>
      <c r="R361" s="23"/>
      <c r="T361" s="23"/>
    </row>
    <row r="362" spans="1:20">
      <c r="A362" s="23"/>
      <c r="B362" s="23"/>
      <c r="D362" s="23"/>
      <c r="F362" s="23"/>
      <c r="H362" s="45"/>
      <c r="J362" s="23"/>
      <c r="L362" s="45"/>
      <c r="N362" s="23"/>
      <c r="P362" s="45"/>
      <c r="R362" s="23"/>
      <c r="T362" s="23"/>
    </row>
    <row r="363" spans="1:20">
      <c r="A363" s="23"/>
      <c r="B363" s="23"/>
      <c r="D363" s="23"/>
      <c r="F363" s="23"/>
      <c r="H363" s="45"/>
      <c r="J363" s="23"/>
      <c r="L363" s="45"/>
      <c r="N363" s="23"/>
      <c r="P363" s="45"/>
      <c r="R363" s="23"/>
      <c r="T363" s="23"/>
    </row>
    <row r="364" spans="1:20">
      <c r="A364" s="23"/>
      <c r="B364" s="23"/>
      <c r="D364" s="23"/>
      <c r="F364" s="23"/>
      <c r="H364" s="45"/>
      <c r="J364" s="23"/>
      <c r="L364" s="45"/>
      <c r="N364" s="23"/>
      <c r="P364" s="45"/>
      <c r="R364" s="23"/>
      <c r="T364" s="23"/>
    </row>
    <row r="365" spans="1:20">
      <c r="A365" s="23"/>
      <c r="B365" s="23"/>
      <c r="D365" s="23"/>
      <c r="F365" s="23"/>
      <c r="H365" s="45"/>
      <c r="J365" s="23"/>
      <c r="L365" s="45"/>
      <c r="N365" s="23"/>
      <c r="P365" s="45"/>
      <c r="R365" s="23"/>
      <c r="T365" s="23"/>
    </row>
    <row r="366" spans="1:20">
      <c r="A366" s="23"/>
      <c r="B366" s="23"/>
      <c r="D366" s="23"/>
      <c r="F366" s="23"/>
      <c r="H366" s="45"/>
      <c r="J366" s="23"/>
      <c r="L366" s="45"/>
      <c r="N366" s="23"/>
      <c r="P366" s="45"/>
      <c r="R366" s="23"/>
      <c r="T366" s="23"/>
    </row>
    <row r="367" spans="1:20">
      <c r="A367" s="23"/>
      <c r="B367" s="23"/>
      <c r="D367" s="23"/>
      <c r="F367" s="23"/>
      <c r="H367" s="45"/>
      <c r="J367" s="23"/>
      <c r="L367" s="45"/>
      <c r="N367" s="23"/>
      <c r="P367" s="45"/>
      <c r="R367" s="23"/>
      <c r="T367" s="23"/>
    </row>
    <row r="368" spans="1:20">
      <c r="A368" s="23"/>
      <c r="B368" s="23"/>
      <c r="D368" s="23"/>
      <c r="F368" s="23"/>
      <c r="H368" s="45"/>
      <c r="J368" s="23"/>
      <c r="L368" s="45"/>
      <c r="N368" s="23"/>
      <c r="P368" s="45"/>
      <c r="R368" s="23"/>
      <c r="T368" s="23"/>
    </row>
    <row r="369" spans="1:20">
      <c r="A369" s="23"/>
      <c r="B369" s="23"/>
      <c r="D369" s="23"/>
      <c r="F369" s="23"/>
      <c r="H369" s="45"/>
      <c r="J369" s="23"/>
      <c r="L369" s="45"/>
      <c r="N369" s="23"/>
      <c r="P369" s="45"/>
      <c r="R369" s="23"/>
      <c r="T369" s="23"/>
    </row>
    <row r="370" spans="1:20">
      <c r="A370" s="23"/>
      <c r="B370" s="23"/>
      <c r="D370" s="23"/>
      <c r="F370" s="23"/>
      <c r="H370" s="45"/>
      <c r="J370" s="23"/>
      <c r="L370" s="45"/>
      <c r="N370" s="23"/>
      <c r="P370" s="45"/>
      <c r="R370" s="23"/>
      <c r="T370" s="23"/>
    </row>
    <row r="371" spans="1:20">
      <c r="A371" s="23"/>
      <c r="B371" s="23"/>
      <c r="D371" s="23"/>
      <c r="F371" s="23"/>
      <c r="H371" s="45"/>
      <c r="J371" s="23"/>
      <c r="L371" s="45"/>
      <c r="N371" s="23"/>
      <c r="P371" s="45"/>
      <c r="R371" s="23"/>
      <c r="T371" s="23"/>
    </row>
    <row r="372" spans="1:20">
      <c r="A372" s="23"/>
      <c r="B372" s="23"/>
      <c r="D372" s="23"/>
      <c r="F372" s="23"/>
      <c r="H372" s="45"/>
      <c r="J372" s="23"/>
      <c r="L372" s="45"/>
      <c r="N372" s="23"/>
      <c r="P372" s="45"/>
      <c r="R372" s="23"/>
      <c r="T372" s="23"/>
    </row>
    <row r="373" spans="1:20">
      <c r="A373" s="23"/>
      <c r="B373" s="23"/>
      <c r="D373" s="23"/>
      <c r="F373" s="23"/>
      <c r="H373" s="45"/>
      <c r="J373" s="23"/>
      <c r="L373" s="45"/>
      <c r="N373" s="23"/>
      <c r="P373" s="45"/>
      <c r="R373" s="23"/>
      <c r="T373" s="23"/>
    </row>
    <row r="374" spans="1:20">
      <c r="A374" s="23"/>
      <c r="B374" s="23"/>
      <c r="D374" s="23"/>
      <c r="F374" s="23"/>
      <c r="H374" s="45"/>
      <c r="J374" s="23"/>
      <c r="L374" s="45"/>
      <c r="N374" s="23"/>
      <c r="P374" s="45"/>
      <c r="R374" s="23"/>
      <c r="T374" s="23"/>
    </row>
    <row r="375" spans="1:20">
      <c r="A375" s="23"/>
      <c r="B375" s="23"/>
      <c r="D375" s="23"/>
      <c r="F375" s="23"/>
      <c r="H375" s="45"/>
      <c r="J375" s="23"/>
      <c r="L375" s="45"/>
      <c r="N375" s="23"/>
      <c r="P375" s="45"/>
      <c r="R375" s="23"/>
      <c r="T375" s="23"/>
    </row>
    <row r="376" spans="1:20">
      <c r="A376" s="23"/>
      <c r="B376" s="23"/>
      <c r="D376" s="23"/>
      <c r="F376" s="23"/>
      <c r="H376" s="45"/>
      <c r="J376" s="23"/>
      <c r="L376" s="45"/>
      <c r="N376" s="23"/>
      <c r="P376" s="45"/>
      <c r="R376" s="23"/>
      <c r="T376" s="23"/>
    </row>
    <row r="377" spans="1:20">
      <c r="A377" s="23"/>
      <c r="B377" s="23"/>
      <c r="D377" s="23"/>
      <c r="F377" s="23"/>
      <c r="H377" s="45"/>
      <c r="J377" s="23"/>
      <c r="L377" s="45"/>
      <c r="N377" s="23"/>
      <c r="P377" s="45"/>
      <c r="R377" s="23"/>
      <c r="T377" s="23"/>
    </row>
    <row r="378" spans="1:20">
      <c r="A378" s="23"/>
      <c r="B378" s="23"/>
      <c r="D378" s="23"/>
      <c r="F378" s="23"/>
      <c r="H378" s="45"/>
      <c r="J378" s="23"/>
      <c r="L378" s="45"/>
      <c r="N378" s="23"/>
      <c r="P378" s="45"/>
      <c r="R378" s="23"/>
      <c r="T378" s="23"/>
    </row>
    <row r="379" spans="1:20">
      <c r="A379" s="23"/>
      <c r="B379" s="23"/>
      <c r="D379" s="23"/>
      <c r="F379" s="23"/>
      <c r="H379" s="45"/>
      <c r="J379" s="23"/>
      <c r="L379" s="45"/>
      <c r="N379" s="23"/>
      <c r="P379" s="45"/>
      <c r="R379" s="23"/>
      <c r="T379" s="23"/>
    </row>
    <row r="380" spans="1:20">
      <c r="A380" s="23"/>
      <c r="B380" s="23"/>
      <c r="D380" s="23"/>
      <c r="F380" s="23"/>
      <c r="H380" s="45"/>
      <c r="J380" s="23"/>
      <c r="L380" s="45"/>
      <c r="N380" s="23"/>
      <c r="P380" s="45"/>
      <c r="R380" s="23"/>
      <c r="T380" s="23"/>
    </row>
    <row r="381" spans="1:20">
      <c r="A381" s="23"/>
      <c r="B381" s="23"/>
      <c r="D381" s="23"/>
      <c r="F381" s="23"/>
      <c r="H381" s="45"/>
      <c r="J381" s="23"/>
      <c r="L381" s="45"/>
      <c r="N381" s="23"/>
      <c r="P381" s="45"/>
      <c r="R381" s="23"/>
      <c r="T381" s="23"/>
    </row>
    <row r="382" spans="1:20">
      <c r="A382" s="23"/>
      <c r="B382" s="23"/>
      <c r="D382" s="23"/>
      <c r="F382" s="23"/>
      <c r="H382" s="45"/>
      <c r="J382" s="23"/>
      <c r="L382" s="45"/>
      <c r="N382" s="23"/>
      <c r="P382" s="45"/>
      <c r="R382" s="23"/>
      <c r="T382" s="23"/>
    </row>
    <row r="383" spans="1:20">
      <c r="A383" s="23"/>
      <c r="B383" s="23"/>
      <c r="D383" s="23"/>
      <c r="F383" s="23"/>
      <c r="H383" s="45"/>
      <c r="J383" s="23"/>
      <c r="L383" s="45"/>
      <c r="N383" s="23"/>
      <c r="P383" s="45"/>
      <c r="R383" s="23"/>
      <c r="T383" s="23"/>
    </row>
    <row r="384" spans="1:20">
      <c r="A384" s="23"/>
      <c r="B384" s="23"/>
      <c r="D384" s="23"/>
      <c r="F384" s="23"/>
      <c r="H384" s="45"/>
      <c r="J384" s="23"/>
      <c r="L384" s="45"/>
      <c r="N384" s="23"/>
      <c r="P384" s="45"/>
      <c r="R384" s="23"/>
      <c r="T384" s="23"/>
    </row>
    <row r="385" spans="1:20">
      <c r="A385" s="23"/>
      <c r="B385" s="23"/>
      <c r="D385" s="23"/>
      <c r="F385" s="23"/>
      <c r="H385" s="45"/>
      <c r="J385" s="23"/>
      <c r="L385" s="45"/>
      <c r="N385" s="23"/>
      <c r="P385" s="45"/>
      <c r="R385" s="23"/>
      <c r="T385" s="23"/>
    </row>
    <row r="386" spans="1:20">
      <c r="A386" s="23"/>
      <c r="B386" s="23"/>
      <c r="D386" s="23"/>
      <c r="F386" s="23"/>
      <c r="H386" s="45"/>
      <c r="J386" s="23"/>
      <c r="L386" s="45"/>
      <c r="N386" s="23"/>
      <c r="P386" s="45"/>
      <c r="R386" s="23"/>
      <c r="T386" s="23"/>
    </row>
    <row r="387" spans="1:20">
      <c r="A387" s="23"/>
      <c r="B387" s="23"/>
      <c r="D387" s="23"/>
      <c r="F387" s="23"/>
      <c r="H387" s="45"/>
      <c r="J387" s="23"/>
      <c r="L387" s="45"/>
      <c r="N387" s="23"/>
      <c r="P387" s="45"/>
      <c r="R387" s="23"/>
      <c r="T387" s="23"/>
    </row>
    <row r="388" spans="1:20">
      <c r="A388" s="23"/>
      <c r="B388" s="23"/>
      <c r="D388" s="23"/>
      <c r="F388" s="23"/>
      <c r="H388" s="45"/>
      <c r="J388" s="23"/>
      <c r="L388" s="45"/>
      <c r="N388" s="23"/>
      <c r="P388" s="45"/>
      <c r="R388" s="23"/>
      <c r="T388" s="23"/>
    </row>
    <row r="389" spans="1:20">
      <c r="A389" s="23"/>
      <c r="B389" s="23"/>
      <c r="D389" s="23"/>
      <c r="F389" s="23"/>
      <c r="H389" s="45"/>
      <c r="J389" s="23"/>
      <c r="L389" s="45"/>
      <c r="N389" s="23"/>
      <c r="P389" s="45"/>
      <c r="R389" s="23"/>
      <c r="T389" s="23"/>
    </row>
    <row r="390" spans="1:20">
      <c r="A390" s="23"/>
      <c r="B390" s="23"/>
      <c r="D390" s="23"/>
      <c r="F390" s="23"/>
      <c r="H390" s="45"/>
      <c r="J390" s="23"/>
      <c r="L390" s="45"/>
      <c r="N390" s="23"/>
      <c r="P390" s="45"/>
      <c r="R390" s="23"/>
      <c r="T390" s="23"/>
    </row>
    <row r="391" spans="1:20">
      <c r="A391" s="23"/>
      <c r="B391" s="23"/>
      <c r="D391" s="23"/>
      <c r="F391" s="23"/>
      <c r="H391" s="45"/>
      <c r="J391" s="23"/>
      <c r="L391" s="45"/>
      <c r="N391" s="23"/>
      <c r="P391" s="45"/>
      <c r="R391" s="23"/>
      <c r="T391" s="23"/>
    </row>
    <row r="392" spans="1:20">
      <c r="A392" s="23"/>
      <c r="B392" s="23"/>
      <c r="D392" s="23"/>
      <c r="F392" s="23"/>
      <c r="H392" s="45"/>
      <c r="J392" s="23"/>
      <c r="L392" s="45"/>
      <c r="N392" s="23"/>
      <c r="P392" s="45"/>
      <c r="R392" s="23"/>
      <c r="T392" s="23"/>
    </row>
    <row r="393" spans="1:20">
      <c r="A393" s="23"/>
      <c r="B393" s="23"/>
      <c r="D393" s="23"/>
      <c r="F393" s="23"/>
      <c r="H393" s="45"/>
      <c r="J393" s="23"/>
      <c r="L393" s="45"/>
      <c r="N393" s="23"/>
      <c r="P393" s="45"/>
      <c r="R393" s="23"/>
      <c r="T393" s="23"/>
    </row>
    <row r="394" spans="1:20">
      <c r="A394" s="23"/>
      <c r="B394" s="23"/>
      <c r="D394" s="23"/>
      <c r="F394" s="23"/>
      <c r="H394" s="45"/>
      <c r="J394" s="23"/>
      <c r="L394" s="45"/>
      <c r="N394" s="23"/>
      <c r="P394" s="45"/>
      <c r="R394" s="23"/>
      <c r="T394" s="23"/>
    </row>
    <row r="395" spans="1:20">
      <c r="A395" s="23"/>
      <c r="B395" s="23"/>
      <c r="D395" s="23"/>
      <c r="F395" s="23"/>
      <c r="H395" s="45"/>
      <c r="J395" s="23"/>
      <c r="L395" s="45"/>
      <c r="N395" s="23"/>
      <c r="P395" s="45"/>
      <c r="R395" s="23"/>
      <c r="T395" s="23"/>
    </row>
    <row r="396" spans="1:20">
      <c r="A396" s="23"/>
      <c r="B396" s="23"/>
      <c r="D396" s="23"/>
      <c r="F396" s="23"/>
      <c r="H396" s="45"/>
      <c r="J396" s="23"/>
      <c r="L396" s="45"/>
      <c r="N396" s="23"/>
      <c r="P396" s="45"/>
      <c r="R396" s="23"/>
      <c r="T396" s="23"/>
    </row>
    <row r="397" spans="1:20">
      <c r="A397" s="23"/>
      <c r="B397" s="23"/>
      <c r="D397" s="23"/>
      <c r="F397" s="23"/>
      <c r="H397" s="45"/>
      <c r="J397" s="23"/>
      <c r="L397" s="45"/>
      <c r="N397" s="23"/>
      <c r="P397" s="45"/>
      <c r="R397" s="23"/>
      <c r="T397" s="23"/>
    </row>
    <row r="398" spans="1:20">
      <c r="A398" s="23"/>
      <c r="B398" s="23"/>
      <c r="D398" s="23"/>
      <c r="F398" s="23"/>
      <c r="H398" s="45"/>
      <c r="J398" s="23"/>
      <c r="L398" s="45"/>
      <c r="N398" s="23"/>
      <c r="P398" s="45"/>
      <c r="R398" s="23"/>
      <c r="T398" s="23"/>
    </row>
    <row r="399" spans="1:20">
      <c r="A399" s="23"/>
      <c r="B399" s="23"/>
      <c r="D399" s="23"/>
      <c r="F399" s="23"/>
      <c r="H399" s="45"/>
      <c r="J399" s="23"/>
      <c r="L399" s="45"/>
      <c r="N399" s="23"/>
      <c r="P399" s="45"/>
      <c r="R399" s="23"/>
      <c r="T399" s="23"/>
    </row>
    <row r="400" spans="1:20">
      <c r="A400" s="23"/>
      <c r="B400" s="23"/>
      <c r="D400" s="23"/>
      <c r="F400" s="23"/>
      <c r="H400" s="45"/>
      <c r="J400" s="23"/>
      <c r="L400" s="45"/>
      <c r="N400" s="23"/>
      <c r="P400" s="45"/>
      <c r="R400" s="23"/>
      <c r="T400" s="23"/>
    </row>
    <row r="401" spans="1:20">
      <c r="A401" s="23"/>
      <c r="B401" s="23"/>
      <c r="D401" s="23"/>
      <c r="F401" s="23"/>
      <c r="H401" s="45"/>
      <c r="J401" s="23"/>
      <c r="L401" s="45"/>
      <c r="N401" s="23"/>
      <c r="P401" s="45"/>
      <c r="R401" s="23"/>
      <c r="T401" s="23"/>
    </row>
    <row r="402" spans="1:20">
      <c r="A402" s="23"/>
      <c r="B402" s="23"/>
      <c r="D402" s="23"/>
      <c r="F402" s="23"/>
      <c r="H402" s="45"/>
      <c r="J402" s="23"/>
      <c r="L402" s="45"/>
      <c r="N402" s="23"/>
      <c r="P402" s="45"/>
      <c r="R402" s="23"/>
      <c r="T402" s="23"/>
    </row>
    <row r="403" spans="1:20">
      <c r="A403" s="23"/>
      <c r="B403" s="23"/>
      <c r="D403" s="23"/>
      <c r="F403" s="23"/>
      <c r="H403" s="45"/>
      <c r="J403" s="23"/>
      <c r="L403" s="45"/>
      <c r="N403" s="23"/>
      <c r="P403" s="45"/>
      <c r="R403" s="23"/>
      <c r="T403" s="23"/>
    </row>
    <row r="404" spans="1:20">
      <c r="A404" s="23"/>
      <c r="B404" s="23"/>
      <c r="D404" s="23"/>
      <c r="F404" s="23"/>
      <c r="H404" s="45"/>
      <c r="J404" s="23"/>
      <c r="L404" s="45"/>
      <c r="N404" s="23"/>
      <c r="P404" s="45"/>
      <c r="R404" s="23"/>
      <c r="T404" s="23"/>
    </row>
    <row r="405" spans="1:20">
      <c r="A405" s="23"/>
      <c r="B405" s="23"/>
      <c r="D405" s="23"/>
      <c r="F405" s="23"/>
      <c r="H405" s="45"/>
      <c r="J405" s="23"/>
      <c r="L405" s="45"/>
      <c r="N405" s="23"/>
      <c r="P405" s="45"/>
      <c r="R405" s="23"/>
      <c r="T405" s="23"/>
    </row>
    <row r="406" spans="1:20">
      <c r="A406" s="23"/>
      <c r="B406" s="23"/>
      <c r="D406" s="23"/>
      <c r="F406" s="23"/>
      <c r="H406" s="45"/>
      <c r="J406" s="23"/>
      <c r="L406" s="45"/>
      <c r="N406" s="23"/>
      <c r="P406" s="45"/>
      <c r="R406" s="23"/>
      <c r="T406" s="23"/>
    </row>
    <row r="407" spans="1:20">
      <c r="A407" s="23"/>
      <c r="B407" s="23"/>
      <c r="D407" s="23"/>
      <c r="F407" s="23"/>
      <c r="H407" s="45"/>
      <c r="J407" s="23"/>
      <c r="L407" s="45"/>
      <c r="N407" s="23"/>
      <c r="P407" s="45"/>
      <c r="R407" s="23"/>
      <c r="T407" s="23"/>
    </row>
    <row r="408" spans="1:20">
      <c r="A408" s="23"/>
      <c r="B408" s="23"/>
      <c r="D408" s="23"/>
      <c r="F408" s="23"/>
      <c r="H408" s="45"/>
      <c r="J408" s="23"/>
      <c r="L408" s="45"/>
      <c r="N408" s="23"/>
      <c r="P408" s="45"/>
      <c r="R408" s="23"/>
      <c r="T408" s="23"/>
    </row>
    <row r="409" spans="1:20">
      <c r="A409" s="23"/>
      <c r="B409" s="23"/>
      <c r="D409" s="23"/>
      <c r="F409" s="23"/>
      <c r="H409" s="45"/>
      <c r="J409" s="23"/>
      <c r="L409" s="45"/>
      <c r="N409" s="23"/>
      <c r="P409" s="45"/>
      <c r="R409" s="23"/>
      <c r="T409" s="23"/>
    </row>
    <row r="410" spans="1:20">
      <c r="A410" s="23"/>
      <c r="B410" s="23"/>
      <c r="D410" s="23"/>
      <c r="F410" s="23"/>
      <c r="H410" s="45"/>
      <c r="J410" s="23"/>
      <c r="L410" s="45"/>
      <c r="N410" s="23"/>
      <c r="P410" s="45"/>
      <c r="R410" s="23"/>
      <c r="T410" s="23"/>
    </row>
    <row r="411" spans="1:20">
      <c r="A411" s="23"/>
      <c r="B411" s="23"/>
      <c r="D411" s="23"/>
      <c r="F411" s="23"/>
      <c r="H411" s="45"/>
      <c r="J411" s="23"/>
      <c r="L411" s="45"/>
      <c r="N411" s="23"/>
      <c r="P411" s="45"/>
      <c r="R411" s="23"/>
      <c r="T411" s="23"/>
    </row>
    <row r="412" spans="1:20">
      <c r="A412" s="23"/>
      <c r="B412" s="23"/>
      <c r="D412" s="23"/>
      <c r="F412" s="23"/>
      <c r="H412" s="45"/>
      <c r="J412" s="23"/>
      <c r="L412" s="45"/>
      <c r="N412" s="23"/>
      <c r="P412" s="45"/>
      <c r="R412" s="23"/>
      <c r="T412" s="23"/>
    </row>
    <row r="413" spans="1:20">
      <c r="A413" s="23"/>
      <c r="B413" s="23"/>
      <c r="D413" s="23"/>
      <c r="F413" s="23"/>
      <c r="H413" s="45"/>
      <c r="J413" s="23"/>
      <c r="L413" s="45"/>
      <c r="N413" s="23"/>
      <c r="P413" s="45"/>
      <c r="R413" s="23"/>
      <c r="T413" s="23"/>
    </row>
    <row r="414" spans="1:20">
      <c r="A414" s="23"/>
      <c r="B414" s="23"/>
      <c r="D414" s="23"/>
      <c r="F414" s="23"/>
      <c r="H414" s="45"/>
      <c r="J414" s="23"/>
      <c r="L414" s="45"/>
      <c r="N414" s="23"/>
      <c r="P414" s="45"/>
      <c r="R414" s="23"/>
      <c r="T414" s="23"/>
    </row>
    <row r="415" spans="1:20">
      <c r="A415" s="23"/>
      <c r="B415" s="23"/>
      <c r="D415" s="23"/>
      <c r="F415" s="23"/>
      <c r="H415" s="45"/>
      <c r="J415" s="23"/>
      <c r="L415" s="45"/>
      <c r="N415" s="23"/>
      <c r="P415" s="45"/>
      <c r="R415" s="23"/>
      <c r="T415" s="23"/>
    </row>
    <row r="416" spans="1:20">
      <c r="A416" s="23"/>
      <c r="B416" s="23"/>
      <c r="D416" s="23"/>
      <c r="F416" s="23"/>
      <c r="H416" s="45"/>
      <c r="J416" s="23"/>
      <c r="L416" s="45"/>
      <c r="N416" s="23"/>
      <c r="P416" s="45"/>
      <c r="R416" s="23"/>
      <c r="T416" s="23"/>
    </row>
    <row r="417" spans="1:20">
      <c r="A417" s="23"/>
      <c r="B417" s="23"/>
      <c r="D417" s="23"/>
      <c r="F417" s="23"/>
      <c r="H417" s="45"/>
      <c r="J417" s="23"/>
      <c r="L417" s="45"/>
      <c r="N417" s="23"/>
      <c r="P417" s="45"/>
      <c r="R417" s="23"/>
      <c r="T417" s="23"/>
    </row>
    <row r="418" spans="1:20">
      <c r="A418" s="23"/>
      <c r="B418" s="23"/>
      <c r="D418" s="23"/>
      <c r="F418" s="23"/>
      <c r="H418" s="45"/>
      <c r="J418" s="23"/>
      <c r="L418" s="45"/>
      <c r="N418" s="23"/>
      <c r="P418" s="45"/>
      <c r="R418" s="23"/>
      <c r="T418" s="23"/>
    </row>
    <row r="419" spans="1:20">
      <c r="A419" s="23"/>
      <c r="B419" s="23"/>
      <c r="D419" s="23"/>
      <c r="F419" s="23"/>
      <c r="H419" s="45"/>
      <c r="J419" s="23"/>
      <c r="L419" s="45"/>
      <c r="N419" s="23"/>
      <c r="P419" s="45"/>
      <c r="R419" s="23"/>
      <c r="T419" s="23"/>
    </row>
    <row r="420" spans="1:20">
      <c r="A420" s="23"/>
      <c r="B420" s="23"/>
      <c r="D420" s="23"/>
      <c r="F420" s="23"/>
      <c r="H420" s="45"/>
      <c r="J420" s="23"/>
      <c r="L420" s="45"/>
      <c r="N420" s="23"/>
      <c r="P420" s="45"/>
      <c r="R420" s="23"/>
      <c r="T420" s="23"/>
    </row>
    <row r="421" spans="1:20">
      <c r="A421" s="23"/>
      <c r="B421" s="23"/>
      <c r="D421" s="23"/>
      <c r="F421" s="23"/>
      <c r="H421" s="45"/>
      <c r="J421" s="23"/>
      <c r="L421" s="45"/>
      <c r="N421" s="23"/>
      <c r="P421" s="45"/>
      <c r="R421" s="23"/>
      <c r="T421" s="23"/>
    </row>
    <row r="422" spans="1:20">
      <c r="A422" s="23"/>
      <c r="B422" s="23"/>
      <c r="D422" s="23"/>
      <c r="F422" s="23"/>
      <c r="H422" s="45"/>
      <c r="J422" s="23"/>
      <c r="L422" s="45"/>
      <c r="N422" s="23"/>
      <c r="P422" s="45"/>
      <c r="R422" s="23"/>
      <c r="T422" s="23"/>
    </row>
    <row r="423" spans="1:20">
      <c r="A423" s="23"/>
      <c r="B423" s="23"/>
      <c r="D423" s="23"/>
      <c r="F423" s="23"/>
      <c r="H423" s="45"/>
      <c r="J423" s="23"/>
      <c r="L423" s="45"/>
      <c r="N423" s="23"/>
      <c r="P423" s="45"/>
      <c r="R423" s="23"/>
      <c r="T423" s="23"/>
    </row>
    <row r="424" spans="1:20">
      <c r="A424" s="23"/>
      <c r="B424" s="23"/>
      <c r="D424" s="23"/>
      <c r="F424" s="23"/>
      <c r="H424" s="45"/>
      <c r="J424" s="23"/>
      <c r="L424" s="45"/>
      <c r="N424" s="23"/>
      <c r="P424" s="45"/>
      <c r="R424" s="23"/>
      <c r="T424" s="23"/>
    </row>
    <row r="425" spans="1:20">
      <c r="A425" s="23"/>
      <c r="B425" s="23"/>
      <c r="D425" s="23"/>
      <c r="F425" s="23"/>
      <c r="H425" s="45"/>
      <c r="J425" s="23"/>
      <c r="L425" s="45"/>
      <c r="N425" s="23"/>
      <c r="P425" s="45"/>
      <c r="R425" s="23"/>
      <c r="T425" s="23"/>
    </row>
    <row r="426" spans="1:20">
      <c r="A426" s="23"/>
      <c r="B426" s="23"/>
      <c r="D426" s="23"/>
      <c r="F426" s="23"/>
      <c r="H426" s="45"/>
      <c r="J426" s="23"/>
      <c r="L426" s="45"/>
      <c r="N426" s="23"/>
      <c r="P426" s="45"/>
      <c r="R426" s="23"/>
      <c r="T426" s="23"/>
    </row>
    <row r="427" spans="1:20">
      <c r="A427" s="23"/>
      <c r="B427" s="23"/>
      <c r="D427" s="23"/>
      <c r="F427" s="23"/>
      <c r="H427" s="45"/>
      <c r="J427" s="23"/>
      <c r="L427" s="45"/>
      <c r="N427" s="23"/>
      <c r="P427" s="45"/>
      <c r="R427" s="23"/>
      <c r="T427" s="23"/>
    </row>
    <row r="428" spans="1:20">
      <c r="A428" s="23"/>
      <c r="B428" s="23"/>
      <c r="D428" s="23"/>
      <c r="F428" s="23"/>
      <c r="H428" s="45"/>
      <c r="J428" s="23"/>
      <c r="L428" s="45"/>
      <c r="N428" s="23"/>
      <c r="P428" s="45"/>
      <c r="R428" s="23"/>
      <c r="T428" s="23"/>
    </row>
    <row r="429" spans="1:20">
      <c r="A429" s="23"/>
      <c r="B429" s="23"/>
      <c r="D429" s="23"/>
      <c r="F429" s="23"/>
      <c r="H429" s="45"/>
      <c r="J429" s="23"/>
      <c r="L429" s="45"/>
      <c r="N429" s="23"/>
      <c r="P429" s="45"/>
      <c r="R429" s="23"/>
      <c r="T429" s="23"/>
    </row>
    <row r="430" spans="1:20">
      <c r="A430" s="23"/>
      <c r="B430" s="23"/>
      <c r="D430" s="23"/>
      <c r="F430" s="23"/>
      <c r="H430" s="45"/>
      <c r="J430" s="23"/>
      <c r="L430" s="45"/>
      <c r="N430" s="23"/>
      <c r="P430" s="45"/>
      <c r="R430" s="23"/>
      <c r="T430" s="23"/>
    </row>
    <row r="431" spans="1:20">
      <c r="A431" s="23"/>
      <c r="B431" s="23"/>
      <c r="D431" s="23"/>
      <c r="F431" s="23"/>
      <c r="H431" s="45"/>
      <c r="J431" s="23"/>
      <c r="L431" s="45"/>
      <c r="N431" s="23"/>
      <c r="P431" s="45"/>
      <c r="R431" s="23"/>
      <c r="T431" s="23"/>
    </row>
    <row r="432" spans="1:20">
      <c r="A432" s="23"/>
      <c r="B432" s="23"/>
      <c r="D432" s="23"/>
      <c r="F432" s="23"/>
      <c r="H432" s="45"/>
      <c r="J432" s="23"/>
      <c r="L432" s="45"/>
      <c r="N432" s="23"/>
      <c r="P432" s="45"/>
      <c r="R432" s="23"/>
      <c r="T432" s="23"/>
    </row>
    <row r="433" spans="1:20">
      <c r="A433" s="23"/>
      <c r="B433" s="23"/>
      <c r="D433" s="23"/>
      <c r="F433" s="23"/>
      <c r="H433" s="45"/>
      <c r="J433" s="23"/>
      <c r="L433" s="45"/>
      <c r="N433" s="23"/>
      <c r="P433" s="45"/>
      <c r="R433" s="23"/>
      <c r="T433" s="23"/>
    </row>
    <row r="434" spans="1:20">
      <c r="A434" s="23"/>
      <c r="B434" s="23"/>
      <c r="D434" s="23"/>
      <c r="F434" s="23"/>
      <c r="H434" s="45"/>
      <c r="J434" s="23"/>
      <c r="L434" s="45"/>
      <c r="N434" s="23"/>
      <c r="P434" s="45"/>
      <c r="R434" s="23"/>
      <c r="T434" s="23"/>
    </row>
    <row r="435" spans="1:20">
      <c r="A435" s="23"/>
      <c r="B435" s="23"/>
      <c r="D435" s="23"/>
      <c r="F435" s="23"/>
      <c r="H435" s="45"/>
      <c r="J435" s="23"/>
      <c r="L435" s="45"/>
      <c r="N435" s="23"/>
      <c r="P435" s="45"/>
      <c r="R435" s="23"/>
      <c r="T435" s="23"/>
    </row>
    <row r="436" spans="1:20">
      <c r="A436" s="23"/>
      <c r="B436" s="23"/>
      <c r="D436" s="23"/>
      <c r="F436" s="23"/>
      <c r="H436" s="45"/>
      <c r="J436" s="23"/>
      <c r="L436" s="45"/>
      <c r="N436" s="23"/>
      <c r="P436" s="45"/>
      <c r="R436" s="23"/>
      <c r="T436" s="23"/>
    </row>
    <row r="437" spans="1:20">
      <c r="A437" s="23"/>
      <c r="B437" s="23"/>
      <c r="D437" s="23"/>
      <c r="F437" s="23"/>
      <c r="H437" s="45"/>
      <c r="J437" s="23"/>
      <c r="L437" s="45"/>
      <c r="N437" s="23"/>
      <c r="P437" s="45"/>
      <c r="R437" s="23"/>
      <c r="T437" s="23"/>
    </row>
    <row r="438" spans="1:20">
      <c r="A438" s="23"/>
      <c r="B438" s="23"/>
      <c r="D438" s="23"/>
      <c r="F438" s="23"/>
      <c r="H438" s="45"/>
      <c r="J438" s="23"/>
      <c r="L438" s="45"/>
      <c r="N438" s="23"/>
      <c r="P438" s="45"/>
      <c r="R438" s="23"/>
      <c r="T438" s="23"/>
    </row>
    <row r="439" spans="1:20">
      <c r="A439" s="23"/>
      <c r="B439" s="23"/>
      <c r="D439" s="23"/>
      <c r="F439" s="23"/>
      <c r="H439" s="45"/>
      <c r="J439" s="23"/>
      <c r="L439" s="45"/>
      <c r="N439" s="23"/>
      <c r="P439" s="45"/>
      <c r="R439" s="23"/>
      <c r="T439" s="23"/>
    </row>
    <row r="440" spans="1:20">
      <c r="A440" s="23"/>
      <c r="B440" s="23"/>
      <c r="D440" s="23"/>
      <c r="F440" s="23"/>
      <c r="H440" s="45"/>
      <c r="J440" s="23"/>
      <c r="L440" s="45"/>
      <c r="N440" s="23"/>
      <c r="P440" s="45"/>
      <c r="R440" s="23"/>
      <c r="T440" s="23"/>
    </row>
    <row r="441" spans="1:20">
      <c r="A441" s="23"/>
      <c r="B441" s="23"/>
      <c r="D441" s="23"/>
      <c r="F441" s="23"/>
      <c r="H441" s="45"/>
      <c r="J441" s="23"/>
      <c r="L441" s="45"/>
      <c r="N441" s="23"/>
      <c r="P441" s="45"/>
      <c r="R441" s="23"/>
      <c r="T441" s="23"/>
    </row>
    <row r="442" spans="1:20">
      <c r="A442" s="23"/>
      <c r="B442" s="23"/>
      <c r="D442" s="23"/>
      <c r="F442" s="23"/>
      <c r="H442" s="45"/>
      <c r="J442" s="23"/>
      <c r="L442" s="45"/>
      <c r="N442" s="23"/>
      <c r="P442" s="45"/>
      <c r="R442" s="23"/>
      <c r="T442" s="23"/>
    </row>
    <row r="443" spans="1:20">
      <c r="A443" s="23"/>
      <c r="B443" s="23"/>
      <c r="D443" s="23"/>
      <c r="F443" s="23"/>
      <c r="H443" s="45"/>
      <c r="J443" s="23"/>
      <c r="L443" s="45"/>
      <c r="N443" s="23"/>
      <c r="P443" s="45"/>
      <c r="R443" s="23"/>
      <c r="T443" s="23"/>
    </row>
    <row r="444" spans="1:20">
      <c r="A444" s="23"/>
      <c r="B444" s="23"/>
      <c r="D444" s="23"/>
      <c r="F444" s="23"/>
      <c r="H444" s="45"/>
      <c r="J444" s="23"/>
      <c r="L444" s="45"/>
      <c r="N444" s="23"/>
      <c r="P444" s="45"/>
      <c r="R444" s="23"/>
      <c r="T444" s="23"/>
    </row>
    <row r="445" spans="1:20">
      <c r="A445" s="23"/>
      <c r="B445" s="23"/>
      <c r="D445" s="23"/>
      <c r="F445" s="23"/>
      <c r="H445" s="45"/>
      <c r="J445" s="23"/>
      <c r="L445" s="45"/>
      <c r="N445" s="23"/>
      <c r="P445" s="45"/>
      <c r="R445" s="23"/>
      <c r="T445" s="23"/>
    </row>
    <row r="446" spans="1:20">
      <c r="A446" s="23"/>
      <c r="B446" s="23"/>
      <c r="D446" s="23"/>
      <c r="F446" s="23"/>
      <c r="H446" s="45"/>
      <c r="J446" s="23"/>
      <c r="L446" s="45"/>
      <c r="N446" s="23"/>
      <c r="P446" s="45"/>
      <c r="R446" s="23"/>
      <c r="T446" s="23"/>
    </row>
    <row r="447" spans="1:20">
      <c r="A447" s="23"/>
      <c r="B447" s="23"/>
      <c r="D447" s="23"/>
      <c r="F447" s="23"/>
      <c r="H447" s="45"/>
      <c r="J447" s="23"/>
      <c r="L447" s="45"/>
      <c r="N447" s="23"/>
      <c r="P447" s="45"/>
      <c r="R447" s="23"/>
      <c r="T447" s="23"/>
    </row>
    <row r="448" spans="1:20">
      <c r="A448" s="23"/>
      <c r="B448" s="23"/>
      <c r="D448" s="23"/>
      <c r="F448" s="23"/>
      <c r="H448" s="45"/>
      <c r="J448" s="23"/>
      <c r="L448" s="45"/>
      <c r="N448" s="23"/>
      <c r="P448" s="45"/>
      <c r="R448" s="23"/>
      <c r="T448" s="23"/>
    </row>
    <row r="449" spans="1:20">
      <c r="A449" s="23"/>
      <c r="B449" s="23"/>
      <c r="D449" s="23"/>
      <c r="F449" s="23"/>
      <c r="H449" s="45"/>
      <c r="J449" s="23"/>
      <c r="L449" s="45"/>
      <c r="N449" s="23"/>
      <c r="P449" s="45"/>
      <c r="R449" s="23"/>
      <c r="T449" s="23"/>
    </row>
    <row r="450" spans="1:20">
      <c r="A450" s="23"/>
      <c r="B450" s="23"/>
      <c r="D450" s="23"/>
      <c r="F450" s="23"/>
      <c r="H450" s="45"/>
      <c r="J450" s="23"/>
      <c r="L450" s="45"/>
      <c r="N450" s="23"/>
      <c r="P450" s="45"/>
      <c r="R450" s="23"/>
      <c r="T450" s="23"/>
    </row>
    <row r="451" spans="1:20">
      <c r="A451" s="23"/>
      <c r="B451" s="23"/>
      <c r="D451" s="23"/>
      <c r="F451" s="23"/>
      <c r="H451" s="45"/>
      <c r="J451" s="23"/>
      <c r="L451" s="45"/>
      <c r="N451" s="23"/>
      <c r="P451" s="45"/>
      <c r="R451" s="23"/>
      <c r="T451" s="23"/>
    </row>
    <row r="452" spans="1:20">
      <c r="A452" s="23"/>
      <c r="B452" s="23"/>
      <c r="D452" s="23"/>
      <c r="F452" s="23"/>
      <c r="H452" s="45"/>
      <c r="J452" s="23"/>
      <c r="L452" s="45"/>
      <c r="N452" s="23"/>
      <c r="P452" s="45"/>
      <c r="R452" s="23"/>
      <c r="T452" s="23"/>
    </row>
    <row r="453" spans="1:20">
      <c r="A453" s="23"/>
      <c r="B453" s="23"/>
      <c r="D453" s="23"/>
      <c r="F453" s="23"/>
      <c r="H453" s="45"/>
      <c r="J453" s="23"/>
      <c r="L453" s="45"/>
      <c r="N453" s="23"/>
      <c r="P453" s="45"/>
      <c r="R453" s="23"/>
      <c r="T453" s="23"/>
    </row>
    <row r="454" spans="1:20">
      <c r="A454" s="23"/>
      <c r="B454" s="23"/>
      <c r="D454" s="23"/>
      <c r="F454" s="23"/>
      <c r="H454" s="45"/>
      <c r="J454" s="23"/>
      <c r="L454" s="45"/>
      <c r="N454" s="23"/>
      <c r="P454" s="45"/>
      <c r="R454" s="23"/>
      <c r="T454" s="23"/>
    </row>
    <row r="455" spans="1:20">
      <c r="A455" s="23"/>
      <c r="B455" s="23"/>
      <c r="D455" s="23"/>
      <c r="F455" s="23"/>
      <c r="H455" s="45"/>
      <c r="J455" s="23"/>
      <c r="L455" s="45"/>
      <c r="N455" s="23"/>
      <c r="P455" s="45"/>
      <c r="R455" s="23"/>
      <c r="T455" s="23"/>
    </row>
    <row r="456" spans="1:20">
      <c r="A456" s="23"/>
      <c r="B456" s="23"/>
      <c r="D456" s="23"/>
      <c r="F456" s="23"/>
      <c r="H456" s="45"/>
      <c r="J456" s="23"/>
      <c r="L456" s="45"/>
      <c r="N456" s="23"/>
      <c r="P456" s="45"/>
      <c r="R456" s="23"/>
      <c r="T456" s="23"/>
    </row>
    <row r="457" spans="1:20"/>
    <row r="458" spans="1:20"/>
    <row r="459" spans="1:20"/>
    <row r="460" spans="1:20"/>
    <row r="461" spans="1:20"/>
    <row r="462" spans="1:20"/>
    <row r="463" spans="1:20"/>
    <row r="464" spans="1:20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0FB3F2A881B49BB0D547D7CB036C6" ma:contentTypeVersion="9" ma:contentTypeDescription="Create a new document." ma:contentTypeScope="" ma:versionID="49c234f805b37808f82eab067e4a8ee8">
  <xsd:schema xmlns:xsd="http://www.w3.org/2001/XMLSchema" xmlns:xs="http://www.w3.org/2001/XMLSchema" xmlns:p="http://schemas.microsoft.com/office/2006/metadata/properties" xmlns:ns3="6b1787e0-fa80-46e4-aa3f-f093434d86bb" targetNamespace="http://schemas.microsoft.com/office/2006/metadata/properties" ma:root="true" ma:fieldsID="03f7f3e90cdb455a8eb4e4a7c0ce9a6e" ns3:_="">
    <xsd:import namespace="6b1787e0-fa80-46e4-aa3f-f093434d86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787e0-fa80-46e4-aa3f-f093434d86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738E79-9852-44B5-BC5C-7D8DC662D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787e0-fa80-46e4-aa3f-f093434d86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AAB623-30BD-475D-8235-43BEF0B532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E9F482-29DF-4EA3-9FEC-5B7CC1D82F5A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6b1787e0-fa80-46e4-aa3f-f093434d86b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EQUAL WEIGHTS STOCKS</vt:lpstr>
      <vt:lpstr>OPTIMIZED WEIGHT STOCKS</vt:lpstr>
      <vt:lpstr>EQUAL WEIGHTS MF</vt:lpstr>
      <vt:lpstr>OPTIMIZED WEIGHT MF</vt:lpstr>
      <vt:lpstr>EQUAL WEIGHTS STOCKS (1)</vt:lpstr>
      <vt:lpstr>__OpenSolverCache__</vt:lpstr>
      <vt:lpstr>__OpenSolver__</vt:lpstr>
      <vt:lpstr>EQUAL WEIGHTS MF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Maneet Kaur</dc:creator>
  <cp:lastModifiedBy>Maneet</cp:lastModifiedBy>
  <dcterms:created xsi:type="dcterms:W3CDTF">2025-07-05T09:20:53Z</dcterms:created>
  <dcterms:modified xsi:type="dcterms:W3CDTF">2025-07-05T14:29:18Z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0x0101002AC0FB3F2A881B49BB0D547D7CB036C6</vt:lpwstr>
  </property>
</Properties>
</file>